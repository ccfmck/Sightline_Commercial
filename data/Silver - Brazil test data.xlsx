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ursor projects\Sightline_Commercial\data\"/>
    </mc:Choice>
  </mc:AlternateContent>
  <xr:revisionPtr revIDLastSave="0" documentId="13_ncr:1_{A607BB04-935F-4B7D-87B6-51F212A3CA0D}" xr6:coauthVersionLast="47" xr6:coauthVersionMax="47" xr10:uidLastSave="{00000000-0000-0000-0000-000000000000}"/>
  <bookViews>
    <workbookView xWindow="-120" yWindow="-120" windowWidth="29040" windowHeight="15720" xr2:uid="{F1F0BDC6-E4B0-40E3-B8F4-C5EBB7DB0246}"/>
  </bookViews>
  <sheets>
    <sheet name="Brazil input" sheetId="1" r:id="rId1"/>
  </sheets>
  <externalReferences>
    <externalReference r:id="rId2"/>
    <externalReference r:id="rId3"/>
  </externalReferences>
  <definedNames>
    <definedName name="_________________s" hidden="1">{#N/A,#N/A,TRUE,"dew_x200";#N/A,#N/A,TRUE,"cvgm_twncr_must";#N/A,#N/A,TRUE,"x100_x300_falcn";#N/A,#N/A,TRUE,"t_mark_scorp";#N/A,#N/A,TRUE,"VC3GRAF"}</definedName>
    <definedName name="________________s" hidden="1">{#N/A,#N/A,TRUE,"dew_x200";#N/A,#N/A,TRUE,"cvgm_twncr_must";#N/A,#N/A,TRUE,"x100_x300_falcn";#N/A,#N/A,TRUE,"t_mark_scorp";#N/A,#N/A,TRUE,"VC3GRAF"}</definedName>
    <definedName name="_______________s" hidden="1">{#N/A,#N/A,TRUE,"dew_x200";#N/A,#N/A,TRUE,"cvgm_twncr_must";#N/A,#N/A,TRUE,"x100_x300_falcn";#N/A,#N/A,TRUE,"t_mark_scorp";#N/A,#N/A,TRUE,"VC3GRAF"}</definedName>
    <definedName name="______________s" hidden="1">{#N/A,#N/A,TRUE,"dew_x200";#N/A,#N/A,TRUE,"cvgm_twncr_must";#N/A,#N/A,TRUE,"x100_x300_falcn";#N/A,#N/A,TRUE,"t_mark_scorp";#N/A,#N/A,TRUE,"VC3GRAF"}</definedName>
    <definedName name="_____________s" hidden="1">{#N/A,#N/A,TRUE,"dew_x200";#N/A,#N/A,TRUE,"cvgm_twncr_must";#N/A,#N/A,TRUE,"x100_x300_falcn";#N/A,#N/A,TRUE,"t_mark_scorp";#N/A,#N/A,TRUE,"VC3GRAF"}</definedName>
    <definedName name="____________c" hidden="1">{"Fiesta Facer Page",#N/A,FALSE,"Q_C_S";"Fiesta Main Page",#N/A,FALSE,"V_L";"Fiesta 95BP Struct",#N/A,FALSE,"StructBP";"Fiesta Post 95BP Struct",#N/A,FALSE,"AdjStructBP"}</definedName>
    <definedName name="____________s" hidden="1">{#N/A,#N/A,TRUE,"dew_x200";#N/A,#N/A,TRUE,"cvgm_twncr_must";#N/A,#N/A,TRUE,"x100_x300_falcn";#N/A,#N/A,TRUE,"t_mark_scorp";#N/A,#N/A,TRUE,"VC3GRAF"}</definedName>
    <definedName name="__________c" hidden="1">{"Fiesta Facer Page",#N/A,FALSE,"Q_C_S";"Fiesta Main Page",#N/A,FALSE,"V_L";"Fiesta 95BP Struct",#N/A,FALSE,"StructBP";"Fiesta Post 95BP Struct",#N/A,FALSE,"AdjStructBP"}</definedName>
    <definedName name="__________s" hidden="1">{#N/A,#N/A,TRUE,"dew_x200";#N/A,#N/A,TRUE,"cvgm_twncr_must";#N/A,#N/A,TRUE,"x100_x300_falcn";#N/A,#N/A,TRUE,"t_mark_scorp";#N/A,#N/A,TRUE,"VC3GRAF"}</definedName>
    <definedName name="_________c" hidden="1">{"Fiesta Facer Page",#N/A,FALSE,"Q_C_S";"Fiesta Main Page",#N/A,FALSE,"V_L";"Fiesta 95BP Struct",#N/A,FALSE,"StructBP";"Fiesta Post 95BP Struct",#N/A,FALSE,"AdjStructBP"}</definedName>
    <definedName name="_________s" hidden="1">{#N/A,#N/A,TRUE,"dew_x200";#N/A,#N/A,TRUE,"cvgm_twncr_must";#N/A,#N/A,TRUE,"x100_x300_falcn";#N/A,#N/A,TRUE,"t_mark_scorp";#N/A,#N/A,TRUE,"VC3GRAF"}</definedName>
    <definedName name="________s" hidden="1">{#N/A,#N/A,TRUE,"dew_x200";#N/A,#N/A,TRUE,"cvgm_twncr_must";#N/A,#N/A,TRUE,"x100_x300_falcn";#N/A,#N/A,TRUE,"t_mark_scorp";#N/A,#N/A,TRUE,"VC3GRAF"}</definedName>
    <definedName name="_______c" hidden="1">{"Fiesta Facer Page",#N/A,FALSE,"Q_C_S";"Fiesta Main Page",#N/A,FALSE,"V_L";"Fiesta 95BP Struct",#N/A,FALSE,"StructBP";"Fiesta Post 95BP Struct",#N/A,FALSE,"AdjStructBP"}</definedName>
    <definedName name="______c" hidden="1">{"Fiesta Facer Page",#N/A,FALSE,"Q_C_S";"Fiesta Main Page",#N/A,FALSE,"V_L";"Fiesta 95BP Struct",#N/A,FALSE,"StructBP";"Fiesta Post 95BP Struct",#N/A,FALSE,"AdjStructBP"}</definedName>
    <definedName name="______s" hidden="1">{#N/A,#N/A,TRUE,"dew_x200";#N/A,#N/A,TRUE,"cvgm_twncr_must";#N/A,#N/A,TRUE,"x100_x300_falcn";#N/A,#N/A,TRUE,"t_mark_scorp";#N/A,#N/A,TRUE,"VC3GRAF"}</definedName>
    <definedName name="_____c" hidden="1">{"Fiesta Facer Page",#N/A,FALSE,"Q_C_S";"Fiesta Main Page",#N/A,FALSE,"V_L";"Fiesta 95BP Struct",#N/A,FALSE,"StructBP";"Fiesta Post 95BP Struct",#N/A,FALSE,"AdjStructBP"}</definedName>
    <definedName name="_____s" hidden="1">{#N/A,#N/A,TRUE,"dew_x200";#N/A,#N/A,TRUE,"cvgm_twncr_must";#N/A,#N/A,TRUE,"x100_x300_falcn";#N/A,#N/A,TRUE,"t_mark_scorp";#N/A,#N/A,TRUE,"VC3GRAF"}</definedName>
    <definedName name="_____VSP1" hidden="1">{"Fiesta Facer Page",#N/A,FALSE,"Q_C_S";"Fiesta Main Page",#N/A,FALSE,"V_L";"Fiesta 95BP Struct",#N/A,FALSE,"StructBP";"Fiesta Post 95BP Struct",#N/A,FALSE,"AdjStructBP"}</definedName>
    <definedName name="_____VSP2" hidden="1">{"Presentation",#N/A,FALSE,"Feb96 - ALL"}</definedName>
    <definedName name="_____VSP3" hidden="1">{"Fiesta Facer Page",#N/A,FALSE,"Q_C_S";"Fiesta Main Page",#N/A,FALSE,"V_L";"Fiesta 95BP Struct",#N/A,FALSE,"StructBP";"Fiesta Post 95BP Struct",#N/A,FALSE,"AdjStructBP"}</definedName>
    <definedName name="_____VSP4" hidden="1">{"Fiesta Facer Page",#N/A,FALSE,"Q_C_S";"Fiesta Main Page",#N/A,FALSE,"V_L";"Fiesta 95BP Struct",#N/A,FALSE,"StructBP";"Fiesta Post 95BP Struct",#N/A,FALSE,"AdjStructBP"}</definedName>
    <definedName name="_____VSP5" hidden="1">{"Fiesta Facer Page",#N/A,FALSE,"Q_C_S";"Fiesta Main Page",#N/A,FALSE,"V_L";"Fiesta 95BP Struct",#N/A,FALSE,"StructBP";"Fiesta Post 95BP Struct",#N/A,FALSE,"AdjStructBP"}</definedName>
    <definedName name="_____VSP6" hidden="1">{"Presentation",#N/A,FALSE,"Feb96 - ALL"}</definedName>
    <definedName name="____c" hidden="1">{"Fiesta Facer Page",#N/A,FALSE,"Q_C_S";"Fiesta Main Page",#N/A,FALSE,"V_L";"Fiesta 95BP Struct",#N/A,FALSE,"StructBP";"Fiesta Post 95BP Struct",#N/A,FALSE,"AdjStructBP"}</definedName>
    <definedName name="____s" hidden="1">{#N/A,#N/A,TRUE,"dew_x200";#N/A,#N/A,TRUE,"cvgm_twncr_must";#N/A,#N/A,TRUE,"x100_x300_falcn";#N/A,#N/A,TRUE,"t_mark_scorp";#N/A,#N/A,TRUE,"VC3GRAF"}</definedName>
    <definedName name="____VSP1" hidden="1">{"Fiesta Facer Page",#N/A,FALSE,"Q_C_S";"Fiesta Main Page",#N/A,FALSE,"V_L";"Fiesta 95BP Struct",#N/A,FALSE,"StructBP";"Fiesta Post 95BP Struct",#N/A,FALSE,"AdjStructBP"}</definedName>
    <definedName name="____VSP2" hidden="1">{"Presentation",#N/A,FALSE,"Feb96 - ALL"}</definedName>
    <definedName name="____VSP3" hidden="1">{"Fiesta Facer Page",#N/A,FALSE,"Q_C_S";"Fiesta Main Page",#N/A,FALSE,"V_L";"Fiesta 95BP Struct",#N/A,FALSE,"StructBP";"Fiesta Post 95BP Struct",#N/A,FALSE,"AdjStructBP"}</definedName>
    <definedName name="____VSP4" hidden="1">{"Fiesta Facer Page",#N/A,FALSE,"Q_C_S";"Fiesta Main Page",#N/A,FALSE,"V_L";"Fiesta 95BP Struct",#N/A,FALSE,"StructBP";"Fiesta Post 95BP Struct",#N/A,FALSE,"AdjStructBP"}</definedName>
    <definedName name="____VSP5" hidden="1">{"Fiesta Facer Page",#N/A,FALSE,"Q_C_S";"Fiesta Main Page",#N/A,FALSE,"V_L";"Fiesta 95BP Struct",#N/A,FALSE,"StructBP";"Fiesta Post 95BP Struct",#N/A,FALSE,"AdjStructBP"}</definedName>
    <definedName name="____VSP6" hidden="1">{"Presentation",#N/A,FALSE,"Feb96 - ALL"}</definedName>
    <definedName name="___c" hidden="1">{"Fiesta Facer Page",#N/A,FALSE,"Q_C_S";"Fiesta Main Page",#N/A,FALSE,"V_L";"Fiesta 95BP Struct",#N/A,FALSE,"StructBP";"Fiesta Post 95BP Struct",#N/A,FALSE,"AdjStructBP"}</definedName>
    <definedName name="___s" hidden="1">{#N/A,#N/A,TRUE,"dew_x200";#N/A,#N/A,TRUE,"cvgm_twncr_must";#N/A,#N/A,TRUE,"x100_x300_falcn";#N/A,#N/A,TRUE,"t_mark_scorp";#N/A,#N/A,TRUE,"VC3GRAF"}</definedName>
    <definedName name="___VSP1" hidden="1">{"Fiesta Facer Page",#N/A,FALSE,"Q_C_S";"Fiesta Main Page",#N/A,FALSE,"V_L";"Fiesta 95BP Struct",#N/A,FALSE,"StructBP";"Fiesta Post 95BP Struct",#N/A,FALSE,"AdjStructBP"}</definedName>
    <definedName name="___VSP2" hidden="1">{"Presentation",#N/A,FALSE,"Feb96 - ALL"}</definedName>
    <definedName name="___VSP3" hidden="1">{"Fiesta Facer Page",#N/A,FALSE,"Q_C_S";"Fiesta Main Page",#N/A,FALSE,"V_L";"Fiesta 95BP Struct",#N/A,FALSE,"StructBP";"Fiesta Post 95BP Struct",#N/A,FALSE,"AdjStructBP"}</definedName>
    <definedName name="___VSP4" hidden="1">{"Fiesta Facer Page",#N/A,FALSE,"Q_C_S";"Fiesta Main Page",#N/A,FALSE,"V_L";"Fiesta 95BP Struct",#N/A,FALSE,"StructBP";"Fiesta Post 95BP Struct",#N/A,FALSE,"AdjStructBP"}</definedName>
    <definedName name="___VSP5" hidden="1">{"Fiesta Facer Page",#N/A,FALSE,"Q_C_S";"Fiesta Main Page",#N/A,FALSE,"V_L";"Fiesta 95BP Struct",#N/A,FALSE,"StructBP";"Fiesta Post 95BP Struct",#N/A,FALSE,"AdjStructBP"}</definedName>
    <definedName name="___VSP6" hidden="1">{"Presentation",#N/A,FALSE,"Feb96 - ALL"}</definedName>
    <definedName name="__123Graph_A" hidden="1">#REF!</definedName>
    <definedName name="__123Graph_AI.V.AREA" hidden="1">#REF!</definedName>
    <definedName name="__123Graph_AINT.CAM" hidden="1">#REF!</definedName>
    <definedName name="__123Graph_Aｽﾄﾛｰｸー出力" hidden="1">#REF!</definedName>
    <definedName name="__123Graph_Aﾀｲﾑｲﾝﾃｸﾞﾗﾙ" hidden="1">#REF!</definedName>
    <definedName name="__123Graph_Aﾊﾞﾙﾌﾞー出力" hidden="1">#REF!</definedName>
    <definedName name="__123Graph_A出力点回転ーﾄﾙｸ" hidden="1">#REF!</definedName>
    <definedName name="__123Graph_A排気量ーﾄﾙｸ" hidden="1">#REF!</definedName>
    <definedName name="__123Graph_A排気量ー出力" hidden="1">#REF!</definedName>
    <definedName name="__123Graph_A排気量ー回転数" hidden="1">#REF!</definedName>
    <definedName name="__123Graph_B" hidden="1">#REF!</definedName>
    <definedName name="__123Graph_BEXH.CAM" hidden="1">#REF!</definedName>
    <definedName name="__123Graph_Bｽﾄﾛｰｸー出力" hidden="1">#REF!</definedName>
    <definedName name="__123Graph_Bﾀｲﾑｲﾝﾃｸﾞﾗﾙ" hidden="1">#REF!</definedName>
    <definedName name="__123Graph_Bﾊﾞﾙﾌﾞー出力" hidden="1">#REF!</definedName>
    <definedName name="__123Graph_B出力点回転ーﾄﾙｸ" hidden="1">#REF!</definedName>
    <definedName name="__123Graph_B排気量ーﾄﾙｸ" hidden="1">#REF!</definedName>
    <definedName name="__123Graph_B排気量ー出力"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EXH.CAM" hidden="1">#REF!</definedName>
    <definedName name="__123Graph_XI.V.AREA" hidden="1">#REF!</definedName>
    <definedName name="__123Graph_XINT.CAM" hidden="1">#REF!</definedName>
    <definedName name="__123Graph_Xｽﾄﾛｰｸー出力" hidden="1">#REF!</definedName>
    <definedName name="__123Graph_Xﾀｲﾑｲﾝﾃｸﾞﾗﾙ" hidden="1">#REF!</definedName>
    <definedName name="__123Graph_Xﾊﾞﾙﾌﾞー出力" hidden="1">#REF!</definedName>
    <definedName name="__123Graph_X出力点回転ーﾄﾙｸ" hidden="1">#REF!</definedName>
    <definedName name="__123Graph_X排気量ーﾄﾙｸ" hidden="1">#REF!</definedName>
    <definedName name="__123Graph_X排気量ー出力" hidden="1">#REF!</definedName>
    <definedName name="__123Graph_X排気量ー回転数" hidden="1">#REF!</definedName>
    <definedName name="__ab2" hidden="1">{#N/A,#N/A,FALSE,"Cover";#N/A,#N/A,FALSE,"Profits";#N/A,#N/A,FALSE,"ABS";#N/A,#N/A,FALSE,"TFLE Detail";#N/A,#N/A,FALSE,"TFLE Walk";#N/A,#N/A,FALSE,"Variable Cost";#N/A,#N/A,FALSE,"V.C. Walk"}</definedName>
    <definedName name="__ab3" hidden="1">{#N/A,#N/A,FALSE,"Profit Status";#N/A,#N/A,FALSE,"Invest";#N/A,#N/A,FALSE,"Revenue";#N/A,#N/A,FALSE,"Variable Cost";#N/A,#N/A,FALSE,"Options &amp; Series"}</definedName>
    <definedName name="__c" hidden="1">{"Fiesta Facer Page",#N/A,FALSE,"Q_C_S";"Fiesta Main Page",#N/A,FALSE,"V_L";"Fiesta 95BP Struct",#N/A,FALSE,"StructBP";"Fiesta Post 95BP Struct",#N/A,FALSE,"AdjStructBP"}</definedName>
    <definedName name="__CUS3">"Custom3#"</definedName>
    <definedName name="__h1" hidden="1">{#N/A,#N/A,FALSE,"Cover";#N/A,#N/A,FALSE,"Assumptions";#N/A,#N/A,FALSE,"Volumes";#N/A,#N/A,FALSE,"Pricing";#N/A,#N/A,FALSE,"TFLE Walk";#N/A,#N/A,FALSE,"Variable Cost";#N/A,#N/A,FALSE,"Sensitivity";#N/A,#N/A,FALSE,"Investment";#N/A,#N/A,FALSE,"Profitability"}</definedName>
    <definedName name="__s" hidden="1">{#N/A,#N/A,TRUE,"dew_x200";#N/A,#N/A,TRUE,"cvgm_twncr_must";#N/A,#N/A,TRUE,"x100_x300_falcn";#N/A,#N/A,TRUE,"t_mark_scorp";#N/A,#N/A,TRUE,"VC3GRAF"}</definedName>
    <definedName name="__VSP1" hidden="1">{"Fiesta Facer Page",#N/A,FALSE,"Q_C_S";"Fiesta Main Page",#N/A,FALSE,"V_L";"Fiesta 95BP Struct",#N/A,FALSE,"StructBP";"Fiesta Post 95BP Struct",#N/A,FALSE,"AdjStructBP"}</definedName>
    <definedName name="__VSP2" hidden="1">{"Presentation",#N/A,FALSE,"Feb96 - ALL"}</definedName>
    <definedName name="__VSP3" hidden="1">{"Fiesta Facer Page",#N/A,FALSE,"Q_C_S";"Fiesta Main Page",#N/A,FALSE,"V_L";"Fiesta 95BP Struct",#N/A,FALSE,"StructBP";"Fiesta Post 95BP Struct",#N/A,FALSE,"AdjStructBP"}</definedName>
    <definedName name="__VSP4" hidden="1">{"Fiesta Facer Page",#N/A,FALSE,"Q_C_S";"Fiesta Main Page",#N/A,FALSE,"V_L";"Fiesta 95BP Struct",#N/A,FALSE,"StructBP";"Fiesta Post 95BP Struct",#N/A,FALSE,"AdjStructBP"}</definedName>
    <definedName name="__VSP5" hidden="1">{"Fiesta Facer Page",#N/A,FALSE,"Q_C_S";"Fiesta Main Page",#N/A,FALSE,"V_L";"Fiesta 95BP Struct",#N/A,FALSE,"StructBP";"Fiesta Post 95BP Struct",#N/A,FALSE,"AdjStructBP"}</definedName>
    <definedName name="__VSP6" hidden="1">{"Presentation",#N/A,FALSE,"Feb96 - ALL"}</definedName>
    <definedName name="_1__123Graph_ABORE_EXH.VALVE" hidden="1">#REF!</definedName>
    <definedName name="_12__123Graph_AC04C_ALL_T1" hidden="1">#REF!</definedName>
    <definedName name="_15__123Graph_AC04C_ALL_T2" hidden="1">#REF!</definedName>
    <definedName name="_18__123Graph_AC04C_FF_L" hidden="1">#REF!</definedName>
    <definedName name="_2__123Graph_ABORE_I.VALVE" hidden="1">#REF!</definedName>
    <definedName name="_21__123Graph_AC04C_FF_T" hidden="1">#REF!</definedName>
    <definedName name="_24__123Graph_AC04C_FR_L1" hidden="1">#REF!</definedName>
    <definedName name="_27__123Graph_AC04C_FR_L2" hidden="1">#REF!</definedName>
    <definedName name="_3__123Graph_ABORE_圧縮比" hidden="1">#REF!</definedName>
    <definedName name="_30__123Graph_AC04C_FR_T1" hidden="1">#REF!</definedName>
    <definedName name="_33__123Graph_AC04C_FR_T2" hidden="1">#REF!</definedName>
    <definedName name="_34__123Graph_AVALVE_BORE" hidden="1">#REF!</definedName>
    <definedName name="_35__123Graph_Aｸﾞﾗﾌ_1" hidden="1">#REF!</definedName>
    <definedName name="_38__123Graph_Aｸﾞﾗﾌ_2" hidden="1">#REF!</definedName>
    <definedName name="_39__123Graph_Bｸﾞﾗﾌ_1" hidden="1">#REF!</definedName>
    <definedName name="_4" hidden="1">#REF!</definedName>
    <definedName name="_42__123Graph_Bｸﾞﾗﾌ_2" hidden="1">#REF!</definedName>
    <definedName name="_45__123Graph_LBL_AC04C_FF_L" hidden="1">#REF!</definedName>
    <definedName name="_48__123Graph_LBL_AC04C_FF_T" hidden="1">#REF!</definedName>
    <definedName name="_51__123Graph_LBL_AC04C_FR_L1" hidden="1">#REF!</definedName>
    <definedName name="_54__123Graph_LBL_AC04C_FR_L2" hidden="1">#REF!</definedName>
    <definedName name="_57__123Graph_LBL_AC04C_FR_T1" hidden="1">#REF!</definedName>
    <definedName name="_6__123Graph_AC04C_ALL_L1" hidden="1">#REF!</definedName>
    <definedName name="_60__123Graph_LBL_AC04C_FR_T2" hidden="1">#REF!</definedName>
    <definedName name="_61__123Graph_XBORE_EXH.VALVE" hidden="1">#REF!</definedName>
    <definedName name="_62__123Graph_XBORE_I.VALVE" hidden="1">#REF!</definedName>
    <definedName name="_63__123Graph_XBORE_圧縮比" hidden="1">#REF!</definedName>
    <definedName name="_66__123Graph_XC04C_ALL_T1" hidden="1">#REF!</definedName>
    <definedName name="_69__123Graph_XC04C_ALL_T2" hidden="1">#REF!</definedName>
    <definedName name="_72__123Graph_XC04C_FF_L" hidden="1">#REF!</definedName>
    <definedName name="_75__123Graph_XC04C_FF_T" hidden="1">#REF!</definedName>
    <definedName name="_78__123Graph_XC04C_FR_L1" hidden="1">#REF!</definedName>
    <definedName name="_81__123Graph_XC04C_FR_L2" hidden="1">#REF!</definedName>
    <definedName name="_84__123Graph_XC04C_FR_T1" hidden="1">#REF!</definedName>
    <definedName name="_87__123Graph_XC04C_FR_T2" hidden="1">#REF!</definedName>
    <definedName name="_88__123Graph_XVALVE_BORE" hidden="1">#REF!</definedName>
    <definedName name="_9__123Graph_AC04C_ALL_L2" hidden="1">#REF!</definedName>
    <definedName name="_91__123Graph_Xグラフ_2" hidden="1">#REF!</definedName>
    <definedName name="_ab2" hidden="1">{#N/A,#N/A,FALSE,"Cover";#N/A,#N/A,FALSE,"Profits";#N/A,#N/A,FALSE,"ABS";#N/A,#N/A,FALSE,"TFLE Detail";#N/A,#N/A,FALSE,"TFLE Walk";#N/A,#N/A,FALSE,"Variable Cost";#N/A,#N/A,FALSE,"V.C. Walk"}</definedName>
    <definedName name="_ab3" hidden="1">{#N/A,#N/A,FALSE,"Profit Status";#N/A,#N/A,FALSE,"Invest";#N/A,#N/A,FALSE,"Revenue";#N/A,#N/A,FALSE,"Variable Cost";#N/A,#N/A,FALSE,"Options &amp; Series"}</definedName>
    <definedName name="_b1" hidden="1">{#N/A,#N/A,FALSE,"afa linear";#N/A,#N/A,FALSE,"mit 10% zuschuss";#N/A,#N/A,FALSE,"mit 25% zuschuss"}</definedName>
    <definedName name="_bdm.1C75322AE3934503B422CC82A2D07FE3.edm" hidden="1">#REF!</definedName>
    <definedName name="_c" hidden="1">{"Fiesta Facer Page",#N/A,FALSE,"Q_C_S";"Fiesta Main Page",#N/A,FALSE,"V_L";"Fiesta 95BP Struct",#N/A,FALSE,"StructBP";"Fiesta Post 95BP Struct",#N/A,FALSE,"AdjStructBP"}</definedName>
    <definedName name="_c_1" hidden="1">{"Fiesta Facer Page",#N/A,FALSE,"Q_C_S";"Fiesta Main Page",#N/A,FALSE,"V_L";"Fiesta 95BP Struct",#N/A,FALSE,"StructBP";"Fiesta Post 95BP Struct",#N/A,FALSE,"AdjStructBP"}</definedName>
    <definedName name="_c_1_1" hidden="1">{"Fiesta Facer Page",#N/A,FALSE,"Q_C_S";"Fiesta Main Page",#N/A,FALSE,"V_L";"Fiesta 95BP Struct",#N/A,FALSE,"StructBP";"Fiesta Post 95BP Struct",#N/A,FALSE,"AdjStructBP"}</definedName>
    <definedName name="_c_2" hidden="1">{"Fiesta Facer Page",#N/A,FALSE,"Q_C_S";"Fiesta Main Page",#N/A,FALSE,"V_L";"Fiesta 95BP Struct",#N/A,FALSE,"StructBP";"Fiesta Post 95BP Struct",#N/A,FALSE,"AdjStructBP"}</definedName>
    <definedName name="_CUS1">"CUSTOM1#"</definedName>
    <definedName name="_CUS2">"CUSTOM2#"</definedName>
    <definedName name="_CUS3">"CUSTOM3#"</definedName>
    <definedName name="_CUS4">"CUSTOM4#"</definedName>
    <definedName name="_Fill" hidden="1">#REF!</definedName>
    <definedName name="_xlnm._FilterDatabase" localSheetId="0" hidden="1">'Brazil input'!$A$4:$NJ$127</definedName>
    <definedName name="_xlnm._FilterDatabase" hidden="1">#REF!</definedName>
    <definedName name="_h1" hidden="1">{#N/A,#N/A,FALSE,"Cover";#N/A,#N/A,FALSE,"Assumptions";#N/A,#N/A,FALSE,"Volumes";#N/A,#N/A,FALSE,"Pricing";#N/A,#N/A,FALSE,"TFLE Walk";#N/A,#N/A,FALSE,"Variable Cost";#N/A,#N/A,FALSE,"Sensitivity";#N/A,#N/A,FALSE,"Investment";#N/A,#N/A,FALSE,"Profitability"}</definedName>
    <definedName name="_Key1" hidden="1">#REF!</definedName>
    <definedName name="_Key2" hidden="1">#REF!</definedName>
    <definedName name="_Order1" hidden="1">255</definedName>
    <definedName name="_Order2" hidden="1">255</definedName>
    <definedName name="_Regression_Int" hidden="1">1</definedName>
    <definedName name="_Regression_Out" hidden="1">#REF!</definedName>
    <definedName name="_Regression_X" hidden="1">#REF!</definedName>
    <definedName name="_Regression_Y" hidden="1">#REF!</definedName>
    <definedName name="_s" hidden="1">{#N/A,#N/A,TRUE,"dew_x200";#N/A,#N/A,TRUE,"cvgm_twncr_must";#N/A,#N/A,TRUE,"x100_x300_falcn";#N/A,#N/A,TRUE,"t_mark_scorp";#N/A,#N/A,TRUE,"VC3GRAF"}</definedName>
    <definedName name="_Sort" hidden="1">#REF!</definedName>
    <definedName name="_Table1_In1" hidden="1">#REF!</definedName>
    <definedName name="_Table1_Out" hidden="1">#REF!</definedName>
    <definedName name="_VSP1" hidden="1">{"Fiesta Facer Page",#N/A,FALSE,"Q_C_S";"Fiesta Main Page",#N/A,FALSE,"V_L";"Fiesta 95BP Struct",#N/A,FALSE,"StructBP";"Fiesta Post 95BP Struct",#N/A,FALSE,"AdjStructBP"}</definedName>
    <definedName name="_VSP2" hidden="1">{"Presentation",#N/A,FALSE,"Feb96 - ALL"}</definedName>
    <definedName name="_VSP3" hidden="1">{"Fiesta Facer Page",#N/A,FALSE,"Q_C_S";"Fiesta Main Page",#N/A,FALSE,"V_L";"Fiesta 95BP Struct",#N/A,FALSE,"StructBP";"Fiesta Post 95BP Struct",#N/A,FALSE,"AdjStructBP"}</definedName>
    <definedName name="_VSP4" hidden="1">{"Fiesta Facer Page",#N/A,FALSE,"Q_C_S";"Fiesta Main Page",#N/A,FALSE,"V_L";"Fiesta 95BP Struct",#N/A,FALSE,"StructBP";"Fiesta Post 95BP Struct",#N/A,FALSE,"AdjStructBP"}</definedName>
    <definedName name="_VSP5" hidden="1">{"Fiesta Facer Page",#N/A,FALSE,"Q_C_S";"Fiesta Main Page",#N/A,FALSE,"V_L";"Fiesta 95BP Struct",#N/A,FALSE,"StructBP";"Fiesta Post 95BP Struct",#N/A,FALSE,"AdjStructBP"}</definedName>
    <definedName name="_VSP6" hidden="1">{"Presentation",#N/A,FALSE,"Feb96 - ALL"}</definedName>
    <definedName name="_wde" hidden="1">#REF!</definedName>
    <definedName name="_wer" hidden="1">#REF!</definedName>
    <definedName name="_xx" hidden="1">#REF!</definedName>
    <definedName name="_Z1" hidden="1">{#N/A,#N/A,FALSE,"KMC최종회의(7월) 자료"}</definedName>
    <definedName name="_z123" hidden="1">{#N/A,#N/A,FALSE,"단축1";#N/A,#N/A,FALSE,"단축2";#N/A,#N/A,FALSE,"단축3";#N/A,#N/A,FALSE,"장축";#N/A,#N/A,FALSE,"4WD"}</definedName>
    <definedName name="_Z2" hidden="1">{#N/A,#N/A,FALSE,"KMC최종회의(7월) 자료"}</definedName>
    <definedName name="_Z3" hidden="1">{#N/A,#N/A,FALSE,"KMC최종회의(7월) 자료"}</definedName>
    <definedName name="_Z4" hidden="1">{#N/A,#N/A,FALSE,"KMC최종회의(7월) 자료"}</definedName>
    <definedName name="_Z5" hidden="1">{#N/A,#N/A,FALSE,"KMC최종회의(7월) 자료"}</definedName>
    <definedName name="_Z6" hidden="1">{#N/A,#N/A,FALSE,"KMC최종회의(7월) 자료"}</definedName>
    <definedName name="_Z7" hidden="1">{#N/A,#N/A,FALSE,"KMC최종회의(7월) 자료"}</definedName>
    <definedName name="_Z8" hidden="1">{#N/A,#N/A,FALSE,"KMC최종회의(7월) 자료"}</definedName>
    <definedName name="_Z9" hidden="1">{#N/A,#N/A,FALSE,"KMC최종회의(7월) 자료"}</definedName>
    <definedName name="Ⅱ" hidden="1">{#N/A,#N/A,FALSE,"정공"}</definedName>
    <definedName name="A">"Budget-Bericht  Mittelfristplanung"</definedName>
    <definedName name="ä" hidden="1">{#N/A,#N/A,TRUE,"Y생산";#N/A,#N/A,TRUE,"Y판매";#N/A,#N/A,TRUE,"Y총물량";#N/A,#N/A,TRUE,"Y능력";#N/A,#N/A,TRUE,"YKD"}</definedName>
    <definedName name="A03을" hidden="1">{#N/A,#N/A,FALSE,"단축1";#N/A,#N/A,FALSE,"단축2";#N/A,#N/A,FALSE,"단축3";#N/A,#N/A,FALSE,"장축";#N/A,#N/A,FALSE,"4WD"}</definedName>
    <definedName name="A1_00근거" hidden="1">{#N/A,#N/A,FALSE,"단축1";#N/A,#N/A,FALSE,"단축2";#N/A,#N/A,FALSE,"단축3";#N/A,#N/A,FALSE,"장축";#N/A,#N/A,FALSE,"4WD"}</definedName>
    <definedName name="A9999999999956261" hidden="1">{#N/A,#N/A,FALSE,"KMC최종회의(7월) 자료"}</definedName>
    <definedName name="AA.Report.Files" hidden="1">#REF!</definedName>
    <definedName name="AA.Reports.Available" hidden="1">#REF!</definedName>
    <definedName name="aa_1" hidden="1">{#N/A,#N/A,FALSE,"BS";#N/A,#N/A,FALSE,"PL";#N/A,#N/A,FALSE,"A";#N/A,#N/A,FALSE,"B";#N/A,#N/A,FALSE,"B1";#N/A,#N/A,FALSE,"C";#N/A,#N/A,FALSE,"C1";#N/A,#N/A,FALSE,"C2";#N/A,#N/A,FALSE,"D";#N/A,#N/A,FALSE,"E";#N/A,#N/A,FALSE,"F";#N/A,#N/A,FALSE,"AA";#N/A,#N/A,FALSE,"BB";#N/A,#N/A,FALSE,"CC";#N/A,#N/A,FALSE,"DD";#N/A,#N/A,FALSE,"EE";#N/A,#N/A,FALSE,"FF";#N/A,#N/A,FALSE,"PL10";#N/A,#N/A,FALSE,"PL20";#N/A,#N/A,FALSE,"PL30"}</definedName>
    <definedName name="aa_1_1" hidden="1">{#N/A,#N/A,FALSE,"BS";#N/A,#N/A,FALSE,"PL";#N/A,#N/A,FALSE,"A";#N/A,#N/A,FALSE,"B";#N/A,#N/A,FALSE,"B1";#N/A,#N/A,FALSE,"C";#N/A,#N/A,FALSE,"C1";#N/A,#N/A,FALSE,"C2";#N/A,#N/A,FALSE,"D";#N/A,#N/A,FALSE,"E";#N/A,#N/A,FALSE,"F";#N/A,#N/A,FALSE,"AA";#N/A,#N/A,FALSE,"BB";#N/A,#N/A,FALSE,"CC";#N/A,#N/A,FALSE,"DD";#N/A,#N/A,FALSE,"EE";#N/A,#N/A,FALSE,"FF";#N/A,#N/A,FALSE,"PL10";#N/A,#N/A,FALSE,"PL20";#N/A,#N/A,FALSE,"PL30"}</definedName>
    <definedName name="aa_2" hidden="1">{#N/A,#N/A,FALSE,"BS";#N/A,#N/A,FALSE,"PL";#N/A,#N/A,FALSE,"A";#N/A,#N/A,FALSE,"B";#N/A,#N/A,FALSE,"B1";#N/A,#N/A,FALSE,"C";#N/A,#N/A,FALSE,"C1";#N/A,#N/A,FALSE,"C2";#N/A,#N/A,FALSE,"D";#N/A,#N/A,FALSE,"E";#N/A,#N/A,FALSE,"F";#N/A,#N/A,FALSE,"AA";#N/A,#N/A,FALSE,"BB";#N/A,#N/A,FALSE,"CC";#N/A,#N/A,FALSE,"DD";#N/A,#N/A,FALSE,"EE";#N/A,#N/A,FALSE,"FF";#N/A,#N/A,FALSE,"PL10";#N/A,#N/A,FALSE,"PL20";#N/A,#N/A,FALSE,"PL30"}</definedName>
    <definedName name="aa_2_1" hidden="1">{#N/A,#N/A,FALSE,"BS";#N/A,#N/A,FALSE,"PL";#N/A,#N/A,FALSE,"A";#N/A,#N/A,FALSE,"B";#N/A,#N/A,FALSE,"B1";#N/A,#N/A,FALSE,"C";#N/A,#N/A,FALSE,"C1";#N/A,#N/A,FALSE,"C2";#N/A,#N/A,FALSE,"D";#N/A,#N/A,FALSE,"E";#N/A,#N/A,FALSE,"F";#N/A,#N/A,FALSE,"AA";#N/A,#N/A,FALSE,"BB";#N/A,#N/A,FALSE,"CC";#N/A,#N/A,FALSE,"DD";#N/A,#N/A,FALSE,"EE";#N/A,#N/A,FALSE,"FF";#N/A,#N/A,FALSE,"PL10";#N/A,#N/A,FALSE,"PL20";#N/A,#N/A,FALSE,"PL30"}</definedName>
    <definedName name="aa_3" hidden="1">{#N/A,#N/A,FALSE,"BS";#N/A,#N/A,FALSE,"PL";#N/A,#N/A,FALSE,"A";#N/A,#N/A,FALSE,"B";#N/A,#N/A,FALSE,"B1";#N/A,#N/A,FALSE,"C";#N/A,#N/A,FALSE,"C1";#N/A,#N/A,FALSE,"C2";#N/A,#N/A,FALSE,"D";#N/A,#N/A,FALSE,"E";#N/A,#N/A,FALSE,"F";#N/A,#N/A,FALSE,"AA";#N/A,#N/A,FALSE,"BB";#N/A,#N/A,FALSE,"CC";#N/A,#N/A,FALSE,"DD";#N/A,#N/A,FALSE,"EE";#N/A,#N/A,FALSE,"FF";#N/A,#N/A,FALSE,"PL10";#N/A,#N/A,FALSE,"PL20";#N/A,#N/A,FALSE,"PL30"}</definedName>
    <definedName name="aa_3_1" hidden="1">{#N/A,#N/A,FALSE,"BS";#N/A,#N/A,FALSE,"PL";#N/A,#N/A,FALSE,"A";#N/A,#N/A,FALSE,"B";#N/A,#N/A,FALSE,"B1";#N/A,#N/A,FALSE,"C";#N/A,#N/A,FALSE,"C1";#N/A,#N/A,FALSE,"C2";#N/A,#N/A,FALSE,"D";#N/A,#N/A,FALSE,"E";#N/A,#N/A,FALSE,"F";#N/A,#N/A,FALSE,"AA";#N/A,#N/A,FALSE,"BB";#N/A,#N/A,FALSE,"CC";#N/A,#N/A,FALSE,"DD";#N/A,#N/A,FALSE,"EE";#N/A,#N/A,FALSE,"FF";#N/A,#N/A,FALSE,"PL10";#N/A,#N/A,FALSE,"PL20";#N/A,#N/A,FALSE,"PL30"}</definedName>
    <definedName name="aa_4" hidden="1">{#N/A,#N/A,FALSE,"BS";#N/A,#N/A,FALSE,"PL";#N/A,#N/A,FALSE,"A";#N/A,#N/A,FALSE,"B";#N/A,#N/A,FALSE,"B1";#N/A,#N/A,FALSE,"C";#N/A,#N/A,FALSE,"C1";#N/A,#N/A,FALSE,"C2";#N/A,#N/A,FALSE,"D";#N/A,#N/A,FALSE,"E";#N/A,#N/A,FALSE,"F";#N/A,#N/A,FALSE,"AA";#N/A,#N/A,FALSE,"BB";#N/A,#N/A,FALSE,"CC";#N/A,#N/A,FALSE,"DD";#N/A,#N/A,FALSE,"EE";#N/A,#N/A,FALSE,"FF";#N/A,#N/A,FALSE,"PL10";#N/A,#N/A,FALSE,"PL20";#N/A,#N/A,FALSE,"PL30"}</definedName>
    <definedName name="aa_4_1" hidden="1">{#N/A,#N/A,FALSE,"BS";#N/A,#N/A,FALSE,"PL";#N/A,#N/A,FALSE,"A";#N/A,#N/A,FALSE,"B";#N/A,#N/A,FALSE,"B1";#N/A,#N/A,FALSE,"C";#N/A,#N/A,FALSE,"C1";#N/A,#N/A,FALSE,"C2";#N/A,#N/A,FALSE,"D";#N/A,#N/A,FALSE,"E";#N/A,#N/A,FALSE,"F";#N/A,#N/A,FALSE,"AA";#N/A,#N/A,FALSE,"BB";#N/A,#N/A,FALSE,"CC";#N/A,#N/A,FALSE,"DD";#N/A,#N/A,FALSE,"EE";#N/A,#N/A,FALSE,"FF";#N/A,#N/A,FALSE,"PL10";#N/A,#N/A,FALSE,"PL20";#N/A,#N/A,FALSE,"PL30"}</definedName>
    <definedName name="aa_5" hidden="1">{#N/A,#N/A,FALSE,"BS";#N/A,#N/A,FALSE,"PL";#N/A,#N/A,FALSE,"A";#N/A,#N/A,FALSE,"B";#N/A,#N/A,FALSE,"B1";#N/A,#N/A,FALSE,"C";#N/A,#N/A,FALSE,"C1";#N/A,#N/A,FALSE,"C2";#N/A,#N/A,FALSE,"D";#N/A,#N/A,FALSE,"E";#N/A,#N/A,FALSE,"F";#N/A,#N/A,FALSE,"AA";#N/A,#N/A,FALSE,"BB";#N/A,#N/A,FALSE,"CC";#N/A,#N/A,FALSE,"DD";#N/A,#N/A,FALSE,"EE";#N/A,#N/A,FALSE,"FF";#N/A,#N/A,FALSE,"PL10";#N/A,#N/A,FALSE,"PL20";#N/A,#N/A,FALSE,"PL30"}</definedName>
    <definedName name="aa_5_1" hidden="1">{#N/A,#N/A,FALSE,"BS";#N/A,#N/A,FALSE,"PL";#N/A,#N/A,FALSE,"A";#N/A,#N/A,FALSE,"B";#N/A,#N/A,FALSE,"B1";#N/A,#N/A,FALSE,"C";#N/A,#N/A,FALSE,"C1";#N/A,#N/A,FALSE,"C2";#N/A,#N/A,FALSE,"D";#N/A,#N/A,FALSE,"E";#N/A,#N/A,FALSE,"F";#N/A,#N/A,FALSE,"AA";#N/A,#N/A,FALSE,"BB";#N/A,#N/A,FALSE,"CC";#N/A,#N/A,FALSE,"DD";#N/A,#N/A,FALSE,"EE";#N/A,#N/A,FALSE,"FF";#N/A,#N/A,FALSE,"PL10";#N/A,#N/A,FALSE,"PL20";#N/A,#N/A,FALSE,"PL30"}</definedName>
    <definedName name="AAA" hidden="1">{"EXPORT",#N/A,FALSE,"A8CONTENT"}</definedName>
    <definedName name="aaa_1" hidden="1">{#N/A,#N/A,FALSE,"BS";#N/A,#N/A,FALSE,"PL";#N/A,#N/A,FALSE,"처분";#N/A,#N/A,FALSE,"현금";#N/A,#N/A,FALSE,"매출";#N/A,#N/A,FALSE,"원가";#N/A,#N/A,FALSE,"경영"}</definedName>
    <definedName name="aaa_1_1" hidden="1">{#N/A,#N/A,FALSE,"BS";#N/A,#N/A,FALSE,"PL";#N/A,#N/A,FALSE,"처분";#N/A,#N/A,FALSE,"현금";#N/A,#N/A,FALSE,"매출";#N/A,#N/A,FALSE,"원가";#N/A,#N/A,FALSE,"경영"}</definedName>
    <definedName name="aaa_2" hidden="1">{#N/A,#N/A,FALSE,"BS";#N/A,#N/A,FALSE,"PL";#N/A,#N/A,FALSE,"처분";#N/A,#N/A,FALSE,"현금";#N/A,#N/A,FALSE,"매출";#N/A,#N/A,FALSE,"원가";#N/A,#N/A,FALSE,"경영"}</definedName>
    <definedName name="aaa_2_1" hidden="1">{#N/A,#N/A,FALSE,"BS";#N/A,#N/A,FALSE,"PL";#N/A,#N/A,FALSE,"처분";#N/A,#N/A,FALSE,"현금";#N/A,#N/A,FALSE,"매출";#N/A,#N/A,FALSE,"원가";#N/A,#N/A,FALSE,"경영"}</definedName>
    <definedName name="aaa_3" hidden="1">{#N/A,#N/A,FALSE,"BS";#N/A,#N/A,FALSE,"PL";#N/A,#N/A,FALSE,"처분";#N/A,#N/A,FALSE,"현금";#N/A,#N/A,FALSE,"매출";#N/A,#N/A,FALSE,"원가";#N/A,#N/A,FALSE,"경영"}</definedName>
    <definedName name="aaa_3_1" hidden="1">{#N/A,#N/A,FALSE,"BS";#N/A,#N/A,FALSE,"PL";#N/A,#N/A,FALSE,"처분";#N/A,#N/A,FALSE,"현금";#N/A,#N/A,FALSE,"매출";#N/A,#N/A,FALSE,"원가";#N/A,#N/A,FALSE,"경영"}</definedName>
    <definedName name="aaa_4" hidden="1">{#N/A,#N/A,FALSE,"BS";#N/A,#N/A,FALSE,"PL";#N/A,#N/A,FALSE,"처분";#N/A,#N/A,FALSE,"현금";#N/A,#N/A,FALSE,"매출";#N/A,#N/A,FALSE,"원가";#N/A,#N/A,FALSE,"경영"}</definedName>
    <definedName name="aaa_4_1" hidden="1">{#N/A,#N/A,FALSE,"BS";#N/A,#N/A,FALSE,"PL";#N/A,#N/A,FALSE,"처분";#N/A,#N/A,FALSE,"현금";#N/A,#N/A,FALSE,"매출";#N/A,#N/A,FALSE,"원가";#N/A,#N/A,FALSE,"경영"}</definedName>
    <definedName name="aaa_5" hidden="1">{#N/A,#N/A,FALSE,"BS";#N/A,#N/A,FALSE,"PL";#N/A,#N/A,FALSE,"처분";#N/A,#N/A,FALSE,"현금";#N/A,#N/A,FALSE,"매출";#N/A,#N/A,FALSE,"원가";#N/A,#N/A,FALSE,"경영"}</definedName>
    <definedName name="aaa_5_1" hidden="1">{#N/A,#N/A,FALSE,"BS";#N/A,#N/A,FALSE,"PL";#N/A,#N/A,FALSE,"처분";#N/A,#N/A,FALSE,"현금";#N/A,#N/A,FALSE,"매출";#N/A,#N/A,FALSE,"원가";#N/A,#N/A,FALSE,"경영"}</definedName>
    <definedName name="aaaa" hidden="1">{#N/A,#N/A,FALSE,"Cover Sheet";#N/A,#N/A,FALSE,"Ave_Trans_Shp_Abs";#N/A,#N/A,FALSE,"Det_Shp_Abs";#N/A,#N/A,FALSE,"Ave_Trans_Inst_Abs";#N/A,#N/A,FALSE,"Det_Ins_Abs";#N/A,#N/A,FALSE,"Ave_Trans_Tot_ABS";#N/A,#N/A,FALSE,"Det_Total_ABS"}</definedName>
    <definedName name="AAAA_1" hidden="1">{#N/A,#N/A,TRUE,"양식5";#N/A,#N/A,TRUE,"양식1_2_2";#N/A,#N/A,TRUE,"양식1_1_2";#N/A,#N/A,TRUE,"양식2";#N/A,#N/A,TRUE,"양식4";#N/A,#N/A,TRUE,"양식3";#N/A,#N/A,TRUE,"양식6";#N/A,#N/A,TRUE,"양식7";#N/A,#N/A,TRUE,"양식10";#N/A,#N/A,TRUE,"양식11";#N/A,#N/A,TRUE,"양식12";#N/A,#N/A,TRUE,"양식13_1_2";#N/A,#N/A,TRUE,"양식13_2_2";#N/A,#N/A,TRUE,"양식14"}</definedName>
    <definedName name="AAAA_1_1" hidden="1">{#N/A,#N/A,TRUE,"양식5";#N/A,#N/A,TRUE,"양식1_2_2";#N/A,#N/A,TRUE,"양식1_1_2";#N/A,#N/A,TRUE,"양식2";#N/A,#N/A,TRUE,"양식4";#N/A,#N/A,TRUE,"양식3";#N/A,#N/A,TRUE,"양식6";#N/A,#N/A,TRUE,"양식7";#N/A,#N/A,TRUE,"양식10";#N/A,#N/A,TRUE,"양식11";#N/A,#N/A,TRUE,"양식12";#N/A,#N/A,TRUE,"양식13_1_2";#N/A,#N/A,TRUE,"양식13_2_2";#N/A,#N/A,TRUE,"양식14"}</definedName>
    <definedName name="AAAA_2" hidden="1">{#N/A,#N/A,TRUE,"양식5";#N/A,#N/A,TRUE,"양식1_2_2";#N/A,#N/A,TRUE,"양식1_1_2";#N/A,#N/A,TRUE,"양식2";#N/A,#N/A,TRUE,"양식4";#N/A,#N/A,TRUE,"양식3";#N/A,#N/A,TRUE,"양식6";#N/A,#N/A,TRUE,"양식7";#N/A,#N/A,TRUE,"양식10";#N/A,#N/A,TRUE,"양식11";#N/A,#N/A,TRUE,"양식12";#N/A,#N/A,TRUE,"양식13_1_2";#N/A,#N/A,TRUE,"양식13_2_2";#N/A,#N/A,TRUE,"양식14"}</definedName>
    <definedName name="AAAA_2_1" hidden="1">{#N/A,#N/A,TRUE,"양식5";#N/A,#N/A,TRUE,"양식1_2_2";#N/A,#N/A,TRUE,"양식1_1_2";#N/A,#N/A,TRUE,"양식2";#N/A,#N/A,TRUE,"양식4";#N/A,#N/A,TRUE,"양식3";#N/A,#N/A,TRUE,"양식6";#N/A,#N/A,TRUE,"양식7";#N/A,#N/A,TRUE,"양식10";#N/A,#N/A,TRUE,"양식11";#N/A,#N/A,TRUE,"양식12";#N/A,#N/A,TRUE,"양식13_1_2";#N/A,#N/A,TRUE,"양식13_2_2";#N/A,#N/A,TRUE,"양식14"}</definedName>
    <definedName name="AAAA_3" hidden="1">{#N/A,#N/A,TRUE,"양식5";#N/A,#N/A,TRUE,"양식1_2_2";#N/A,#N/A,TRUE,"양식1_1_2";#N/A,#N/A,TRUE,"양식2";#N/A,#N/A,TRUE,"양식4";#N/A,#N/A,TRUE,"양식3";#N/A,#N/A,TRUE,"양식6";#N/A,#N/A,TRUE,"양식7";#N/A,#N/A,TRUE,"양식10";#N/A,#N/A,TRUE,"양식11";#N/A,#N/A,TRUE,"양식12";#N/A,#N/A,TRUE,"양식13_1_2";#N/A,#N/A,TRUE,"양식13_2_2";#N/A,#N/A,TRUE,"양식14"}</definedName>
    <definedName name="AAAA_3_1" hidden="1">{#N/A,#N/A,TRUE,"양식5";#N/A,#N/A,TRUE,"양식1_2_2";#N/A,#N/A,TRUE,"양식1_1_2";#N/A,#N/A,TRUE,"양식2";#N/A,#N/A,TRUE,"양식4";#N/A,#N/A,TRUE,"양식3";#N/A,#N/A,TRUE,"양식6";#N/A,#N/A,TRUE,"양식7";#N/A,#N/A,TRUE,"양식10";#N/A,#N/A,TRUE,"양식11";#N/A,#N/A,TRUE,"양식12";#N/A,#N/A,TRUE,"양식13_1_2";#N/A,#N/A,TRUE,"양식13_2_2";#N/A,#N/A,TRUE,"양식14"}</definedName>
    <definedName name="AAAA_4" hidden="1">{#N/A,#N/A,TRUE,"양식5";#N/A,#N/A,TRUE,"양식1_2_2";#N/A,#N/A,TRUE,"양식1_1_2";#N/A,#N/A,TRUE,"양식2";#N/A,#N/A,TRUE,"양식4";#N/A,#N/A,TRUE,"양식3";#N/A,#N/A,TRUE,"양식6";#N/A,#N/A,TRUE,"양식7";#N/A,#N/A,TRUE,"양식10";#N/A,#N/A,TRUE,"양식11";#N/A,#N/A,TRUE,"양식12";#N/A,#N/A,TRUE,"양식13_1_2";#N/A,#N/A,TRUE,"양식13_2_2";#N/A,#N/A,TRUE,"양식14"}</definedName>
    <definedName name="AAAA_4_1" hidden="1">{#N/A,#N/A,TRUE,"양식5";#N/A,#N/A,TRUE,"양식1_2_2";#N/A,#N/A,TRUE,"양식1_1_2";#N/A,#N/A,TRUE,"양식2";#N/A,#N/A,TRUE,"양식4";#N/A,#N/A,TRUE,"양식3";#N/A,#N/A,TRUE,"양식6";#N/A,#N/A,TRUE,"양식7";#N/A,#N/A,TRUE,"양식10";#N/A,#N/A,TRUE,"양식11";#N/A,#N/A,TRUE,"양식12";#N/A,#N/A,TRUE,"양식13_1_2";#N/A,#N/A,TRUE,"양식13_2_2";#N/A,#N/A,TRUE,"양식14"}</definedName>
    <definedName name="AAAA_5" hidden="1">{#N/A,#N/A,TRUE,"양식5";#N/A,#N/A,TRUE,"양식1_2_2";#N/A,#N/A,TRUE,"양식1_1_2";#N/A,#N/A,TRUE,"양식2";#N/A,#N/A,TRUE,"양식4";#N/A,#N/A,TRUE,"양식3";#N/A,#N/A,TRUE,"양식6";#N/A,#N/A,TRUE,"양식7";#N/A,#N/A,TRUE,"양식10";#N/A,#N/A,TRUE,"양식11";#N/A,#N/A,TRUE,"양식12";#N/A,#N/A,TRUE,"양식13_1_2";#N/A,#N/A,TRUE,"양식13_2_2";#N/A,#N/A,TRUE,"양식14"}</definedName>
    <definedName name="AAAA_5_1" hidden="1">{#N/A,#N/A,TRUE,"양식5";#N/A,#N/A,TRUE,"양식1_2_2";#N/A,#N/A,TRUE,"양식1_1_2";#N/A,#N/A,TRUE,"양식2";#N/A,#N/A,TRUE,"양식4";#N/A,#N/A,TRUE,"양식3";#N/A,#N/A,TRUE,"양식6";#N/A,#N/A,TRUE,"양식7";#N/A,#N/A,TRUE,"양식10";#N/A,#N/A,TRUE,"양식11";#N/A,#N/A,TRUE,"양식12";#N/A,#N/A,TRUE,"양식13_1_2";#N/A,#N/A,TRUE,"양식13_2_2";#N/A,#N/A,TRUE,"양식14"}</definedName>
    <definedName name="AAAAA" hidden="1">{#N/A,#N/A,FALSE,"단축1";#N/A,#N/A,FALSE,"단축2";#N/A,#N/A,FALSE,"단축3";#N/A,#N/A,FALSE,"장축";#N/A,#N/A,FALSE,"4WD"}</definedName>
    <definedName name="aaaaa_1" hidden="1">{"'0808_월별 (2)'!$A$2:$T$28"}</definedName>
    <definedName name="aaaaa_1_1" hidden="1">{"'0808_월별 (2)'!$A$2:$T$28"}</definedName>
    <definedName name="aaaaa_2" hidden="1">{"'0808_월별 (2)'!$A$2:$T$28"}</definedName>
    <definedName name="aaaaa_2_1" hidden="1">{"'0808_월별 (2)'!$A$2:$T$28"}</definedName>
    <definedName name="aaaaa_3" hidden="1">{"'0808_월별 (2)'!$A$2:$T$28"}</definedName>
    <definedName name="aaaaa_3_1" hidden="1">{"'0808_월별 (2)'!$A$2:$T$28"}</definedName>
    <definedName name="aaaaa_4" hidden="1">{"'0808_월별 (2)'!$A$2:$T$28"}</definedName>
    <definedName name="aaaaa_4_1" hidden="1">{"'0808_월별 (2)'!$A$2:$T$28"}</definedName>
    <definedName name="aaaaa_5" hidden="1">{"'0808_월별 (2)'!$A$2:$T$28"}</definedName>
    <definedName name="aaaaa_5_1" hidden="1">{"'0808_월별 (2)'!$A$2:$T$28"}</definedName>
    <definedName name="AAAAA2" hidden="1">#REF!</definedName>
    <definedName name="AAAAAA" hidden="1">#REF!</definedName>
    <definedName name="AAAAAAA" hidden="1">{#N/A,#N/A,TRUE,"Y생산";#N/A,#N/A,TRUE,"Y판매";#N/A,#N/A,TRUE,"Y총물량";#N/A,#N/A,TRUE,"Y능력";#N/A,#N/A,TRUE,"YKD"}</definedName>
    <definedName name="aaaaaaaaaaa" hidden="1">{#N/A,#N/A,FALSE,"REPORT"}</definedName>
    <definedName name="aaaaaaaaaaaaaaa" hidden="1">{#N/A,#N/A,FALSE,"Pharm";#N/A,#N/A,FALSE,"WWCM"}</definedName>
    <definedName name="AAAAS" hidden="1">{#N/A,#N/A,FALSE,"정공"}</definedName>
    <definedName name="aaabb" hidden="1">{"Fiesta Facer Page",#N/A,FALSE,"Q_C_S";"Fiesta Main Page",#N/A,FALSE,"V_L";"Fiesta 95BP Struct",#N/A,FALSE,"StructBP";"Fiesta Post 95BP Struct",#N/A,FALSE,"AdjStructBP"}</definedName>
    <definedName name="aaafff" hidden="1">{"Fiesta Facer Page",#N/A,FALSE,"Q_C_S";"Fiesta Main Page",#N/A,FALSE,"V_L";"Fiesta 95BP Struct",#N/A,FALSE,"StructBP";"Fiesta Post 95BP Struct",#N/A,FALSE,"AdjStructBP"}</definedName>
    <definedName name="aaasb" hidden="1">{#N/A,#N/A,FALSE,"Pharm";#N/A,#N/A,FALSE,"WWCM"}</definedName>
    <definedName name="aab" hidden="1">{#N/A,#N/A,FALSE,"Sheet3"}</definedName>
    <definedName name="aad" hidden="1">{#N/A,#N/A,FALSE,"Sheet3"}</definedName>
    <definedName name="aaddd" hidden="1">{#N/A,#N/A,FALSE,"REPORT"}</definedName>
    <definedName name="aaf" hidden="1">{#N/A,#N/A,FALSE,"Sheet3"}</definedName>
    <definedName name="aafff" hidden="1">{"Fiesta Facer Page",#N/A,FALSE,"Q_C_S";"Fiesta Main Page",#N/A,FALSE,"V_L";"Fiesta 95BP Struct",#N/A,FALSE,"StructBP";"Fiesta Post 95BP Struct",#N/A,FALSE,"AdjStructBP"}</definedName>
    <definedName name="aafff_1" hidden="1">{"Fiesta Facer Page",#N/A,FALSE,"Q_C_S";"Fiesta Main Page",#N/A,FALSE,"V_L";"Fiesta 95BP Struct",#N/A,FALSE,"StructBP";"Fiesta Post 95BP Struct",#N/A,FALSE,"AdjStructBP"}</definedName>
    <definedName name="aafff_2" hidden="1">{"Fiesta Facer Page",#N/A,FALSE,"Q_C_S";"Fiesta Main Page",#N/A,FALSE,"V_L";"Fiesta 95BP Struct",#N/A,FALSE,"StructBP";"Fiesta Post 95BP Struct",#N/A,FALSE,"AdjStructBP"}</definedName>
    <definedName name="aafff_2_1" hidden="1">{"Fiesta Facer Page",#N/A,FALSE,"Q_C_S";"Fiesta Main Page",#N/A,FALSE,"V_L";"Fiesta 95BP Struct",#N/A,FALSE,"StructBP";"Fiesta Post 95BP Struct",#N/A,FALSE,"AdjStructBP"}</definedName>
    <definedName name="aafff_3" hidden="1">{"Fiesta Facer Page",#N/A,FALSE,"Q_C_S";"Fiesta Main Page",#N/A,FALSE,"V_L";"Fiesta 95BP Struct",#N/A,FALSE,"StructBP";"Fiesta Post 95BP Struct",#N/A,FALSE,"AdjStructBP"}</definedName>
    <definedName name="aafff_3_1" hidden="1">{"Fiesta Facer Page",#N/A,FALSE,"Q_C_S";"Fiesta Main Page",#N/A,FALSE,"V_L";"Fiesta 95BP Struct",#N/A,FALSE,"StructBP";"Fiesta Post 95BP Struct",#N/A,FALSE,"AdjStructBP"}</definedName>
    <definedName name="aafff_4" hidden="1">{"Fiesta Facer Page",#N/A,FALSE,"Q_C_S";"Fiesta Main Page",#N/A,FALSE,"V_L";"Fiesta 95BP Struct",#N/A,FALSE,"StructBP";"Fiesta Post 95BP Struct",#N/A,FALSE,"AdjStructBP"}</definedName>
    <definedName name="aag" hidden="1">{#N/A,#N/A,FALSE,"Sheet3"}</definedName>
    <definedName name="aaif" hidden="1">{#N/A,#N/A,FALSE,"단축1";#N/A,#N/A,FALSE,"단축2";#N/A,#N/A,FALSE,"단축3";#N/A,#N/A,FALSE,"장축";#N/A,#N/A,FALSE,"4WD"}</definedName>
    <definedName name="AAM" hidden="1">{#N/A,#N/A,FALSE,"정공"}</definedName>
    <definedName name="AAS" hidden="1">{#N/A,#N/A,FALSE,"정공"}</definedName>
    <definedName name="aasdfawef" hidden="1">{#N/A,#N/A,FALSE,"431"}</definedName>
    <definedName name="aasdsadfsafs" hidden="1">{#N/A,#N/A,FALSE,"Assumptions";#N/A,#N/A,FALSE,"Volumes";#N/A,#N/A,FALSE,"Pricing";#N/A,#N/A,FALSE,"Variable Cost";#N/A,#N/A,FALSE,"Investment";#N/A,#N/A,FALSE,"Profitability";#N/A,#N/A,FALSE,"Business Comparison"}</definedName>
    <definedName name="ab" hidden="1">{#N/A,#N/A,FALSE,"Assumptions";#N/A,#N/A,FALSE,"Volumes";#N/A,#N/A,FALSE,"Pricing";#N/A,#N/A,FALSE,"Variable Cost";#N/A,#N/A,FALSE,"Investment";#N/A,#N/A,FALSE,"Profitability";#N/A,#N/A,FALSE,"Business Comparison"}</definedName>
    <definedName name="abacate" hidden="1">{"works expense",#N/A,FALSE,"WORKS EXPENSE"}</definedName>
    <definedName name="abacate2" hidden="1">{"works expense",#N/A,FALSE,"WORKS EXPENSE"}</definedName>
    <definedName name="abbb" hidden="1">{"Fiesta Facer Page",#N/A,FALSE,"Q_C_S";"Fiesta Main Page",#N/A,FALSE,"V_L";"Fiesta 95BP Struct",#N/A,FALSE,"StructBP";"Fiesta Post 95BP Struct",#N/A,FALSE,"AdjStructBP"}</definedName>
    <definedName name="abbb_1" hidden="1">{"Fiesta Facer Page",#N/A,FALSE,"Q_C_S";"Fiesta Main Page",#N/A,FALSE,"V_L";"Fiesta 95BP Struct",#N/A,FALSE,"StructBP";"Fiesta Post 95BP Struct",#N/A,FALSE,"AdjStructBP"}</definedName>
    <definedName name="abbb_2" hidden="1">{"Fiesta Facer Page",#N/A,FALSE,"Q_C_S";"Fiesta Main Page",#N/A,FALSE,"V_L";"Fiesta 95BP Struct",#N/A,FALSE,"StructBP";"Fiesta Post 95BP Struct",#N/A,FALSE,"AdjStructBP"}</definedName>
    <definedName name="abbb_2_1" hidden="1">{"Fiesta Facer Page",#N/A,FALSE,"Q_C_S";"Fiesta Main Page",#N/A,FALSE,"V_L";"Fiesta 95BP Struct",#N/A,FALSE,"StructBP";"Fiesta Post 95BP Struct",#N/A,FALSE,"AdjStructBP"}</definedName>
    <definedName name="abbb_3" hidden="1">{"Fiesta Facer Page",#N/A,FALSE,"Q_C_S";"Fiesta Main Page",#N/A,FALSE,"V_L";"Fiesta 95BP Struct",#N/A,FALSE,"StructBP";"Fiesta Post 95BP Struct",#N/A,FALSE,"AdjStructBP"}</definedName>
    <definedName name="abbb_3_1" hidden="1">{"Fiesta Facer Page",#N/A,FALSE,"Q_C_S";"Fiesta Main Page",#N/A,FALSE,"V_L";"Fiesta 95BP Struct",#N/A,FALSE,"StructBP";"Fiesta Post 95BP Struct",#N/A,FALSE,"AdjStructBP"}</definedName>
    <definedName name="abbb_4" hidden="1">{"Fiesta Facer Page",#N/A,FALSE,"Q_C_S";"Fiesta Main Page",#N/A,FALSE,"V_L";"Fiesta 95BP Struct",#N/A,FALSE,"StructBP";"Fiesta Post 95BP Struct",#N/A,FALSE,"AdjStructBP"}</definedName>
    <definedName name="abbb1" hidden="1">{"Fiesta Facer Page",#N/A,FALSE,"Q_C_S";"Fiesta Main Page",#N/A,FALSE,"V_L";"Fiesta 95BP Struct",#N/A,FALSE,"StructBP";"Fiesta Post 95BP Struct",#N/A,FALSE,"AdjStructBP"}</definedName>
    <definedName name="abc" hidden="1">{#N/A,#N/A,FALSE,"431"}</definedName>
    <definedName name="abcd" hidden="1">{"profit statement",#N/A,FALSE,"P&amp;L STATEMENT"}</definedName>
    <definedName name="ABCDEF" hidden="1">{#N/A,#N/A,FALSE,"정공"}</definedName>
    <definedName name="abcdefg" hidden="1">{"EXPORT",#N/A,FALSE,"A8CONTENT"}</definedName>
    <definedName name="ABCD관리" hidden="1">{#N/A,#N/A,FALSE,"정공"}</definedName>
    <definedName name="ABDD" hidden="1">{#N/A,#N/A,FALSE,"단축1";#N/A,#N/A,FALSE,"단축2";#N/A,#N/A,FALSE,"단축3";#N/A,#N/A,FALSE,"장축";#N/A,#N/A,FALSE,"4WD"}</definedName>
    <definedName name="abgfdrt" hidden="1">{#N/A,#N/A,FALSE,"KMC최종회의(7월) 자료"}</definedName>
    <definedName name="AC" hidden="1">{#N/A,#N/A,FALSE,"Cover Sheet";#N/A,#N/A,FALSE,"Ave_Trans_Shp_Abs";#N/A,#N/A,FALSE,"Det_Shp_Abs";#N/A,#N/A,FALSE,"Ave_Trans_Inst_Abs";#N/A,#N/A,FALSE,"Det_Ins_Abs";#N/A,#N/A,FALSE,"Ave_Trans_Tot_ABS";#N/A,#N/A,FALSE,"Det_Total_ABS"}</definedName>
    <definedName name="ACB" hidden="1">{#N/A,#N/A,FALSE,"단축1";#N/A,#N/A,FALSE,"단축2";#N/A,#N/A,FALSE,"단축3";#N/A,#N/A,FALSE,"장축";#N/A,#N/A,FALSE,"4WD"}</definedName>
    <definedName name="ACC">"Account#"</definedName>
    <definedName name="Access_Button" hidden="1">"TARGT_1B_EN114_List"</definedName>
    <definedName name="Access_Button1" hidden="1">"TARGT_1B_EN114_List1"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Documents\SBOYLE\1_REQUES\U152\TARGT_1B.mdb"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hidden="1">{#N/A,#N/A,FALSE,"Sheet3"}</definedName>
    <definedName name="added3" hidden="1">{#N/A,#N/A,FALSE,"Profit Status";#N/A,#N/A,FALSE,"Invest";#N/A,#N/A,FALSE,"Revenue";#N/A,#N/A,FALSE,"Variable Cost";#N/A,#N/A,FALSE,"Options &amp; Series"}</definedName>
    <definedName name="ade" hidden="1">#REF!</definedName>
    <definedName name="adef" hidden="1">{#N/A,#N/A,FALSE,"정공"}</definedName>
    <definedName name="adelante" hidden="1">#REF!</definedName>
    <definedName name="adf" hidden="1">{"Fiesta Facer Page",#N/A,FALSE,"Q_C_S";"Fiesta Main Page",#N/A,FALSE,"V_L";"Fiesta 95BP Struct",#N/A,FALSE,"StructBP";"Fiesta Post 95BP Struct",#N/A,FALSE,"AdjStructBP"}</definedName>
    <definedName name="adf_1" hidden="1">{"Fiesta Facer Page",#N/A,FALSE,"Q_C_S";"Fiesta Main Page",#N/A,FALSE,"V_L";"Fiesta 95BP Struct",#N/A,FALSE,"StructBP";"Fiesta Post 95BP Struct",#N/A,FALSE,"AdjStructBP"}</definedName>
    <definedName name="adf_2" hidden="1">{"Fiesta Facer Page",#N/A,FALSE,"Q_C_S";"Fiesta Main Page",#N/A,FALSE,"V_L";"Fiesta 95BP Struct",#N/A,FALSE,"StructBP";"Fiesta Post 95BP Struct",#N/A,FALSE,"AdjStructBP"}</definedName>
    <definedName name="adf_3" hidden="1">{"Fiesta Facer Page",#N/A,FALSE,"Q_C_S";"Fiesta Main Page",#N/A,FALSE,"V_L";"Fiesta 95BP Struct",#N/A,FALSE,"StructBP";"Fiesta Post 95BP Struct",#N/A,FALSE,"AdjStructBP"}</definedName>
    <definedName name="adfdsf" hidden="1">{"profit statement",#N/A,FALSE,"P&amp;L STATEMENT"}</definedName>
    <definedName name="adfgasdysty" hidden="1">{#N/A,#N/A,FALSE,"REPORT"}</definedName>
    <definedName name="adfge" hidden="1">{#N/A,#N/A,TRUE,"Y생산";#N/A,#N/A,TRUE,"Y판매";#N/A,#N/A,TRUE,"Y총물량";#N/A,#N/A,TRUE,"Y능력";#N/A,#N/A,TRUE,"YKD"}</definedName>
    <definedName name="adfs" hidden="1">{#N/A,#N/A,FALSE,"미판매분"}</definedName>
    <definedName name="adfsfjfjky" hidden="1">{#N/A,#N/A,FALSE,"REPORT"}</definedName>
    <definedName name="ADGFD" hidden="1">{#N/A,#N/A,FALSE,"단축1";#N/A,#N/A,FALSE,"단축2";#N/A,#N/A,FALSE,"단축3";#N/A,#N/A,FALSE,"장축";#N/A,#N/A,FALSE,"4WD"}</definedName>
    <definedName name="ADGG" hidden="1">{#N/A,#N/A,TRUE,"Y생산";#N/A,#N/A,TRUE,"Y판매";#N/A,#N/A,TRUE,"Y총물량";#N/A,#N/A,TRUE,"Y능력";#N/A,#N/A,TRUE,"YKD"}</definedName>
    <definedName name="adgjpgjapj" hidden="1">{"Fiesta Facer Page",#N/A,FALSE,"Q_C_S";"Fiesta Main Page",#N/A,FALSE,"V_L";"Fiesta 95BP Struct",#N/A,FALSE,"StructBP";"Fiesta Post 95BP Struct",#N/A,FALSE,"AdjStructBP"}</definedName>
    <definedName name="adgjpgjapj_1" hidden="1">{"Fiesta Facer Page",#N/A,FALSE,"Q_C_S";"Fiesta Main Page",#N/A,FALSE,"V_L";"Fiesta 95BP Struct",#N/A,FALSE,"StructBP";"Fiesta Post 95BP Struct",#N/A,FALSE,"AdjStructBP"}</definedName>
    <definedName name="adgjpgjapj_2" hidden="1">{"Fiesta Facer Page",#N/A,FALSE,"Q_C_S";"Fiesta Main Page",#N/A,FALSE,"V_L";"Fiesta 95BP Struct",#N/A,FALSE,"StructBP";"Fiesta Post 95BP Struct",#N/A,FALSE,"AdjStructBP"}</definedName>
    <definedName name="adgjpgjapj_3" hidden="1">{"Fiesta Facer Page",#N/A,FALSE,"Q_C_S";"Fiesta Main Page",#N/A,FALSE,"V_L";"Fiesta 95BP Struct",#N/A,FALSE,"StructBP";"Fiesta Post 95BP Struct",#N/A,FALSE,"AdjStructBP"}</definedName>
    <definedName name="adsaffdsa" hidden="1">#REF!</definedName>
    <definedName name="ADSD" hidden="1">#REF!</definedName>
    <definedName name="ADSDF" hidden="1">{#N/A,#N/A,TRUE,"Y생산";#N/A,#N/A,TRUE,"Y판매";#N/A,#N/A,TRUE,"Y총물량";#N/A,#N/A,TRUE,"Y능력";#N/A,#N/A,TRUE,"YKD"}</definedName>
    <definedName name="adsfd" hidden="1">{"EXPORT",#N/A,FALSE,"A8CONTENT"}</definedName>
    <definedName name="aefaesfeas" hidden="1">{"works expense",#N/A,FALSE,"WORKS EXPENSE"}</definedName>
    <definedName name="AERHTRJN" hidden="1">{#N/A,#N/A,TRUE,"Y생산";#N/A,#N/A,TRUE,"Y판매";#N/A,#N/A,TRUE,"Y총물량";#N/A,#N/A,TRUE,"Y능력";#N/A,#N/A,TRUE,"YKD"}</definedName>
    <definedName name="AERWGFDB" hidden="1">{#N/A,#N/A,FALSE,"96 3월물량표";#N/A,#N/A,FALSE,"96 4월물량표";#N/A,#N/A,FALSE,"96 5월물량표"}</definedName>
    <definedName name="AET" hidden="1">#REF!</definedName>
    <definedName name="AF" hidden="1">{#N/A,#N/A,FALSE,"India - 3f";#N/A,#N/A,FALSE,"India - 3";#N/A,#N/A,FALSE,"India - 4f";#N/A,#N/A,FALSE,"India - 4";#N/A,#N/A,FALSE,"Retail Spider"}</definedName>
    <definedName name="afadsf" hidden="1">{"works expense",#N/A,FALSE,"WORKS EXPENSE"}</definedName>
    <definedName name="afasdf" hidden="1">{"works expense",#N/A,FALSE,"WORKS EXPENSE"}</definedName>
    <definedName name="afd" hidden="1">{"Fiesta Facer Page",#N/A,FALSE,"Q_C_S";"Fiesta Main Page",#N/A,FALSE,"V_L";"Fiesta 95BP Struct",#N/A,FALSE,"StructBP";"Fiesta Post 95BP Struct",#N/A,FALSE,"AdjStructBP"}</definedName>
    <definedName name="AFDADSFDAS" hidden="1">{#N/A,#N/A,FALSE,"REPORT"}</definedName>
    <definedName name="afdsafasdf" hidden="1">{"capital",#N/A,FALSE,"CAPITAL_DEP'N"}</definedName>
    <definedName name="aff" hidden="1">{#N/A,#N/A,FALSE,"단축1";#N/A,#N/A,FALSE,"단축2";#N/A,#N/A,FALSE,"단축3";#N/A,#N/A,FALSE,"장축";#N/A,#N/A,FALSE,"4WD"}</definedName>
    <definedName name="africa" hidden="1">{#N/A,#N/A,FALSE,"CNS";#N/A,#N/A,FALSE,"Serz";#N/A,#N/A,FALSE,"Ace"}</definedName>
    <definedName name="agafdhsdh" hidden="1">{#N/A,#N/A,FALSE,"REPORT"}</definedName>
    <definedName name="agag" hidden="1">{"adj95mult",#N/A,FALSE,"COMPCO";"adj95est",#N/A,FALSE,"COMPCO"}</definedName>
    <definedName name="agfdgads" hidden="1">{"Fcst II",#N/A,FALSE,"(1)-PROFIT SUM.";"Risk_Adj._Fcst.",#N/A,FALSE,"(2)-Risk Adj. Fcst.";"Fcst._to_Budget",#N/A,FALSE,"(3)-Fcst. to Bdgt.";"Yr._O_Yr",#N/A,FALSE,"(4)-Yr.-O-Yr."}</definedName>
    <definedName name="agsgaghgfj" hidden="1">{#N/A,#N/A,FALSE,"Pharm";#N/A,#N/A,FALSE,"WWCM"}</definedName>
    <definedName name="aha" hidden="1">{"'0808_월별 (2)'!$A$2:$T$28"}</definedName>
    <definedName name="AHGFDAS" hidden="1">{#N/A,#N/A,FALSE,"단축1";#N/A,#N/A,FALSE,"단축2";#N/A,#N/A,FALSE,"단축3";#N/A,#N/A,FALSE,"장축";#N/A,#N/A,FALSE,"4WD"}</definedName>
    <definedName name="AIOPWER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ir" hidden="1">{#N/A,#N/A,FALSE,"Cash Flows";#N/A,#N/A,FALSE,"Fixed Assets";#N/A,#N/A,FALSE,"Balance Sheet";#N/A,#N/A,FALSE,"P &amp; L"}</definedName>
    <definedName name="AIRCON" hidden="1">{#N/A,#N/A,FALSE,"단축1";#N/A,#N/A,FALSE,"단축2";#N/A,#N/A,FALSE,"단축3";#N/A,#N/A,FALSE,"장축";#N/A,#N/A,FALSE,"4WD"}</definedName>
    <definedName name="akrka123" hidden="1">{#N/A,#N/A,TRUE,"Y생산";#N/A,#N/A,TRUE,"Y판매";#N/A,#N/A,TRUE,"Y총물량";#N/A,#N/A,TRUE,"Y능력";#N/A,#N/A,TRUE,"YKD"}</definedName>
    <definedName name="aksmf" hidden="1">{"'7'!$B$15:$D$32"}</definedName>
    <definedName name="alex" hidden="1">{#N/A,#N/A,FALSE,"REPORT"}</definedName>
    <definedName name="alexan" hidden="1">{#N/A,#N/A,FALSE,"REPORT"}</definedName>
    <definedName name="All3AltriRicavi" hidden="1">{#N/A,#N/A,FALSE,"afa linear";#N/A,#N/A,FALSE,"mit 10% zuschuss";#N/A,#N/A,FALSE,"mit 25% zuschuss"}</definedName>
    <definedName name="All3AltriRicavi_1" hidden="1">{#N/A,#N/A,FALSE,"afa linear";#N/A,#N/A,FALSE,"mit 10% zuschuss";#N/A,#N/A,FALSE,"mit 25% zuschuss"}</definedName>
    <definedName name="All3AltriRicavi_2" hidden="1">{#N/A,#N/A,FALSE,"afa linear";#N/A,#N/A,FALSE,"mit 10% zuschuss";#N/A,#N/A,FALSE,"mit 25% zuschuss"}</definedName>
    <definedName name="allegato" hidden="1">{#N/A,#N/A,FALSE,"italien97+98";#N/A,#N/A,FALSE,"italien 99+2000"}</definedName>
    <definedName name="allegato_1" hidden="1">{#N/A,#N/A,FALSE,"italien97+98";#N/A,#N/A,FALSE,"italien 99+2000"}</definedName>
    <definedName name="allegato_2" hidden="1">{#N/A,#N/A,FALSE,"italien97+98";#N/A,#N/A,FALSE,"italien 99+2000"}</definedName>
    <definedName name="andy" hidden="1">{#N/A,#N/A,FALSE,"REPORT"}</definedName>
    <definedName name="anscount" hidden="1">1</definedName>
    <definedName name="AOCNFTHSDLR" hidden="1">{#N/A,#N/A,FALSE,"정공"}</definedName>
    <definedName name="aoejs" hidden="1">#REF!</definedName>
    <definedName name="APFJ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N" hidden="1">{"SCHED",#N/A,FALSE,"98FCTSCH  PAGES 1&amp;2"}</definedName>
    <definedName name="apn_" hidden="1">{"SCHED",#N/A,FALSE,"98FCTSCH  PAGES 1&amp;2"}</definedName>
    <definedName name="Appendix" hidden="1">{#N/A,#N/A,FALSE,"Cover Page";#N/A,#N/A,FALSE,"Facing Page";#N/A,#N/A,FALSE,"Main Page";#N/A,#N/A,FALSE,"Risk-Adjusted";#N/A,#N/A,FALSE,"Profit Improvement"}</definedName>
    <definedName name="AQAA" hidden="1">{"EXPORT",#N/A,FALSE,"A8CONTENT"}</definedName>
    <definedName name="AQP" hidden="1">{#N/A,#N/A,FALSE,"96 3월물량표";#N/A,#N/A,FALSE,"96 4월물량표";#N/A,#N/A,FALSE,"96 5월물량표"}</definedName>
    <definedName name="aqz" hidden="1">{#N/A,#N/A,FALSE,"KMC최종회의(7월) 자료"}</definedName>
    <definedName name="AR" hidden="1">{"LES",#N/A,FALSE,"PRINT";"TFI",#N/A,FALSE,"PRINT"}</definedName>
    <definedName name="arege" hidden="1">{#N/A,#N/A,FALSE,"Sheet3"}</definedName>
    <definedName name="aregy" hidden="1">{#N/A,#N/A,TRUE,"Y생산";#N/A,#N/A,TRUE,"Y판매";#N/A,#N/A,TRUE,"Y총물량";#N/A,#N/A,TRUE,"Y능력";#N/A,#N/A,TRUE,"YKD"}</definedName>
    <definedName name="as" hidden="1">{"Fiesta Facer Page",#N/A,FALSE,"Q_C_S";"Fiesta Main Page",#N/A,FALSE,"V_L";"Fiesta 95BP Struct",#N/A,FALSE,"StructBP";"Fiesta Post 95BP Struct",#N/A,FALSE,"AdjStructBP"}</definedName>
    <definedName name="as_1" hidden="1">{"Fiesta Facer Page",#N/A,FALSE,"Q_C_S";"Fiesta Main Page",#N/A,FALSE,"V_L";"Fiesta 95BP Struct",#N/A,FALSE,"StructBP";"Fiesta Post 95BP Struct",#N/A,FALSE,"AdjStructBP"}</definedName>
    <definedName name="as_2" hidden="1">{"Fiesta Facer Page",#N/A,FALSE,"Q_C_S";"Fiesta Main Page",#N/A,FALSE,"V_L";"Fiesta 95BP Struct",#N/A,FALSE,"StructBP";"Fiesta Post 95BP Struct",#N/A,FALSE,"AdjStructBP"}</definedName>
    <definedName name="as_3" hidden="1">{"Fiesta Facer Page",#N/A,FALSE,"Q_C_S";"Fiesta Main Page",#N/A,FALSE,"V_L";"Fiesta 95BP Struct",#N/A,FALSE,"StructBP";"Fiesta Post 95BP Struct",#N/A,FALSE,"AdjStructBP"}</definedName>
    <definedName name="AS2DocOpenMode" hidden="1">"AS2DocumentEdit"</definedName>
    <definedName name="AS2ReportLS" hidden="1">1</definedName>
    <definedName name="AS2SyncStepLS" hidden="1">0</definedName>
    <definedName name="AS2VersionLS" hidden="1">300</definedName>
    <definedName name="asads" hidden="1">{#N/A,#N/A,FALSE,"미판매분"}</definedName>
    <definedName name="asaf" hidden="1">{#N/A,#N/A,FALSE,"미판매분"}</definedName>
    <definedName name="asas" hidden="1">{#N/A,#N/A,FALSE,"Cover Sheet";#N/A,#N/A,FALSE,"Ave_Trans_Shp_Abs";#N/A,#N/A,FALSE,"Det_Shp_Abs";#N/A,#N/A,FALSE,"Ave_Trans_Inst_Abs";#N/A,#N/A,FALSE,"Det_Ins_Abs";#N/A,#N/A,FALSE,"Ave_Trans_Tot_ABS";#N/A,#N/A,FALSE,"Det_Total_ABS"}</definedName>
    <definedName name="asasasws" hidden="1">{#N/A,#N/A,FALSE,"단축1";#N/A,#N/A,FALSE,"단축2";#N/A,#N/A,FALSE,"단축3";#N/A,#N/A,FALSE,"장축";#N/A,#N/A,FALSE,"4WD"}</definedName>
    <definedName name="asda" hidden="1">{#N/A,#N/A,FALSE,"Cash Flows";#N/A,#N/A,FALSE,"Fixed Assets";#N/A,#N/A,FALSE,"Balance Sheet";#N/A,#N/A,FALSE,"P &amp; L"}</definedName>
    <definedName name="asdada" hidden="1">{#N/A,#N/A,FALSE,"Cover";#N/A,#N/A,FALSE,"Profits";#N/A,#N/A,FALSE,"ABS";#N/A,#N/A,FALSE,"TFLE Detail";#N/A,#N/A,FALSE,"TFLE Walk";#N/A,#N/A,FALSE,"Variable Cost";#N/A,#N/A,FALSE,"V.C. Walk"}</definedName>
    <definedName name="asdasdf" hidden="1">{"Fcst II",#N/A,FALSE,"(1)-PROFIT SUM.";"Risk_Adj._Fcst.",#N/A,FALSE,"(2)-Risk Adj. Fcst.";"Fcst._to_Budget",#N/A,FALSE,"(3)-Fcst. to Bdgt.";"Yr._O_Yr",#N/A,FALSE,"(4)-Yr.-O-Yr."}</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f" hidden="1">{"Fiesta Facer Page",#N/A,FALSE,"Q_C_S";"Fiesta Main Page",#N/A,FALSE,"V_L";"Fiesta 95BP Struct",#N/A,FALSE,"StructBP";"Fiesta Post 95BP Struct",#N/A,FALSE,"AdjStructBP"}</definedName>
    <definedName name="asdfaefe" hidden="1">{"profit statement",#N/A,FALSE,"P&amp;L STATEMENT"}</definedName>
    <definedName name="asdfasdf" hidden="1">{"sga expense",#N/A,FALSE,"S,G&amp;A EXP"}</definedName>
    <definedName name="ASDFASDFADF" hidden="1">{"'Sheet1'!$A$211:$M$235"}</definedName>
    <definedName name="asdfasdfasdf" hidden="1">{#N/A,#N/A,FALSE,"431"}</definedName>
    <definedName name="ASDFA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gqwrg" hidden="1">{#N/A,#N/A,FALSE,"431"}</definedName>
    <definedName name="ASDFGT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sa" hidden="1">{#N/A,#N/A,FALSE,"Cover Sheet";#N/A,#N/A,FALSE,"Ave_Trans_Shp_Abs";#N/A,#N/A,FALSE,"Det_Shp_Abs";#N/A,#N/A,FALSE,"Ave_Trans_Inst_Abs";#N/A,#N/A,FALSE,"Det_Ins_Abs";#N/A,#N/A,FALSE,"Ave_Trans_Tot_ABS";#N/A,#N/A,FALSE,"Det_Total_ABS"}</definedName>
    <definedName name="asdfsadf" hidden="1">{"product cost",#N/A,FALSE,"P&amp;L STATEMENT"}</definedName>
    <definedName name="ASDFV" hidden="1">{#N/A,#N/A,TRUE,"일정"}</definedName>
    <definedName name="asdfwerqwerwe" hidden="1">{#N/A,#N/A,FALSE,"431"}</definedName>
    <definedName name="asdgahdfhth" hidden="1">{#N/A,#N/A,FALSE,"REPORT"}</definedName>
    <definedName name="asdgayery" hidden="1">{#N/A,#N/A,FALSE,"Pharm";#N/A,#N/A,FALSE,"WWCM"}</definedName>
    <definedName name="asdgfdytyet" hidden="1">{#N/A,#N/A,FALSE,"REPORT"}</definedName>
    <definedName name="ASDGFSDG" hidden="1">{#N/A,#N/A,FALSE,"96 3월물량표";#N/A,#N/A,FALSE,"96 4월물량표";#N/A,#N/A,FALSE,"96 5월물량표"}</definedName>
    <definedName name="asdgtryukuio" hidden="1">{#N/A,#N/A,FALSE,"REPORT"}</definedName>
    <definedName name="asdjgkl" hidden="1">{#N/A,#N/A,FALSE,"Pharm";#N/A,#N/A,FALSE,"WWCM"}</definedName>
    <definedName name="ASDJKFH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LKF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re.dlfjdsf" hidden="1">{"product cost",#N/A,FALSE,"P&amp;L STATEMENT"}</definedName>
    <definedName name="ASDV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 hidden="1">{#N/A,#N/A,FALSE,"초도품";#N/A,#N/A,FALSE,"초도품 (2)";#N/A,#N/A,FALSE,"초도품 (3)";#N/A,#N/A,FALSE,"초도품 (4)";#N/A,#N/A,FALSE,"초도품 (5)";#N/A,#N/A,FALSE,"초도품 (6)"}</definedName>
    <definedName name="asefq" hidden="1">{#N/A,#N/A,FALSE,"96 3월물량표";#N/A,#N/A,FALSE,"96 4월물량표";#N/A,#N/A,FALSE,"96 5월물량표"}</definedName>
    <definedName name="asewa" hidden="1">{#N/A,#N/A,FALSE,"KMC최종회의(7월) 자료"}</definedName>
    <definedName name="asfd" hidden="1">{#N/A,#N/A,FALSE,"Cover Sheet";#N/A,#N/A,FALSE,"Ave_Trans_Shp_Abs";#N/A,#N/A,FALSE,"Det_Shp_Abs";#N/A,#N/A,FALSE,"Ave_Trans_Inst_Abs";#N/A,#N/A,FALSE,"Det_Ins_Abs";#N/A,#N/A,FALSE,"Ave_Trans_Tot_ABS";#N/A,#N/A,FALSE,"Det_Total_ABS"}</definedName>
    <definedName name="asffghujyki" hidden="1">{#N/A,#N/A,FALSE,"Pharm";#N/A,#N/A,FALSE,"WWCM"}</definedName>
    <definedName name="asfsadfadsf" hidden="1">{"manpower",#N/A,FALSE,"MANPOWER_PAYROLL"}</definedName>
    <definedName name="asfsadfasdf" hidden="1">{"profit statement",#N/A,FALSE,"P&amp;L STATEMENT"}</definedName>
    <definedName name="ASGA" hidden="1">{#N/A,#N/A,FALSE,"단축1";#N/A,#N/A,FALSE,"단축2";#N/A,#N/A,FALSE,"단축3";#N/A,#N/A,FALSE,"장축";#N/A,#N/A,FALSE,"4WD"}</definedName>
    <definedName name="ashis" hidden="1">{#N/A,#N/A,FALSE,"8"}</definedName>
    <definedName name="ashish" hidden="1">{#N/A,#N/A,FALSE,"11"}</definedName>
    <definedName name="ASSA" hidden="1">{#N/A,#N/A,FALSE,"1";#N/A,#N/A,FALSE,"2";#N/A,#N/A,FALSE,"16 - 17";#N/A,#N/A,FALSE,"18 - 19";#N/A,#N/A,FALSE,"26";#N/A,#N/A,FALSE,"27";#N/A,#N/A,FALSE,"28"}</definedName>
    <definedName name="assdewdwe" hidden="1">{#N/A,#N/A,FALSE,"단축1";#N/A,#N/A,FALSE,"단축2";#N/A,#N/A,FALSE,"단축3";#N/A,#N/A,FALSE,"장축";#N/A,#N/A,FALSE,"4WD"}</definedName>
    <definedName name="ASSY" hidden="1">{#N/A,#N/A,FALSE,"단축1";#N/A,#N/A,FALSE,"단축2";#N/A,#N/A,FALSE,"단축3";#N/A,#N/A,FALSE,"장축";#N/A,#N/A,FALSE,"4WD"}</definedName>
    <definedName name="AT" hidden="1">{#N/A,#N/A,FALSE,"인원";#N/A,#N/A,FALSE,"비용2";#N/A,#N/A,FALSE,"비용1";#N/A,#N/A,FALSE,"비용";#N/A,#N/A,FALSE,"보증2";#N/A,#N/A,FALSE,"보증1";#N/A,#N/A,FALSE,"보증";#N/A,#N/A,FALSE,"손익1";#N/A,#N/A,FALSE,"손익";#N/A,#N/A,FALSE,"부서별매출";#N/A,#N/A,FALSE,"매출"}</definedName>
    <definedName name="attm_abc" hidden="1">{"Presentation",#N/A,FALSE,"Feb96 - ALL"}</definedName>
    <definedName name="attm_abc_1" hidden="1">{"Presentation",#N/A,FALSE,"Feb96 - ALL"}</definedName>
    <definedName name="attm_abc_2" hidden="1">{"Presentation",#N/A,FALSE,"Feb96 - ALL"}</definedName>
    <definedName name="attm_abc_2_1" hidden="1">{"Presentation",#N/A,FALSE,"Feb96 - ALL"}</definedName>
    <definedName name="attm_abc_3" hidden="1">{"Presentation",#N/A,FALSE,"Feb96 - ALL"}</definedName>
    <definedName name="attm_abc_3_1" hidden="1">{"Presentation",#N/A,FALSE,"Feb96 - ALL"}</definedName>
    <definedName name="attm_abc_4" hidden="1">{"Presentation",#N/A,FALSE,"Feb96 - ALL"}</definedName>
    <definedName name="AV" hidden="1">{#N/A,#N/A,FALSE,"KMC최종회의(7월) 자료"}</definedName>
    <definedName name="avevav" hidden="1">{"Fiesta Facer Page",#N/A,FALSE,"Q_C_S";"Fiesta Main Page",#N/A,FALSE,"V_L";"Fiesta 95BP Struct",#N/A,FALSE,"StructBP";"Fiesta Post 95BP Struct",#N/A,FALSE,"AdjStructBP"}</definedName>
    <definedName name="avvrewa" hidden="1">{"Presentation",#N/A,FALSE,"Feb96 - ALL"}</definedName>
    <definedName name="AWE" hidden="1">{#N/A,#N/A,FALSE,"초도품";#N/A,#N/A,FALSE,"초도품 (2)";#N/A,#N/A,FALSE,"초도품 (3)";#N/A,#N/A,FALSE,"초도품 (4)";#N/A,#N/A,FALSE,"초도품 (5)";#N/A,#N/A,FALSE,"초도품 (6)"}</definedName>
    <definedName name="awefgdvb" hidden="1">{#N/A,#N/A,TRUE,"Y생산";#N/A,#N/A,TRUE,"Y판매";#N/A,#N/A,TRUE,"Y총물량";#N/A,#N/A,TRUE,"Y능력";#N/A,#N/A,TRUE,"YKD"}</definedName>
    <definedName name="AWEGDFBV" hidden="1">{#N/A,#N/A,TRUE,"Y생산";#N/A,#N/A,TRUE,"Y판매";#N/A,#N/A,TRUE,"Y총물량";#N/A,#N/A,TRUE,"Y능력";#N/A,#N/A,TRUE,"YKD"}</definedName>
    <definedName name="AWEGERHBDFB" hidden="1">{#N/A,#N/A,TRUE,"Y생산";#N/A,#N/A,TRUE,"Y판매";#N/A,#N/A,TRUE,"Y총물량";#N/A,#N/A,TRUE,"Y능력";#N/A,#N/A,TRUE,"YKD"}</definedName>
    <definedName name="AWERGERGH" hidden="1">{#N/A,#N/A,FALSE,"96 3월물량표";#N/A,#N/A,FALSE,"96 4월물량표";#N/A,#N/A,FALSE,"96 5월물량표"}</definedName>
    <definedName name="AWETDFBV" hidden="1">{#N/A,#N/A,TRUE,"Y생산";#N/A,#N/A,TRUE,"Y판매";#N/A,#N/A,TRUE,"Y총물량";#N/A,#N/A,TRUE,"Y능력";#N/A,#N/A,TRUE,"YKD"}</definedName>
    <definedName name="AX" hidden="1">{#N/A,#N/A,FALSE,"Pharm";#N/A,#N/A,FALSE,"WWCM"}</definedName>
    <definedName name="axcdf" hidden="1">{#N/A,#N/A,FALSE,"정공"}</definedName>
    <definedName name="AXD" hidden="1">{#N/A,#N/A,FALSE,"초도품";#N/A,#N/A,FALSE,"초도품 (2)";#N/A,#N/A,FALSE,"초도품 (3)";#N/A,#N/A,FALSE,"초도품 (4)";#N/A,#N/A,FALSE,"초도품 (5)";#N/A,#N/A,FALSE,"초도품 (6)"}</definedName>
    <definedName name="axxs" hidden="1">{#N/A,#N/A,FALSE,"KMC최종회의(7월) 자료"}</definedName>
    <definedName name="âylin" hidden="1">#REF!</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{"Fiesta Facer Page",#N/A,FALSE,"Q_C_S";"Fiesta Main Page",#N/A,FALSE,"V_L";"Fiesta 95BP Struct",#N/A,FALSE,"StructBP";"Fiesta Post 95BP Struct",#N/A,FALSE,"AdjStructBP"}</definedName>
    <definedName name="b_1" hidden="1">{"Fiesta Facer Page",#N/A,FALSE,"Q_C_S";"Fiesta Main Page",#N/A,FALSE,"V_L";"Fiesta 95BP Struct",#N/A,FALSE,"StructBP";"Fiesta Post 95BP Struct",#N/A,FALSE,"AdjStructBP"}</definedName>
    <definedName name="b_1_1" hidden="1">{#N/A,#N/A,TRUE,"양식5";#N/A,#N/A,TRUE,"양식1_2_2";#N/A,#N/A,TRUE,"양식1_1_2";#N/A,#N/A,TRUE,"양식2";#N/A,#N/A,TRUE,"양식4";#N/A,#N/A,TRUE,"양식3";#N/A,#N/A,TRUE,"양식6";#N/A,#N/A,TRUE,"양식7";#N/A,#N/A,TRUE,"양식10";#N/A,#N/A,TRUE,"양식11";#N/A,#N/A,TRUE,"양식12";#N/A,#N/A,TRUE,"양식13_1_2";#N/A,#N/A,TRUE,"양식13_2_2";#N/A,#N/A,TRUE,"양식14"}</definedName>
    <definedName name="b_2" hidden="1">{"Fiesta Facer Page",#N/A,FALSE,"Q_C_S";"Fiesta Main Page",#N/A,FALSE,"V_L";"Fiesta 95BP Struct",#N/A,FALSE,"StructBP";"Fiesta Post 95BP Struct",#N/A,FALSE,"AdjStructBP"}</definedName>
    <definedName name="b_2_1" hidden="1">{"Fiesta Facer Page",#N/A,FALSE,"Q_C_S";"Fiesta Main Page",#N/A,FALSE,"V_L";"Fiesta 95BP Struct",#N/A,FALSE,"StructBP";"Fiesta Post 95BP Struct",#N/A,FALSE,"AdjStructBP"}</definedName>
    <definedName name="b_3" hidden="1">{"Fiesta Facer Page",#N/A,FALSE,"Q_C_S";"Fiesta Main Page",#N/A,FALSE,"V_L";"Fiesta 95BP Struct",#N/A,FALSE,"StructBP";"Fiesta Post 95BP Struct",#N/A,FALSE,"AdjStructBP"}</definedName>
    <definedName name="b_3_1" hidden="1">{"Fiesta Facer Page",#N/A,FALSE,"Q_C_S";"Fiesta Main Page",#N/A,FALSE,"V_L";"Fiesta 95BP Struct",#N/A,FALSE,"StructBP";"Fiesta Post 95BP Struct",#N/A,FALSE,"AdjStructBP"}</definedName>
    <definedName name="b_4" hidden="1">{"Fiesta Facer Page",#N/A,FALSE,"Q_C_S";"Fiesta Main Page",#N/A,FALSE,"V_L";"Fiesta 95BP Struct",#N/A,FALSE,"StructBP";"Fiesta Post 95BP Struct",#N/A,FALSE,"AdjStructBP"}</definedName>
    <definedName name="b_4_1" hidden="1">{#N/A,#N/A,TRUE,"양식5";#N/A,#N/A,TRUE,"양식1_2_2";#N/A,#N/A,TRUE,"양식1_1_2";#N/A,#N/A,TRUE,"양식2";#N/A,#N/A,TRUE,"양식4";#N/A,#N/A,TRUE,"양식3";#N/A,#N/A,TRUE,"양식6";#N/A,#N/A,TRUE,"양식7";#N/A,#N/A,TRUE,"양식10";#N/A,#N/A,TRUE,"양식11";#N/A,#N/A,TRUE,"양식12";#N/A,#N/A,TRUE,"양식13_1_2";#N/A,#N/A,TRUE,"양식13_2_2";#N/A,#N/A,TRUE,"양식14"}</definedName>
    <definedName name="b_5" hidden="1">{#N/A,#N/A,TRUE,"양식5";#N/A,#N/A,TRUE,"양식1_2_2";#N/A,#N/A,TRUE,"양식1_1_2";#N/A,#N/A,TRUE,"양식2";#N/A,#N/A,TRUE,"양식4";#N/A,#N/A,TRUE,"양식3";#N/A,#N/A,TRUE,"양식6";#N/A,#N/A,TRUE,"양식7";#N/A,#N/A,TRUE,"양식10";#N/A,#N/A,TRUE,"양식11";#N/A,#N/A,TRUE,"양식12";#N/A,#N/A,TRUE,"양식13_1_2";#N/A,#N/A,TRUE,"양식13_2_2";#N/A,#N/A,TRUE,"양식14"}</definedName>
    <definedName name="b_5_1" hidden="1">{#N/A,#N/A,TRUE,"양식5";#N/A,#N/A,TRUE,"양식1_2_2";#N/A,#N/A,TRUE,"양식1_1_2";#N/A,#N/A,TRUE,"양식2";#N/A,#N/A,TRUE,"양식4";#N/A,#N/A,TRUE,"양식3";#N/A,#N/A,TRUE,"양식6";#N/A,#N/A,TRUE,"양식7";#N/A,#N/A,TRUE,"양식10";#N/A,#N/A,TRUE,"양식11";#N/A,#N/A,TRUE,"양식12";#N/A,#N/A,TRUE,"양식13_1_2";#N/A,#N/A,TRUE,"양식13_2_2";#N/A,#N/A,TRUE,"양식14"}</definedName>
    <definedName name="Backup" hidden="1">{"Fiesta Facer Page",#N/A,FALSE,"Q_C_S";"Fiesta Main Page",#N/A,FALSE,"V_L";"Fiesta 95BP Struct",#N/A,FALSE,"StructBP";"Fiesta Post 95BP Struct",#N/A,FALSE,"AdjStructBP"}</definedName>
    <definedName name="baj" hidden="1">{"turnover",#N/A,FALSE;"profits",#N/A,FALSE;"cash",#N/A,FALSE}</definedName>
    <definedName name="BaseData_1" hidden="1">{#N/A,#N/A,FALSE,"Cash Flows";#N/A,#N/A,FALSE,"Fixed Assets";#N/A,#N/A,FALSE,"Balance Sheet";#N/A,#N/A,FALSE,"P &amp; L"}</definedName>
    <definedName name="basti" hidden="1">{#N/A,#N/A,FALSE,"title";#N/A,#N/A,FALSE,"AVE VEH";#N/A,#N/A,FALSE,"METRICS";#N/A,#N/A,FALSE,"Prod Cost";#N/A,#N/A,FALSE,"CMTOTCST";#N/A,#N/A,FALSE,"Roadmap";#N/A,#N/A,FALSE,"Road Text";#N/A,#N/A,FALSE,"VAVE";#N/A,#N/A,FALSE,"Warranty #1";#N/A,#N/A,FALSE,"Warranty #2";#N/A,#N/A,FALSE,"Purchasing"}</definedName>
    <definedName name="bb" hidden="1">{"Fiesta Facer Page",#N/A,FALSE,"Q_C_S";"Fiesta Main Page",#N/A,FALSE,"V_L";"Fiesta 95BP Struct",#N/A,FALSE,"StructBP";"Fiesta Post 95BP Struct",#N/A,FALSE,"AdjStructBP"}</definedName>
    <definedName name="bb_1" hidden="1">{"Fiesta Facer Page",#N/A,FALSE,"Q_C_S";"Fiesta Main Page",#N/A,FALSE,"V_L";"Fiesta 95BP Struct",#N/A,FALSE,"StructBP";"Fiesta Post 95BP Struct",#N/A,FALSE,"AdjStructBP"}</definedName>
    <definedName name="bb_2" hidden="1">{"Fiesta Facer Page",#N/A,FALSE,"Q_C_S";"Fiesta Main Page",#N/A,FALSE,"V_L";"Fiesta 95BP Struct",#N/A,FALSE,"StructBP";"Fiesta Post 95BP Struct",#N/A,FALSE,"AdjStructBP"}</definedName>
    <definedName name="bb_2_1" hidden="1">{"Fiesta Facer Page",#N/A,FALSE,"Q_C_S";"Fiesta Main Page",#N/A,FALSE,"V_L";"Fiesta 95BP Struct",#N/A,FALSE,"StructBP";"Fiesta Post 95BP Struct",#N/A,FALSE,"AdjStructBP"}</definedName>
    <definedName name="bb_3" hidden="1">{"Fiesta Facer Page",#N/A,FALSE,"Q_C_S";"Fiesta Main Page",#N/A,FALSE,"V_L";"Fiesta 95BP Struct",#N/A,FALSE,"StructBP";"Fiesta Post 95BP Struct",#N/A,FALSE,"AdjStructBP"}</definedName>
    <definedName name="bb_3_1" hidden="1">{"Fiesta Facer Page",#N/A,FALSE,"Q_C_S";"Fiesta Main Page",#N/A,FALSE,"V_L";"Fiesta 95BP Struct",#N/A,FALSE,"StructBP";"Fiesta Post 95BP Struct",#N/A,FALSE,"AdjStructBP"}</definedName>
    <definedName name="bb_4" hidden="1">{"Fiesta Facer Page",#N/A,FALSE,"Q_C_S";"Fiesta Main Page",#N/A,FALSE,"V_L";"Fiesta 95BP Struct",#N/A,FALSE,"StructBP";"Fiesta Post 95BP Struct",#N/A,FALSE,"AdjStructBP"}</definedName>
    <definedName name="bBack" hidden="1">TRUE</definedName>
    <definedName name="bBackHomePage" hidden="1">TRUE</definedName>
    <definedName name="bbb" hidden="1">{"Fiesta Facer Page",#N/A,FALSE,"Q_C_S";"Fiesta Main Page",#N/A,FALSE,"V_L";"Fiesta 95BP Struct",#N/A,FALSE,"StructBP";"Fiesta Post 95BP Struct",#N/A,FALSE,"AdjStructBP"}</definedName>
    <definedName name="bbb_1" hidden="1">{"Fiesta Facer Page",#N/A,FALSE,"Q_C_S";"Fiesta Main Page",#N/A,FALSE,"V_L";"Fiesta 95BP Struct",#N/A,FALSE,"StructBP";"Fiesta Post 95BP Struct",#N/A,FALSE,"AdjStructBP"}</definedName>
    <definedName name="bbb_2" hidden="1">{"Fiesta Facer Page",#N/A,FALSE,"Q_C_S";"Fiesta Main Page",#N/A,FALSE,"V_L";"Fiesta 95BP Struct",#N/A,FALSE,"StructBP";"Fiesta Post 95BP Struct",#N/A,FALSE,"AdjStructBP"}</definedName>
    <definedName name="bbb_2_1" hidden="1">{"Fiesta Facer Page",#N/A,FALSE,"Q_C_S";"Fiesta Main Page",#N/A,FALSE,"V_L";"Fiesta 95BP Struct",#N/A,FALSE,"StructBP";"Fiesta Post 95BP Struct",#N/A,FALSE,"AdjStructBP"}</definedName>
    <definedName name="bbb_3" hidden="1">{"Fiesta Facer Page",#N/A,FALSE,"Q_C_S";"Fiesta Main Page",#N/A,FALSE,"V_L";"Fiesta 95BP Struct",#N/A,FALSE,"StructBP";"Fiesta Post 95BP Struct",#N/A,FALSE,"AdjStructBP"}</definedName>
    <definedName name="bbb_3_1" hidden="1">{"Fiesta Facer Page",#N/A,FALSE,"Q_C_S";"Fiesta Main Page",#N/A,FALSE,"V_L";"Fiesta 95BP Struct",#N/A,FALSE,"StructBP";"Fiesta Post 95BP Struct",#N/A,FALSE,"AdjStructBP"}</definedName>
    <definedName name="bbb_4" hidden="1">{"Fiesta Facer Page",#N/A,FALSE,"Q_C_S";"Fiesta Main Page",#N/A,FALSE,"V_L";"Fiesta 95BP Struct",#N/A,FALSE,"StructBP";"Fiesta Post 95BP Struct",#N/A,FALSE,"AdjStructBP"}</definedName>
    <definedName name="BBBB" hidden="1">{#N/A,#N/A,FALSE,"KMC최종회의(7월) 자료"}</definedName>
    <definedName name="bbbbb" hidden="1">{"Presentation",#N/A,FALSE,"Feb96 - ALL"}</definedName>
    <definedName name="bbbbb_1" hidden="1">{"Presentation",#N/A,FALSE,"Feb96 - ALL"}</definedName>
    <definedName name="bbbbb_2" hidden="1">{"Presentation",#N/A,FALSE,"Feb96 - ALL"}</definedName>
    <definedName name="bbbbb_2_1" hidden="1">{"Presentation",#N/A,FALSE,"Feb96 - ALL"}</definedName>
    <definedName name="bbbbb_3" hidden="1">{"Presentation",#N/A,FALSE,"Feb96 - ALL"}</definedName>
    <definedName name="bbbbb_3_1" hidden="1">{"Presentation",#N/A,FALSE,"Feb96 - ALL"}</definedName>
    <definedName name="bbbbb_4" hidden="1">{"Presentation",#N/A,FALSE,"Feb96 - ALL"}</definedName>
    <definedName name="BBBBBB" hidden="1">{#N/A,#N/A,FALSE,"REPORT"}</definedName>
    <definedName name="BBBBBBBBB" hidden="1">{#N/A,#N/A,FALSE,"REPORT"}</definedName>
    <definedName name="bbbbbbbbbbbbb" hidden="1">{#N/A,#N/A,FALSE,"Pharm";#N/A,#N/A,FALSE,"WWCM"}</definedName>
    <definedName name="bbbbbgf" hidden="1">{#N/A,#N/A,FALSE,"KMC최종회의(7월) 자료"}</definedName>
    <definedName name="bbdsssss" hidden="1">{#N/A,#N/A,FALSE,"KMC최종회의(7월) 자료"}</definedName>
    <definedName name="bbf" hidden="1">{#N/A,#N/A,TRUE,"Y생산";#N/A,#N/A,TRUE,"Y판매";#N/A,#N/A,TRUE,"Y총물량";#N/A,#N/A,TRUE,"Y능력";#N/A,#N/A,TRUE,"YKD"}</definedName>
    <definedName name="BDX" hidden="1">#REF!</definedName>
    <definedName name="BEP비교" hidden="1">{#N/A,#N/A,FALSE,"정공"}</definedName>
    <definedName name="BEx1L4H6YEUJ66IDT3JFAPU527NN" hidden="1">#REF!</definedName>
    <definedName name="BEx1N0CY4G96U7FFQFJDQKEWCV3R" hidden="1">#REF!</definedName>
    <definedName name="BEx1N3YG09EHURNLASCPKFPXFV2Q" hidden="1">#REF!</definedName>
    <definedName name="BEx1O9WZENNUZKAV4XFTK03MTUCF" hidden="1">#REF!</definedName>
    <definedName name="BEx1OXVZIBPME680M4LQ5T84MWAA" hidden="1">#REF!</definedName>
    <definedName name="BEx1PDMI7S2PNDVLI51DPYZDTJCV" hidden="1">#REF!</definedName>
    <definedName name="BEx1PW20QH21FXBUZLJ56JLIALD5" hidden="1">#REF!</definedName>
    <definedName name="BEx1QVPZRJSD1IK27RL4NF5Y2FFV" hidden="1">#REF!</definedName>
    <definedName name="BEx1RQQLY1WQA5KIOKK19FWNDU4B" hidden="1">#REF!</definedName>
    <definedName name="BEx1SL0DO8YV4A2J5TL2L1L2P95D" hidden="1">#REF!</definedName>
    <definedName name="BEx1T6QJW0A7G1SG8R07XEA5FWQJ" hidden="1">#REF!</definedName>
    <definedName name="BEx1W9S0AMXJ54IMX52O35G6I52R" hidden="1">#REF!</definedName>
    <definedName name="BEx3AX2YR5VQRFH2EXIW0N31L3AF" hidden="1">#REF!</definedName>
    <definedName name="BEx3FJV6TRNYW2AWJOTPO7GYKZ1I" hidden="1">#REF!</definedName>
    <definedName name="BEx3FMEY0WSTYQCET9SRZX65V6NV" hidden="1">#REF!</definedName>
    <definedName name="BEx3ICV4TW44A8Z9BHQ88CMN0Z44" hidden="1">#REF!</definedName>
    <definedName name="BEx3IDBDVHX7ZP2726WGB6278P73" hidden="1">#REF!</definedName>
    <definedName name="BEx3K0IA0IZTI8W6PZKUMKAXQTCI" hidden="1">#REF!</definedName>
    <definedName name="BEx3LMY2OO8HTVG6KUG2BOHS0CSP" hidden="1">#REF!</definedName>
    <definedName name="BEx3LVC6K6JGX7XBW2R1QX2PN33L" hidden="1">#REF!</definedName>
    <definedName name="BEx3NBHFS2SWRT7A0JOMH8FOZVZ3" hidden="1">#REF!</definedName>
    <definedName name="BEx3O7EGX38AQ0RI0DVJFRJ79TFT" hidden="1">#REF!</definedName>
    <definedName name="BEx3ODJQ2TDQNEKUBVKY5MATKP26" hidden="1">#REF!</definedName>
    <definedName name="BEx3P30TXGNFKLZOZ1L5U6MDTAP1" hidden="1">#REF!</definedName>
    <definedName name="BEx3PWP1D6H3GF94X7CLJKFF9RTD" hidden="1">#REF!</definedName>
    <definedName name="BEx3QFFAUJNH63TM0GR5MDOOO6WD" hidden="1">#REF!</definedName>
    <definedName name="BEx3QOPS3T0OJ9Q8FX2QBJ3KX3KT" hidden="1">#REF!</definedName>
    <definedName name="BEx3SNW1K269PY06W02AUM7HZ1TJ" hidden="1">#REF!</definedName>
    <definedName name="BEx3T3XF28K09C01YN3ZB1FLOEH8" hidden="1">#REF!</definedName>
    <definedName name="BEx3TZ3HBCCJQSO5ZQ9C41N88O97" hidden="1">#REF!</definedName>
    <definedName name="BEx58A9KPG44468YSHQMQL6ZPR67" hidden="1">#REF!</definedName>
    <definedName name="BEx5AVBOMZA7A7IY09B8EPO613Z3" hidden="1">#REF!</definedName>
    <definedName name="BEx5C6TPWSZNT80GX5WDV34SUR1E" hidden="1">#REF!</definedName>
    <definedName name="BEx5D4OUVHIEAD2JLMA0JLK7HVIT" hidden="1">#REF!</definedName>
    <definedName name="BEx5FF3SKFS2JKSOOCAJ632QHT7X" hidden="1">#REF!</definedName>
    <definedName name="BEx5FZC7ETILE9UP0U32A65GNOJP" hidden="1">#REF!</definedName>
    <definedName name="BEx5I9LW59C7KV0BHO0TMNDN1SAA" hidden="1">#REF!</definedName>
    <definedName name="BEx73TT7C7CC3QZOGJSWYPZC6ZBX" hidden="1">#REF!</definedName>
    <definedName name="BEx74TRZ92ZQF27V6USLADL9UB22" hidden="1">#REF!</definedName>
    <definedName name="BEx770WATII0DJURSLDJZJ2VEG7N" hidden="1">#REF!</definedName>
    <definedName name="BEx777XXQV2H99TZD91K3VZ3QP4J" hidden="1">#REF!</definedName>
    <definedName name="BEx79JK303KJW0O7C2R6Y9YUWPOQ" hidden="1">#REF!</definedName>
    <definedName name="BEx7B0GDEB1S0H1XA5742D7KORA1" hidden="1">#REF!</definedName>
    <definedName name="BEx7B9W5GV64NT41SGZWANJRQKE7" hidden="1">#REF!</definedName>
    <definedName name="BEx7DCTKA2JGDHI5H35UEO0EZE8N" hidden="1">#REF!</definedName>
    <definedName name="BEx7FS17HGORGEYDQ3QJKS18NAIG" hidden="1">#REF!</definedName>
    <definedName name="BEx7GRJORJZ0PSZ9BAVJJG3TBD4A" hidden="1">#REF!</definedName>
    <definedName name="BEx7LUYME6U8MMT62ZPEAVGS57C9" hidden="1">#REF!</definedName>
    <definedName name="BEx96UHN3VJLZIFZO4MY4BDXA5Q0" hidden="1">#REF!</definedName>
    <definedName name="BEx98QO72IPO5JUJ8GBXOGBSLJY3" hidden="1">#REF!</definedName>
    <definedName name="BEx98QTPB00IVP4559VTDXUS17HI" hidden="1">#REF!</definedName>
    <definedName name="BEx9A1FF5WT6RAZO17GAAZ773EOQ" hidden="1">#REF!</definedName>
    <definedName name="BEx9A5GZ3XLFO5YOX6B62O0BL6Q9" hidden="1">#REF!</definedName>
    <definedName name="BEx9AM3QQ7SLUL0YM9W3N2V7RWLJ" hidden="1">#REF!</definedName>
    <definedName name="BEx9FQVA8SI4XH9R3FY41IPRDIXM" hidden="1">#REF!</definedName>
    <definedName name="BEx9H5IRG9MUL2V3OW25AI6CUVVZ" hidden="1">#REF!</definedName>
    <definedName name="BExAVQ4LHICZFC65MNTRMVWCHL06" hidden="1">#REF!</definedName>
    <definedName name="BExAW7IDHXU6N97NASG8CAVNBB68" hidden="1">#REF!</definedName>
    <definedName name="BExB3GP6YL4VS1YZO2L7Z4D8NDN3" hidden="1">#REF!</definedName>
    <definedName name="BExB5A1BQCRZ3DYLAET662XR0CZ7" hidden="1">#REF!</definedName>
    <definedName name="BExB9955HV2811O6M5G0WR1QBOW8" hidden="1">#REF!</definedName>
    <definedName name="BExCS7OZWTY5GV7DOGTNJ2APE1NG" hidden="1">#REF!</definedName>
    <definedName name="BExCZ1W9V2JG1RJH68T2WH2KWF2Q" hidden="1">#REF!</definedName>
    <definedName name="BExCZTGWI32BM85LJE9TX1NNPZ15" hidden="1">#REF!</definedName>
    <definedName name="BExD0C1UC2H0NARJL837F1W7LH03" hidden="1">#REF!</definedName>
    <definedName name="BExD2235KK6MYB5G5REEGGMOW1OC" hidden="1">#REF!</definedName>
    <definedName name="BExD45GOREML9ZXJNNTP6E866N3E" hidden="1">#REF!</definedName>
    <definedName name="BExD4GEKJ0U6X2871XHKOXVKIYPX" hidden="1">#REF!</definedName>
    <definedName name="BExD8MJV0NG606PHV76B2KPC56J0" hidden="1">#REF!</definedName>
    <definedName name="BExEPXM1GRJTUMGG83ABGQS1KSWD" hidden="1">#REF!</definedName>
    <definedName name="BExEQK8KSGKCM4H0YT347YVQI52T" hidden="1">#REF!</definedName>
    <definedName name="BExETR0U8SB25L3IETKEEL9SXG7W" hidden="1">#REF!</definedName>
    <definedName name="BExF1MOUPMU3IGGGUIW9ZWU18ZUH" hidden="1">#REF!</definedName>
    <definedName name="BExF3HZ0LCJ192V2AB6XLS6VJ6TO" hidden="1">#REF!</definedName>
    <definedName name="BExF5UC2HMI2SHFBGXQPHI5OVD9W" hidden="1">#REF!</definedName>
    <definedName name="BExF6WZYJRC9F085HVWW7SVTAEH2" hidden="1">#REF!</definedName>
    <definedName name="BExGNK32DY72MYZMYMUNQNSJCW4T" hidden="1">#REF!</definedName>
    <definedName name="BExGOVVZRFSS1DJPGBUSMQGCGYT7" hidden="1">#REF!</definedName>
    <definedName name="BExGRQDV6EM54IXXBT9Q7WJ26RTX" hidden="1">#REF!</definedName>
    <definedName name="BExGSPG2L8DNQC6AJVZUXYGQ2UD5" hidden="1">#REF!</definedName>
    <definedName name="BExGVB3RJX05Y9VJJEJABOS1V5X5" hidden="1">#REF!</definedName>
    <definedName name="BExGW4RXWDGJWUK7BD1B3W1URQDQ" hidden="1">#REF!</definedName>
    <definedName name="BExGWHT8POH7KXYMOSKY5DDDLOH2" hidden="1">#REF!</definedName>
    <definedName name="BExGWV5EDGJV347DWYR4JYCKMA4J" hidden="1">#REF!</definedName>
    <definedName name="BExGXRYTGX42GW2E4PWII60JA2VK" hidden="1">#REF!</definedName>
    <definedName name="BExH2ICGO48D9JLV8D2RDNCY8RQW" hidden="1">#REF!</definedName>
    <definedName name="BExIHZRWCF9YLLJBDFGMZLRAPS71" hidden="1">#REF!</definedName>
    <definedName name="BExIIVZPIAV1QN5R386W5ISBAWXN" hidden="1">#REF!</definedName>
    <definedName name="BExIJ01FDIU5CEXE6O98NSDGXV7Q" hidden="1">#REF!</definedName>
    <definedName name="BExIJ8Q4V79AHXDF8NIZ8A2NQ627" hidden="1">#REF!</definedName>
    <definedName name="BExIM7KMHL80ZOSBLHM7GD07GJYM" hidden="1">#REF!</definedName>
    <definedName name="BExIN9HE37FEC2AF3KZICQ3F9V0Q" hidden="1">#REF!</definedName>
    <definedName name="BExIO1SY9HBA6G9901O0GN2Q449T" hidden="1">#REF!</definedName>
    <definedName name="BExIOHE0EMI9IGI7HJE7JIF40073" hidden="1">#REF!</definedName>
    <definedName name="BExIRY2CU4352KQ2SBSBM1Y7WNZ7" hidden="1">#REF!</definedName>
    <definedName name="bExitExcel" hidden="1">FALSE</definedName>
    <definedName name="BExIVKA7ZR7D0P1IH60BDLA7YLFT" hidden="1">#REF!</definedName>
    <definedName name="BExIZ9SRG0EE5F1VPX4QPQEIRV46" hidden="1">#REF!</definedName>
    <definedName name="BExIZISFVTBEPS0PIIDHRRWK232H" hidden="1">#REF!</definedName>
    <definedName name="BExKJZQIMLY4UZJVGVSY6QKX7GGF" hidden="1">#REF!</definedName>
    <definedName name="BExKNF2CUHMUM0JUJ5PADOQA38QE" hidden="1">#REF!</definedName>
    <definedName name="BExKV2HJCHCJIX6QJXQ1RRHNO68T" hidden="1">#REF!</definedName>
    <definedName name="BExKV2SDA9JLOR07LGAQUXUGCV6Y" hidden="1">#REF!</definedName>
    <definedName name="BExMAD0RUAZQ6YYL5LZIL25PROAW" hidden="1">#REF!</definedName>
    <definedName name="BExMDOAWE05GY0C14C3EUS1SZTMI" hidden="1">#REF!</definedName>
    <definedName name="BExMEK7XTOMY578KZN8M5Y0ZSYI3" hidden="1">#REF!</definedName>
    <definedName name="BExMENDAZ9KDWXTLLBHS27J89N09" hidden="1">#REF!</definedName>
    <definedName name="BExMFWBL1B0A2U95MP41KROBGVZD" hidden="1">#REF!</definedName>
    <definedName name="BExMGUC5M5OR6X9LIMMDSJZHKNB7" hidden="1">#REF!</definedName>
    <definedName name="BExMHXQWRN6CNVTV8YYBX2BVV0PY" hidden="1">#REF!</definedName>
    <definedName name="BExMJ09A1VPUQMN4JD7ILJEN77GO" hidden="1">#REF!</definedName>
    <definedName name="BExMN4RFMWDKAD07SZVWS8OE1UX8" hidden="1">#REF!</definedName>
    <definedName name="BExMNZXE4WAWH0Y1EMUTVV2O9QZ5" hidden="1">#REF!</definedName>
    <definedName name="BExMP0XUGALBQAVWLCXMGWAGKEYP" hidden="1">#REF!</definedName>
    <definedName name="BExO9R6L8PA28QCSMX9QPADBMB24" hidden="1">#REF!</definedName>
    <definedName name="BExOA1O7ZCPPEWQAYSB81JTBWEIG" hidden="1">#REF!</definedName>
    <definedName name="BExOC21OP80IU7KNLQNQ10T6ZOET" hidden="1">#REF!</definedName>
    <definedName name="BExODL1GEGGPKAWQO00E3LKFUGZD" hidden="1">#REF!</definedName>
    <definedName name="BExOEKENXNLOJ4TR81I3X2JCNR3O" hidden="1">#REF!</definedName>
    <definedName name="BExOFLVCP3W10TTE90K9PNMVGGXZ" hidden="1">#REF!</definedName>
    <definedName name="BExOG5I0GNQLX6GU2A6KNMHEWKBS" hidden="1">#REF!</definedName>
    <definedName name="BExOGBSL35KUDQL3HE9D1NH3AL5C" hidden="1">#REF!</definedName>
    <definedName name="BExOL4VEMJZAWJ5CNJSJR35M1FWS" hidden="1">#REF!</definedName>
    <definedName name="BExOMUB2YGZ4JNUQ8QZ0UPIWR30S" hidden="1">#REF!</definedName>
    <definedName name="BExQ4ECXUDY5EU9EOEGZR2WI1U29" hidden="1">#REF!</definedName>
    <definedName name="BExQ56J56TGX9OVFS7JVHXQ72AJ9" hidden="1">#REF!</definedName>
    <definedName name="BExQ5Y3TXD7MBE4T70K0MKFCMLXF" hidden="1">#REF!</definedName>
    <definedName name="BExQ6IHII00I9VKC0O4OKHMMCNP9" hidden="1">#REF!</definedName>
    <definedName name="BExQ8GWWXGNYMNNCM4C0I1D9U4SB" hidden="1">#REF!</definedName>
    <definedName name="BExQ8TSWFZ37GPUNMOMA39XG235Y" hidden="1">#REF!</definedName>
    <definedName name="BExQELXVIZNFFP4VEAD1YF0NQTVS" hidden="1">#REF!</definedName>
    <definedName name="BExQG5ZK56NDCV5M7QHTEC4MODKE" hidden="1">#REF!</definedName>
    <definedName name="BExQGUKATRDIQIMBRE62MJZK1UKF" hidden="1">#REF!</definedName>
    <definedName name="BExQGW7JU2EJG82SQEPMEZUC972X" hidden="1">#REF!</definedName>
    <definedName name="BExS169H3TVTS16MXQ31G3467OZF" hidden="1">#REF!</definedName>
    <definedName name="BExS1X8K8J2EYTLHZWT6U23JX0PK" hidden="1">#REF!</definedName>
    <definedName name="BExS27KUS62W447F3ZYLRW1IWPQ6" hidden="1">#REF!</definedName>
    <definedName name="BExS47T0C5FA3POU9EANCB387J3Z" hidden="1">#REF!</definedName>
    <definedName name="BExS7UH42JHM007N6NS1N8U04YPM" hidden="1">#REF!</definedName>
    <definedName name="BExS8FR1K03N08D84H5IKSC37Z19" hidden="1">#REF!</definedName>
    <definedName name="BExS9CV5YE4A0E3YKOIYDX8NGZSH" hidden="1">#REF!</definedName>
    <definedName name="BExSB79162T8BA1UESIE67R82FVO" hidden="1">#REF!</definedName>
    <definedName name="BExSDGX3FAXY4KRV70BFXW9CPWDQ" hidden="1">#REF!</definedName>
    <definedName name="BExSGXLFR5WADS1345HU99U8NSN3" hidden="1">#REF!</definedName>
    <definedName name="BExTV80LSU7PZXIMVF0CDSHMD12A" hidden="1">#REF!</definedName>
    <definedName name="BExTX88SRTDAHW518QOQ2DIINNIY" hidden="1">#REF!</definedName>
    <definedName name="BExTZWLK4T6HNIS4LD7S9RVADXFL" hidden="1">#REF!</definedName>
    <definedName name="BExU1E8QAWMI66SHJG5IJZNF2NTG" hidden="1">#REF!</definedName>
    <definedName name="BExU1FQOT81C2DSIG3TS4HSBQSYC" hidden="1">#REF!</definedName>
    <definedName name="BExU4SO2W7V30YW2C5E03C819H54" hidden="1">#REF!</definedName>
    <definedName name="BExU5V155OTTCDOA7TOO8GB68OI7" hidden="1">#REF!</definedName>
    <definedName name="BExU7EMISI952JGBLL058MRK122H" hidden="1">#REF!</definedName>
    <definedName name="BExU86HZGI9GJB4YF8U2MT6BNRZM" hidden="1">#REF!</definedName>
    <definedName name="BExU8VZ4XM74TQMNWI4VH9A859TL" hidden="1">#REF!</definedName>
    <definedName name="BExUDBEV1EHIO8XHRNSQEIAVPY7I" hidden="1">#REF!</definedName>
    <definedName name="BExUDC0G0MS39ZY9NPWL7CA08K99" hidden="1">#REF!</definedName>
    <definedName name="BExVRD542L7BVRZ3C5R102WH56GA" hidden="1">#REF!</definedName>
    <definedName name="BExVSMZTHFLHC18O6E68ZETK34CQ" hidden="1">#REF!</definedName>
    <definedName name="BExVSPUC1499ADTEBGQK9TG9JPHB" hidden="1">#REF!</definedName>
    <definedName name="BExVUFQC62JXSMQG89YU1GVQ96P2" hidden="1">#REF!</definedName>
    <definedName name="BExVXKF3PLTNR7TM3K7YDUZ0WY4H" hidden="1">#REF!</definedName>
    <definedName name="BExVY290145J9MRLQQVK5Z2RHA1Z" hidden="1">#REF!</definedName>
    <definedName name="BExW0NLW8WGQVOD6FRIHKI5B8310" hidden="1">#REF!</definedName>
    <definedName name="BExW265GDVFWBN2IX8JYG0XP5T91" hidden="1">#REF!</definedName>
    <definedName name="BExW32TI307GCS3JSETNT8Y62DT5" hidden="1">#REF!</definedName>
    <definedName name="BExW5KVKR37LFVII8ZDN5OGAATYU" hidden="1">#REF!</definedName>
    <definedName name="BExXNDMHNMCANAR87FD6M6KD5T96" hidden="1">#REF!</definedName>
    <definedName name="BExXPKQS9P7E13ZQFXCTTEG4JTOF" hidden="1">#REF!</definedName>
    <definedName name="BExXR7MUGIQRNXJS4UJIZ9EGQ7F0" hidden="1">#REF!</definedName>
    <definedName name="BExXRLPZYCGZIZEVGSZF2JK41DTP" hidden="1">#REF!</definedName>
    <definedName name="BExXSDLFTR6R985A810H652Y3JS1" hidden="1">#REF!</definedName>
    <definedName name="BExXSSFG5BX6XS7CFUKKAW23SK5U" hidden="1">#REF!</definedName>
    <definedName name="BExXSXIUBVCOHJ4T2A725WFJEBJ0" hidden="1">#REF!</definedName>
    <definedName name="BExY1O21O59ZE3A8LVPN22PITK0Y" hidden="1">#REF!</definedName>
    <definedName name="BExY2AJ8AH741RCESAG764W3W4AX" hidden="1">#REF!</definedName>
    <definedName name="BExY3VXCUZHX8EEIJHYHYT4I85KM" hidden="1">#REF!</definedName>
    <definedName name="BExY5U7GC8QUH675LAQ7PB9JSL3D" hidden="1">#REF!</definedName>
    <definedName name="BExY63HYG88WENJZCISHGHUEI55S" hidden="1">#REF!</definedName>
    <definedName name="BExZLLDFT3CEKTVN80YCYQ8HJQZ4" hidden="1">#REF!</definedName>
    <definedName name="BExZLOTMORXQX4W4TBKM599QV06O" hidden="1">#REF!</definedName>
    <definedName name="BExZMFY11HW4SWK2YD7PVB7MTU6D" hidden="1">#REF!</definedName>
    <definedName name="BExZNVHT4W9AP8DF4WBIWCX0CSNQ" hidden="1">#REF!</definedName>
    <definedName name="BExZP8HTRJRBB2Q51M7XOIZ6ASFO" hidden="1">#REF!</definedName>
    <definedName name="BExZPAVZ7FERC5I8MAOP1QV0A7IN" hidden="1">#REF!</definedName>
    <definedName name="BExZQC1WS3KP2TVEF89L1XMF5UDN" hidden="1">#REF!</definedName>
    <definedName name="BExZQUXNLXVOOIMAX0A5OKI6217U" hidden="1">#REF!</definedName>
    <definedName name="BExZSFFEE6SEV4J53OXRQPOBJ645" hidden="1">#REF!</definedName>
    <definedName name="BExZTZGWJZAV2W6UZ5BH1CGMI530" hidden="1">#REF!</definedName>
    <definedName name="BExZU4V3P3JMLKLBYTXU5K6BDOLF" hidden="1">#REF!</definedName>
    <definedName name="BExZUE5LYUE8XPM2R9Y9GIQO8LTB" hidden="1">#REF!</definedName>
    <definedName name="BExZXAAY4TL4OZIUA9J6RAKKEDNT" hidden="1">#REF!</definedName>
    <definedName name="BExZXXTUX1IZ6RZ6GL7AH81IPOVJ" hidden="1">#REF!</definedName>
    <definedName name="BExZYTG31JZX0UJV7WQJ4API9VZW" hidden="1">#REF!</definedName>
    <definedName name="BG_Del" hidden="1">15</definedName>
    <definedName name="BG_Ins" hidden="1">4</definedName>
    <definedName name="BG_Mod" hidden="1">6</definedName>
    <definedName name="BGJK" hidden="1">{#N/A,#N/A,FALSE,"단축1";#N/A,#N/A,FALSE,"단축2";#N/A,#N/A,FALSE,"단축3";#N/A,#N/A,FALSE,"장축";#N/A,#N/A,FALSE,"4WD"}</definedName>
    <definedName name="bHelpID" hidden="1">FALSE</definedName>
    <definedName name="bhpark" hidden="1">{#N/A,#N/A,TRUE,"Y생산";#N/A,#N/A,TRUE,"Y판매";#N/A,#N/A,TRUE,"Y총물량";#N/A,#N/A,TRUE,"Y능력";#N/A,#N/A,TRUE,"YKD"}</definedName>
    <definedName name="bill" hidden="1">{#N/A,#N/A,FALSE,"Cover";#N/A,#N/A,FALSE,"Assumptions";#N/A,#N/A,FALSE,"Volumes";#N/A,#N/A,FALSE,"Pricing";#N/A,#N/A,FALSE,"TFLE Walk";#N/A,#N/A,FALSE,"Variable Cost";#N/A,#N/A,FALSE,"Sensitivity";#N/A,#N/A,FALSE,"Investment";#N/A,#N/A,FALSE,"Profitability"}</definedName>
    <definedName name="biteme" hidden="1">{#N/A,#N/A,FALSE,"Cover Sheet";#N/A,#N/A,FALSE,"Ave_Trans_Shp_Abs";#N/A,#N/A,FALSE,"Det_Shp_Abs";#N/A,#N/A,FALSE,"Ave_Trans_Inst_Abs";#N/A,#N/A,FALSE,"Det_Ins_Abs";#N/A,#N/A,FALSE,"Ave_Trans_Tot_ABS";#N/A,#N/A,FALSE,"Det_Total_ABS"}</definedName>
    <definedName name="BL" hidden="1">{#N/A,#N/A,FALSE,"신규dep";#N/A,#N/A,FALSE,"신규dep-금형상각후";#N/A,#N/A,FALSE,"신규dep-연구비상각후";#N/A,#N/A,FALSE,"신규dep-기계,공구상각후"}</definedName>
    <definedName name="blatt" hidden="1">{"Presentation",#N/A,FALSE,"Feb96 - ALL"}</definedName>
    <definedName name="blatt_1" hidden="1">{"Presentation",#N/A,FALSE,"Feb96 - ALL"}</definedName>
    <definedName name="blatt_2" hidden="1">{"Presentation",#N/A,FALSE,"Feb96 - ALL"}</definedName>
    <definedName name="blatt_2_1" hidden="1">{"Presentation",#N/A,FALSE,"Feb96 - ALL"}</definedName>
    <definedName name="blatt_3" hidden="1">{"Presentation",#N/A,FALSE,"Feb96 - ALL"}</definedName>
    <definedName name="blatt_3_1" hidden="1">{"Presentation",#N/A,FALSE,"Feb96 - ALL"}</definedName>
    <definedName name="blatt_4" hidden="1">{"Presentation",#N/A,FALSE,"Feb96 - ALL"}</definedName>
    <definedName name="Blatt3c" hidden="1">{#N/A,#N/A,TRUE,"Erfassungsbogen";#N/A,#N/A,TRUE,"Auswertung PA";#N/A,#N/A,TRUE,"Auswertung BB";#N/A,#N/A,TRUE,"Auswertung BE";#N/A,#N/A,TRUE,"Auswertung DSR";#N/A,#N/A,TRUE,"Auswertung KS";#N/A,#N/A,TRUE,"Auswertung CS";#N/A,#N/A,TRUE,"Auswertung Gesamt";#N/A,#N/A,TRUE,"Proz.v. Ges.ums-aufw-ertrag";#N/A,#N/A,TRUE,"Leistungen pro Mitarbeiter"}</definedName>
    <definedName name="Blatt3c_1" hidden="1">{#N/A,#N/A,TRUE,"Erfassungsbogen";#N/A,#N/A,TRUE,"Auswertung PA";#N/A,#N/A,TRUE,"Auswertung BB";#N/A,#N/A,TRUE,"Auswertung BE";#N/A,#N/A,TRUE,"Auswertung DSR";#N/A,#N/A,TRUE,"Auswertung KS";#N/A,#N/A,TRUE,"Auswertung CS";#N/A,#N/A,TRUE,"Auswertung Gesamt";#N/A,#N/A,TRUE,"Proz.v. Ges.ums-aufw-ertrag";#N/A,#N/A,TRUE,"Leistungen pro Mitarbeiter"}</definedName>
    <definedName name="Blatt3c_2" hidden="1">{#N/A,#N/A,TRUE,"Erfassungsbogen";#N/A,#N/A,TRUE,"Auswertung PA";#N/A,#N/A,TRUE,"Auswertung BB";#N/A,#N/A,TRUE,"Auswertung BE";#N/A,#N/A,TRUE,"Auswertung DSR";#N/A,#N/A,TRUE,"Auswertung KS";#N/A,#N/A,TRUE,"Auswertung CS";#N/A,#N/A,TRUE,"Auswertung Gesamt";#N/A,#N/A,TRUE,"Proz.v. Ges.ums-aufw-ertrag";#N/A,#N/A,TRUE,"Leistungen pro Mitarbeiter"}</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레이아웃293" hidden="1">{#N/A,#N/A,FALSE,"단축1";#N/A,#N/A,FALSE,"단축2";#N/A,#N/A,FALSE,"단축3";#N/A,#N/A,FALSE,"장축";#N/A,#N/A,FALSE,"4WD"}</definedName>
    <definedName name="bnm" hidden="1">{#N/A,#N/A,FALSE,"REPORT"}</definedName>
    <definedName name="BNVCJ" hidden="1">#REF!</definedName>
    <definedName name="BNVGH" hidden="1">{#N/A,#N/A,FALSE,"단축1";#N/A,#N/A,FALSE,"단축2";#N/A,#N/A,FALSE,"단축3";#N/A,#N/A,FALSE,"장축";#N/A,#N/A,FALSE,"4WD"}</definedName>
    <definedName name="BNVKFGHK" hidden="1">{#N/A,#N/A,FALSE,"단축1";#N/A,#N/A,FALSE,"단축2";#N/A,#N/A,FALSE,"단축3";#N/A,#N/A,FALSE,"장축";#N/A,#N/A,FALSE,"4WD"}</definedName>
    <definedName name="bob" hidden="1">{#N/A,#N/A,FALSE,"Assumptions";#N/A,#N/A,FALSE,"Volumes";#N/A,#N/A,FALSE,"Pricing";#N/A,#N/A,FALSE,"Variable Cost";#N/A,#N/A,FALSE,"Investment";#N/A,#N/A,FALSE,"Profitability";#N/A,#N/A,FALSE,"Business Comparison"}</definedName>
    <definedName name="book1" hidden="1">{#N/A,#N/A,TRUE,"Y생산";#N/A,#N/A,TRUE,"Y판매";#N/A,#N/A,TRUE,"Y총물량";#N/A,#N/A,TRUE,"Y능력";#N/A,#N/A,TRUE,"YKD"}</definedName>
    <definedName name="book3" hidden="1">#REF!</definedName>
    <definedName name="bPreview" hidden="1">FALSE</definedName>
    <definedName name="bPrint" hidden="1">FALSE</definedName>
    <definedName name="BRGAS" hidden="1">{#N/A,#N/A,FALSE,"단축1";#N/A,#N/A,FALSE,"단축2";#N/A,#N/A,FALSE,"단축3";#N/A,#N/A,FALSE,"장축";#N/A,#N/A,FALSE,"4WD"}</definedName>
    <definedName name="B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S차이내역" hidden="1">{#N/A,#N/A,FALSE,"정공"}</definedName>
    <definedName name="bTitle" hidden="1">TRUE</definedName>
    <definedName name="buildup" hidden="1">{"capital",#N/A,FALSE,"CAPITAL_DEP'N"}</definedName>
    <definedName name="bussines" hidden="1">#REF!</definedName>
    <definedName name="BV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cbvd" hidden="1">{"Fiesta Facer Page",#N/A,FALSE,"Q_C_S";"Fiesta Main Page",#N/A,FALSE,"V_L";"Fiesta 95BP Struct",#N/A,FALSE,"StructBP";"Fiesta Post 95BP Struct",#N/A,FALSE,"AdjStructBP"}</definedName>
    <definedName name="BVDFGH" hidden="1">{#N/A,#N/A,FALSE,"단축1";#N/A,#N/A,FALSE,"단축2";#N/A,#N/A,FALSE,"단축3";#N/A,#N/A,FALSE,"장축";#N/A,#N/A,FALSE,"4WD"}</definedName>
    <definedName name="bvgeav" hidden="1">{#N/A,#N/A,FALSE,"Gruppe Gesamt 1. Änderung";#N/A,#N/A,FALSE,"ZWN 1. Änderung";#N/A,#N/A,FALSE,"GETRAG LB Ursprung";#N/A,#N/A,FALSE,"GETRAG Rosenbg. Ursprung ";#N/A,#N/A,FALSE,"GST  Ursprung";#N/A,#N/A,FALSE,"FZ 1. Änderung"}</definedName>
    <definedName name="BVNC" hidden="1">{#N/A,#N/A,FALSE,"단축1";#N/A,#N/A,FALSE,"단축2";#N/A,#N/A,FALSE,"단축3";#N/A,#N/A,FALSE,"장축";#N/A,#N/A,FALSE,"4WD"}</definedName>
    <definedName name="BVNM" hidden="1">{#N/A,#N/A,FALSE,"단축1";#N/A,#N/A,FALSE,"단축2";#N/A,#N/A,FALSE,"단축3";#N/A,#N/A,FALSE,"장축";#N/A,#N/A,FALSE,"4WD"}</definedName>
    <definedName name="BVNMKJ" hidden="1">#REF!</definedName>
    <definedName name="bxcvb" hidden="1">{"profit statement",#N/A,FALSE,"P&amp;L STATEMENT"}</definedName>
    <definedName name="bZoom" hidden="1">FALSE</definedName>
    <definedName name="c_1" hidden="1">{"Fiesta Facer Page",#N/A,FALSE,"Q_C_S";"Fiesta Main Page",#N/A,FALSE,"V_L";"Fiesta 95BP Struct",#N/A,FALSE,"StructBP";"Fiesta Post 95BP Struct",#N/A,FALSE,"AdjStructBP"}</definedName>
    <definedName name="c_2" hidden="1">{"Fiesta Facer Page",#N/A,FALSE,"Q_C_S";"Fiesta Main Page",#N/A,FALSE,"V_L";"Fiesta 95BP Struct",#N/A,FALSE,"StructBP";"Fiesta Post 95BP Struct",#N/A,FALSE,"AdjStructBP"}</definedName>
    <definedName name="c_2_1" hidden="1">{"Fiesta Facer Page",#N/A,FALSE,"Q_C_S";"Fiesta Main Page",#N/A,FALSE,"V_L";"Fiesta 95BP Struct",#N/A,FALSE,"StructBP";"Fiesta Post 95BP Struct",#N/A,FALSE,"AdjStructBP"}</definedName>
    <definedName name="c_3" hidden="1">{"Fiesta Facer Page",#N/A,FALSE,"Q_C_S";"Fiesta Main Page",#N/A,FALSE,"V_L";"Fiesta 95BP Struct",#N/A,FALSE,"StructBP";"Fiesta Post 95BP Struct",#N/A,FALSE,"AdjStructBP"}</definedName>
    <definedName name="c_3_1" hidden="1">{"Fiesta Facer Page",#N/A,FALSE,"Q_C_S";"Fiesta Main Page",#N/A,FALSE,"V_L";"Fiesta 95BP Struct",#N/A,FALSE,"StructBP";"Fiesta Post 95BP Struct",#N/A,FALSE,"AdjStructBP"}</definedName>
    <definedName name="c_4" hidden="1">{"Fiesta Facer Page",#N/A,FALSE,"Q_C_S";"Fiesta Main Page",#N/A,FALSE,"V_L";"Fiesta 95BP Struct",#N/A,FALSE,"StructBP";"Fiesta Post 95BP Struct",#N/A,FALSE,"AdjStructBP"}</definedName>
    <definedName name="CAE해석" hidden="1">{#N/A,#N/A,FALSE,"단축1";#N/A,#N/A,FALSE,"단축2";#N/A,#N/A,FALSE,"단축3";#N/A,#N/A,FALSE,"장축";#N/A,#N/A,FALSE,"4WD"}</definedName>
    <definedName name="CAPA" hidden="1">{#N/A,#N/A,FALSE,"단축1";#N/A,#N/A,FALSE,"단축2";#N/A,#N/A,FALSE,"단축3";#N/A,#N/A,FALSE,"장축";#N/A,#N/A,FALSE,"4WD"}</definedName>
    <definedName name="capex" hidden="1">#REF!</definedName>
    <definedName name="cas" hidden="1">{#N/A,#N/A,FALSE,"10"}</definedName>
    <definedName name="cashflow2" hidden="1">{#N/A,#N/A,FALSE,"10"}</definedName>
    <definedName name="cavaebv" hidden="1">{#N/A,#N/A,FALSE,"title";#N/A,#N/A,FALSE,"AVE VEH";#N/A,#N/A,FALSE,"METRICS";#N/A,#N/A,FALSE,"Prod Cost";#N/A,#N/A,FALSE,"CMTOTCST";#N/A,#N/A,FALSE,"Roadmap";#N/A,#N/A,FALSE,"Road Text";#N/A,#N/A,FALSE,"VAVE";#N/A,#N/A,FALSE,"Warranty #1";#N/A,#N/A,FALSE,"Warranty #2";#N/A,#N/A,FALSE,"Purchasing"}</definedName>
    <definedName name="cb" hidden="1">{"Rates_Summ",#N/A,TRUE,"Rates";"I_Poriginal",#N/A,TRUE,"I_P";"Pctgs_original",#N/A,TRUE,"Pctgs";"Rates_Main",#N/A,TRUE,"Rates"}</definedName>
    <definedName name="cbk" hidden="1">{"'표지'!$B$5"}</definedName>
    <definedName name="CBVNJFSGD" hidden="1">{#N/A,#N/A,FALSE,"단축1";#N/A,#N/A,FALSE,"단축2";#N/A,#N/A,FALSE,"단축3";#N/A,#N/A,FALSE,"장축";#N/A,#N/A,FALSE,"4WD"}</definedName>
    <definedName name="cc" hidden="1">{"Fiesta Facer Page",#N/A,FALSE,"Q_C_S";"Fiesta Main Page",#N/A,FALSE,"V_L";"Fiesta 95BP Struct",#N/A,FALSE,"StructBP";"Fiesta Post 95BP Struct",#N/A,FALSE,"AdjStructBP"}</definedName>
    <definedName name="cc_1" hidden="1">{"Fiesta Facer Page",#N/A,FALSE,"Q_C_S";"Fiesta Main Page",#N/A,FALSE,"V_L";"Fiesta 95BP Struct",#N/A,FALSE,"StructBP";"Fiesta Post 95BP Struct",#N/A,FALSE,"AdjStructBP"}</definedName>
    <definedName name="cc_2" hidden="1">{"Fiesta Facer Page",#N/A,FALSE,"Q_C_S";"Fiesta Main Page",#N/A,FALSE,"V_L";"Fiesta 95BP Struct",#N/A,FALSE,"StructBP";"Fiesta Post 95BP Struct",#N/A,FALSE,"AdjStructBP"}</definedName>
    <definedName name="cc_2_1" hidden="1">{"Fiesta Facer Page",#N/A,FALSE,"Q_C_S";"Fiesta Main Page",#N/A,FALSE,"V_L";"Fiesta 95BP Struct",#N/A,FALSE,"StructBP";"Fiesta Post 95BP Struct",#N/A,FALSE,"AdjStructBP"}</definedName>
    <definedName name="cc_3" hidden="1">{"Fiesta Facer Page",#N/A,FALSE,"Q_C_S";"Fiesta Main Page",#N/A,FALSE,"V_L";"Fiesta 95BP Struct",#N/A,FALSE,"StructBP";"Fiesta Post 95BP Struct",#N/A,FALSE,"AdjStructBP"}</definedName>
    <definedName name="cc_3_1" hidden="1">{"Fiesta Facer Page",#N/A,FALSE,"Q_C_S";"Fiesta Main Page",#N/A,FALSE,"V_L";"Fiesta 95BP Struct",#N/A,FALSE,"StructBP";"Fiesta Post 95BP Struct",#N/A,FALSE,"AdjStructBP"}</definedName>
    <definedName name="cc_4" hidden="1">{"Fiesta Facer Page",#N/A,FALSE,"Q_C_S";"Fiesta Main Page",#N/A,FALSE,"V_L";"Fiesta 95BP Struct",#N/A,FALSE,"StructBP";"Fiesta Post 95BP Struct",#N/A,FALSE,"AdjStructBP"}</definedName>
    <definedName name="ccc" hidden="1">#REF!</definedName>
    <definedName name="ccccccc" hidden="1">{#N/A,#N/A,FALSE,"Cover";#N/A,#N/A,FALSE,"Profits";#N/A,#N/A,FALSE,"ABS";#N/A,#N/A,FALSE,"TFLE Detail";#N/A,#N/A,FALSE,"TFLE Walk";#N/A,#N/A,FALSE,"Variable Cost";#N/A,#N/A,FALSE,"V.C. Walk"}</definedName>
    <definedName name="ccccccc_1" hidden="1">{#N/A,#N/A,FALSE,"Cover";#N/A,#N/A,FALSE,"Profits";#N/A,#N/A,FALSE,"ABS";#N/A,#N/A,FALSE,"TFLE Detail";#N/A,#N/A,FALSE,"TFLE Walk";#N/A,#N/A,FALSE,"Variable Cost";#N/A,#N/A,FALSE,"V.C. Walk"}</definedName>
    <definedName name="ccccccc_2" hidden="1">{#N/A,#N/A,FALSE,"Cover";#N/A,#N/A,FALSE,"Profits";#N/A,#N/A,FALSE,"ABS";#N/A,#N/A,FALSE,"TFLE Detail";#N/A,#N/A,FALSE,"TFLE Walk";#N/A,#N/A,FALSE,"Variable Cost";#N/A,#N/A,FALSE,"V.C. Walk"}</definedName>
    <definedName name="CCCCCCCCCCCCCC" hidden="1">{#N/A,#N/A,FALSE,"KMC최종회의(7월) 자료"}</definedName>
    <definedName name="cccddd" hidden="1">{#N/A,#N/A,FALSE,"단축1";#N/A,#N/A,FALSE,"단축2";#N/A,#N/A,FALSE,"단축3";#N/A,#N/A,FALSE,"장축";#N/A,#N/A,FALSE,"4WD"}</definedName>
    <definedName name="ccd" hidden="1">{#N/A,#N/A,FALSE,"italien97+98";#N/A,#N/A,FALSE,"italien 99+2000"}</definedName>
    <definedName name="CCD매출" hidden="1">{"'0808_월별 (2)'!$A$2:$T$28"}</definedName>
    <definedName name="CFV" hidden="1">{#N/A,#N/A,FALSE,"Sheet3"}</definedName>
    <definedName name="chang" hidden="1">{#N/A,#N/A,FALSE,"을지 (4)";#N/A,#N/A,FALSE,"을지 (5)";#N/A,#N/A,FALSE,"을지 (6)"}</definedName>
    <definedName name="Chart" hidden="1">{#N/A,#N/A,FALSE,"Pharm";#N/A,#N/A,FALSE,"WWCM"}</definedName>
    <definedName name="ChosenCurrency">[1]Description!$C$10</definedName>
    <definedName name="chosie" hidden="1">{#N/A,#N/A,FALSE,"Pharm";#N/A,#N/A,FALSE,"WWCM"}</definedName>
    <definedName name="chxc" hidden="1">{"Fiesta Facer Page",#N/A,FALSE,"Q_C_S";"Fiesta Main Page",#N/A,FALSE,"V_L";"Fiesta 95BP Struct",#N/A,FALSE,"StructBP";"Fiesta Post 95BP Struct",#N/A,FALSE,"AdjStructBP"}</definedName>
    <definedName name="chxc_1" hidden="1">{"Fiesta Facer Page",#N/A,FALSE,"Q_C_S";"Fiesta Main Page",#N/A,FALSE,"V_L";"Fiesta 95BP Struct",#N/A,FALSE,"StructBP";"Fiesta Post 95BP Struct",#N/A,FALSE,"AdjStructBP"}</definedName>
    <definedName name="chxc_2" hidden="1">{"Fiesta Facer Page",#N/A,FALSE,"Q_C_S";"Fiesta Main Page",#N/A,FALSE,"V_L";"Fiesta 95BP Struct",#N/A,FALSE,"StructBP";"Fiesta Post 95BP Struct",#N/A,FALSE,"AdjStructBP"}</definedName>
    <definedName name="ci" hidden="1">{#N/A,#N/A,FALSE,"단축1";#N/A,#N/A,FALSE,"단축2";#N/A,#N/A,FALSE,"단축3";#N/A,#N/A,FALSE,"장축";#N/A,#N/A,FALSE,"4WD"}</definedName>
    <definedName name="CIQWBGuid" hidden="1">"ebaf4b48-8bfe-4731-bc7c-bd94270f2983"</definedName>
    <definedName name="CIQWBInfo" hidden="1">"{ ""CIQVersion"":""9.45.614.5792"" }"</definedName>
    <definedName name="ckckckckckckckckckckckckckckckckckckckckck" hidden="1">{#N/A,#N/A,FALSE,"KMC최종회의(7월) 자료"}</definedName>
    <definedName name="ckdksl" hidden="1">{#N/A,#N/A,FALSE,"단축1";#N/A,#N/A,FALSE,"단축2";#N/A,#N/A,FALSE,"단축3";#N/A,#N/A,FALSE,"장축";#N/A,#N/A,FALSE,"4WD"}</definedName>
    <definedName name="CM대비" hidden="1">{"'0808_월별 (2)'!$A$2:$T$28"}</definedName>
    <definedName name="Code" hidden="1">#REF!</definedName>
    <definedName name="code2" hidden="1">#REF!</definedName>
    <definedName name="COGstandard" hidden="1">{#N/A,#N/A,FALSE,"Pharm";#N/A,#N/A,FALSE,"WWCM"}</definedName>
    <definedName name="colo" hidden="1">{"Fiesta Facer Page",#N/A,FALSE,"Q_C_S";"Fiesta Main Page",#N/A,FALSE,"V_L";"Fiesta 95BP Struct",#N/A,FALSE,"StructBP";"Fiesta Post 95BP Struct",#N/A,FALSE,"AdjStructBP"}</definedName>
    <definedName name="combine" hidden="1">{"Revenue",#N/A,FALSE,"Series";"Ecprofit",#N/A,FALSE,"Series"}</definedName>
    <definedName name="common" hidden="1">{#N/A,#N/A,FALSE,"Assumptions";#N/A,#N/A,FALSE,"Volumes";#N/A,#N/A,FALSE,"Pricing";#N/A,#N/A,FALSE,"Variable Cost";#N/A,#N/A,FALSE,"Investment";#N/A,#N/A,FALSE,"Profitability";#N/A,#N/A,FALSE,"Business Comparison"}</definedName>
    <definedName name="common1" hidden="1">{#N/A,#N/A,FALSE,"Assumptions";#N/A,#N/A,FALSE,"Volumes";#N/A,#N/A,FALSE,"Pricing";#N/A,#N/A,FALSE,"Variable Cost";#N/A,#N/A,FALSE,"Investment";#N/A,#N/A,FALSE,"Profitability";#N/A,#N/A,FALSE,"Business Comparison"}</definedName>
    <definedName name="company_요약_1" hidden="1">{"'0808_월별 (2)'!$A$2:$T$28"}</definedName>
    <definedName name="company_요약_1_1" hidden="1">{"'0808_월별 (2)'!$A$2:$T$28"}</definedName>
    <definedName name="company_요약_2" hidden="1">{"'0808_월별 (2)'!$A$2:$T$28"}</definedName>
    <definedName name="company_요약_2_1" hidden="1">{"'0808_월별 (2)'!$A$2:$T$28"}</definedName>
    <definedName name="company_요약_3" hidden="1">{"'0808_월별 (2)'!$A$2:$T$28"}</definedName>
    <definedName name="company_요약_3_1" hidden="1">{"'0808_월별 (2)'!$A$2:$T$28"}</definedName>
    <definedName name="company_요약_4" hidden="1">{"'0808_월별 (2)'!$A$2:$T$28"}</definedName>
    <definedName name="company_요약_4_1" hidden="1">{"'0808_월별 (2)'!$A$2:$T$28"}</definedName>
    <definedName name="company_요약_5" hidden="1">{"'0808_월별 (2)'!$A$2:$T$28"}</definedName>
    <definedName name="company_요약_5_1" hidden="1">{"'0808_월별 (2)'!$A$2:$T$28"}</definedName>
    <definedName name="company1" hidden="1">{"'0808_월별 (2)'!$A$2:$T$28"}</definedName>
    <definedName name="Company진척3월" hidden="1">{"'0808_월별 (2)'!$A$2:$T$28"}</definedName>
    <definedName name="CONCEPT" hidden="1">{#N/A,#N/A,FALSE,"단축1";#N/A,#N/A,FALSE,"단축2";#N/A,#N/A,FALSE,"단축3";#N/A,#N/A,FALSE,"장축";#N/A,#N/A,FALSE,"4WD"}</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y" hidden="1">#REF!</definedName>
    <definedName name="copy1" hidden="1">#REF!</definedName>
    <definedName name="copy233" hidden="1">{#N/A,#N/A,FALSE,"Pharm";#N/A,#N/A,FALSE,"WWCM"}</definedName>
    <definedName name="copy33" hidden="1">{#N/A,#N/A,FALSE,"Pharm";#N/A,#N/A,FALSE,"WWCM"}</definedName>
    <definedName name="copy38" hidden="1">{#N/A,#N/A,FALSE,"Pharm";#N/A,#N/A,FALSE,"WWCM"}</definedName>
    <definedName name="costsum" hidden="1">{"sga expense",#N/A,FALSE,"S,G&amp;A EXP"}</definedName>
    <definedName name="COT_current" hidden="1">#REF!</definedName>
    <definedName name="COT_rat_CURRENT" hidden="1">#REF!</definedName>
    <definedName name="COURSE" hidden="1">{#N/A,#N/A,FALSE,"KMC최종회의(7월) 자료"}</definedName>
    <definedName name="CPV" hidden="1">#REF!</definedName>
    <definedName name="crevfrf" hidden="1">{"Fiesta Facer Page",#N/A,FALSE,"Q_C_S";"Fiesta Main Page",#N/A,FALSE,"V_L";"Fiesta 95BP Struct",#N/A,FALSE,"StructBP";"Fiesta Post 95BP Struct",#N/A,FALSE,"AdjStructBP"}</definedName>
    <definedName name="cs" hidden="1">{"Presentation",#N/A,FALSE,"Feb96 - ALL"}</definedName>
    <definedName name="csas" hidden="1">{#N/A,#N/A,FALSE,"KMC최종회의(7월) 자료"}</definedName>
    <definedName name="csccw" hidden="1">{#N/A,#N/A,FALSE,"Profit Status";#N/A,#N/A,FALSE,"Invest";#N/A,#N/A,FALSE,"Revenue";#N/A,#N/A,FALSE,"Variable Cost";#N/A,#N/A,FALSE,"Options &amp; Series"}</definedName>
    <definedName name="CurrentCOTPivottest" hidden="1">#REF!</definedName>
    <definedName name="Customer">OFFSET([2]Action_input!#REF!,0,0,COUNTIF([2]Action_input!#REF!,"&gt;0")+1)</definedName>
    <definedName name="CustomerSales">"OFFSET($AN$4:$AT$1068,0,0,COUNTIF($AJ$4:$AJ$1068,""&gt;0"")+1)"</definedName>
    <definedName name="CVB" hidden="1">{#VALUE!,#N/A,FALSE,0;#N/A,#N/A,FALSE,0;#N/A,#N/A,FALSE,0;#N/A,#N/A,FALSE,0;#N/A,#N/A,FALSE,0}</definedName>
    <definedName name="cvbcsvbsdfb" hidden="1">{"manpower",#N/A,FALSE,"MANPOWER_PAYROLL"}</definedName>
    <definedName name="CVBN" hidden="1">{#N/A,#N/A,FALSE,"단축1";#N/A,#N/A,FALSE,"단축2";#N/A,#N/A,FALSE,"단축3";#N/A,#N/A,FALSE,"장축";#N/A,#N/A,FALSE,"4WD"}</definedName>
    <definedName name="cvj" hidden="1">{#N/A,#N/A,FALSE,"KMC최종회의(7월) 자료"}</definedName>
    <definedName name="CVJJ" hidden="1">{#N/A,#N/A,FALSE,"KMC최종회의(7월) 자료"}</definedName>
    <definedName name="CVN" hidden="1">{#N/A,#N/A,FALSE,"단축1";#N/A,#N/A,FALSE,"단축2";#N/A,#N/A,FALSE,"단축3";#N/A,#N/A,FALSE,"장축";#N/A,#N/A,FALSE,"4WD"}</definedName>
    <definedName name="CVXB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x" hidden="1">#REF!</definedName>
    <definedName name="CXKJVHA" hidden="1">{#N/A,#N/A,TRUE,"일정"}</definedName>
    <definedName name="cxnbxcb" hidden="1">{"sga expense",#N/A,FALSE,"S,G&amp;A EXP"}</definedName>
    <definedName name="D" hidden="1">#REF!</definedName>
    <definedName name="D_1" hidden="1">{"'MNT'!$AE$4:$AN$34"}</definedName>
    <definedName name="DAD" hidden="1">{#N/A,#N/A,FALSE,"REPORT"}</definedName>
    <definedName name="DADF" hidden="1">{#N/A,#N/A,FALSE,"REPORT"}</definedName>
    <definedName name="daf" hidden="1">{#N/A,#N/A,FALSE,"1";#N/A,#N/A,FALSE,"2";#N/A,#N/A,FALSE,"16 - 17";#N/A,#N/A,FALSE,"18 - 19";#N/A,#N/A,FALSE,"26";#N/A,#N/A,FALSE,"27";#N/A,#N/A,FALSE,"28"}</definedName>
    <definedName name="dakfkjafgkeaj" hidden="1">{#N/A,#N/A,FALSE,"Pharm";#N/A,#N/A,FALSE,"WWCM"}</definedName>
    <definedName name="das" hidden="1">{#N/A,#N/A,TRUE,"Y생산";#N/A,#N/A,TRUE,"Y판매";#N/A,#N/A,TRUE,"Y총물량";#N/A,#N/A,TRUE,"Y능력";#N/A,#N/A,TRUE,"YKD"}</definedName>
    <definedName name="Data.Dump" hidden="1">OFFSET(#REF!,1,0)</definedName>
    <definedName name="DATA_04" hidden="1">#REF!</definedName>
    <definedName name="DATA_06" hidden="1">#REF!</definedName>
    <definedName name="DATA_08" hidden="1">#REF!</definedName>
    <definedName name="data3" hidden="1">#REF!</definedName>
    <definedName name="Database.File" hidden="1">#REF!</definedName>
    <definedName name="DBCJA" hidden="1">{#N/A,#N/A,FALSE,"단축1";#N/A,#N/A,FALSE,"단축2";#N/A,#N/A,FALSE,"단축3";#N/A,#N/A,FALSE,"장축";#N/A,#N/A,FALSE,"4WD"}</definedName>
    <definedName name="DCV" hidden="1">{#N/A,#N/A,FALSE,"단축1";#N/A,#N/A,FALSE,"단축2";#N/A,#N/A,FALSE,"단축3";#N/A,#N/A,FALSE,"장축";#N/A,#N/A,FALSE,"4WD"}</definedName>
    <definedName name="dd" hidden="1">{#N/A,#N/A,FALSE,"Cover";#N/A,#N/A,FALSE,"Assumptions";#N/A,#N/A,FALSE,"Volumes";#N/A,#N/A,FALSE,"Pricing";#N/A,#N/A,FALSE,"TFLE Walk";#N/A,#N/A,FALSE,"Variable Cost";#N/A,#N/A,FALSE,"Sensitivity";#N/A,#N/A,FALSE,"Investment";#N/A,#N/A,FALSE,"Profitability"}</definedName>
    <definedName name="dd_1" hidden="1">{#N/A,#N/A,FALSE,"DAOCM 2차 검토"}</definedName>
    <definedName name="dd_1_1" hidden="1">{#N/A,#N/A,FALSE,"DAOCM 2차 검토"}</definedName>
    <definedName name="dd_2" hidden="1">{#N/A,#N/A,FALSE,"DAOCM 2차 검토"}</definedName>
    <definedName name="dd_2_1" hidden="1">{#N/A,#N/A,FALSE,"DAOCM 2차 검토"}</definedName>
    <definedName name="dd_3" hidden="1">{#N/A,#N/A,FALSE,"DAOCM 2차 검토"}</definedName>
    <definedName name="dd_3_1" hidden="1">{#N/A,#N/A,FALSE,"DAOCM 2차 검토"}</definedName>
    <definedName name="dd_4" hidden="1">{#N/A,#N/A,FALSE,"DAOCM 2차 검토"}</definedName>
    <definedName name="dd_4_1" hidden="1">{#N/A,#N/A,FALSE,"DAOCM 2차 검토"}</definedName>
    <definedName name="dd_5" hidden="1">{#N/A,#N/A,FALSE,"DAOCM 2차 검토"}</definedName>
    <definedName name="dd_5_1" hidden="1">{#N/A,#N/A,FALSE,"DAOCM 2차 검토"}</definedName>
    <definedName name="ddd" hidden="1">#REF!</definedName>
    <definedName name="DDD_1" hidden="1">{#N/A,#N/A,TRUE,"양식5";#N/A,#N/A,TRUE,"양식1_2_2";#N/A,#N/A,TRUE,"양식1_1_2";#N/A,#N/A,TRUE,"양식2";#N/A,#N/A,TRUE,"양식4";#N/A,#N/A,TRUE,"양식3";#N/A,#N/A,TRUE,"양식6";#N/A,#N/A,TRUE,"양식7";#N/A,#N/A,TRUE,"양식10";#N/A,#N/A,TRUE,"양식11";#N/A,#N/A,TRUE,"양식12";#N/A,#N/A,TRUE,"양식13_1_2";#N/A,#N/A,TRUE,"양식13_2_2";#N/A,#N/A,TRUE,"양식14"}</definedName>
    <definedName name="DDD_1_1" hidden="1">{#N/A,#N/A,TRUE,"양식5";#N/A,#N/A,TRUE,"양식1_2_2";#N/A,#N/A,TRUE,"양식1_1_2";#N/A,#N/A,TRUE,"양식2";#N/A,#N/A,TRUE,"양식4";#N/A,#N/A,TRUE,"양식3";#N/A,#N/A,TRUE,"양식6";#N/A,#N/A,TRUE,"양식7";#N/A,#N/A,TRUE,"양식10";#N/A,#N/A,TRUE,"양식11";#N/A,#N/A,TRUE,"양식12";#N/A,#N/A,TRUE,"양식13_1_2";#N/A,#N/A,TRUE,"양식13_2_2";#N/A,#N/A,TRUE,"양식14"}</definedName>
    <definedName name="DDD_2" hidden="1">{#N/A,#N/A,TRUE,"양식5";#N/A,#N/A,TRUE,"양식1_2_2";#N/A,#N/A,TRUE,"양식1_1_2";#N/A,#N/A,TRUE,"양식2";#N/A,#N/A,TRUE,"양식4";#N/A,#N/A,TRUE,"양식3";#N/A,#N/A,TRUE,"양식6";#N/A,#N/A,TRUE,"양식7";#N/A,#N/A,TRUE,"양식10";#N/A,#N/A,TRUE,"양식11";#N/A,#N/A,TRUE,"양식12";#N/A,#N/A,TRUE,"양식13_1_2";#N/A,#N/A,TRUE,"양식13_2_2";#N/A,#N/A,TRUE,"양식14"}</definedName>
    <definedName name="DDD_2_1" hidden="1">{#N/A,#N/A,TRUE,"양식5";#N/A,#N/A,TRUE,"양식1_2_2";#N/A,#N/A,TRUE,"양식1_1_2";#N/A,#N/A,TRUE,"양식2";#N/A,#N/A,TRUE,"양식4";#N/A,#N/A,TRUE,"양식3";#N/A,#N/A,TRUE,"양식6";#N/A,#N/A,TRUE,"양식7";#N/A,#N/A,TRUE,"양식10";#N/A,#N/A,TRUE,"양식11";#N/A,#N/A,TRUE,"양식12";#N/A,#N/A,TRUE,"양식13_1_2";#N/A,#N/A,TRUE,"양식13_2_2";#N/A,#N/A,TRUE,"양식14"}</definedName>
    <definedName name="DDD_3" hidden="1">{#N/A,#N/A,TRUE,"양식5";#N/A,#N/A,TRUE,"양식1_2_2";#N/A,#N/A,TRUE,"양식1_1_2";#N/A,#N/A,TRUE,"양식2";#N/A,#N/A,TRUE,"양식4";#N/A,#N/A,TRUE,"양식3";#N/A,#N/A,TRUE,"양식6";#N/A,#N/A,TRUE,"양식7";#N/A,#N/A,TRUE,"양식10";#N/A,#N/A,TRUE,"양식11";#N/A,#N/A,TRUE,"양식12";#N/A,#N/A,TRUE,"양식13_1_2";#N/A,#N/A,TRUE,"양식13_2_2";#N/A,#N/A,TRUE,"양식14"}</definedName>
    <definedName name="DDD_3_1" hidden="1">{#N/A,#N/A,TRUE,"양식5";#N/A,#N/A,TRUE,"양식1_2_2";#N/A,#N/A,TRUE,"양식1_1_2";#N/A,#N/A,TRUE,"양식2";#N/A,#N/A,TRUE,"양식4";#N/A,#N/A,TRUE,"양식3";#N/A,#N/A,TRUE,"양식6";#N/A,#N/A,TRUE,"양식7";#N/A,#N/A,TRUE,"양식10";#N/A,#N/A,TRUE,"양식11";#N/A,#N/A,TRUE,"양식12";#N/A,#N/A,TRUE,"양식13_1_2";#N/A,#N/A,TRUE,"양식13_2_2";#N/A,#N/A,TRUE,"양식14"}</definedName>
    <definedName name="DDD_4" hidden="1">{#N/A,#N/A,TRUE,"양식5";#N/A,#N/A,TRUE,"양식1_2_2";#N/A,#N/A,TRUE,"양식1_1_2";#N/A,#N/A,TRUE,"양식2";#N/A,#N/A,TRUE,"양식4";#N/A,#N/A,TRUE,"양식3";#N/A,#N/A,TRUE,"양식6";#N/A,#N/A,TRUE,"양식7";#N/A,#N/A,TRUE,"양식10";#N/A,#N/A,TRUE,"양식11";#N/A,#N/A,TRUE,"양식12";#N/A,#N/A,TRUE,"양식13_1_2";#N/A,#N/A,TRUE,"양식13_2_2";#N/A,#N/A,TRUE,"양식14"}</definedName>
    <definedName name="DDD_4_1" hidden="1">{#N/A,#N/A,TRUE,"양식5";#N/A,#N/A,TRUE,"양식1_2_2";#N/A,#N/A,TRUE,"양식1_1_2";#N/A,#N/A,TRUE,"양식2";#N/A,#N/A,TRUE,"양식4";#N/A,#N/A,TRUE,"양식3";#N/A,#N/A,TRUE,"양식6";#N/A,#N/A,TRUE,"양식7";#N/A,#N/A,TRUE,"양식10";#N/A,#N/A,TRUE,"양식11";#N/A,#N/A,TRUE,"양식12";#N/A,#N/A,TRUE,"양식13_1_2";#N/A,#N/A,TRUE,"양식13_2_2";#N/A,#N/A,TRUE,"양식14"}</definedName>
    <definedName name="DDD_5" hidden="1">{#N/A,#N/A,TRUE,"양식5";#N/A,#N/A,TRUE,"양식1_2_2";#N/A,#N/A,TRUE,"양식1_1_2";#N/A,#N/A,TRUE,"양식2";#N/A,#N/A,TRUE,"양식4";#N/A,#N/A,TRUE,"양식3";#N/A,#N/A,TRUE,"양식6";#N/A,#N/A,TRUE,"양식7";#N/A,#N/A,TRUE,"양식10";#N/A,#N/A,TRUE,"양식11";#N/A,#N/A,TRUE,"양식12";#N/A,#N/A,TRUE,"양식13_1_2";#N/A,#N/A,TRUE,"양식13_2_2";#N/A,#N/A,TRUE,"양식14"}</definedName>
    <definedName name="DDD_5_1" hidden="1">{#N/A,#N/A,TRUE,"양식5";#N/A,#N/A,TRUE,"양식1_2_2";#N/A,#N/A,TRUE,"양식1_1_2";#N/A,#N/A,TRUE,"양식2";#N/A,#N/A,TRUE,"양식4";#N/A,#N/A,TRUE,"양식3";#N/A,#N/A,TRUE,"양식6";#N/A,#N/A,TRUE,"양식7";#N/A,#N/A,TRUE,"양식10";#N/A,#N/A,TRUE,"양식11";#N/A,#N/A,TRUE,"양식12";#N/A,#N/A,TRUE,"양식13_1_2";#N/A,#N/A,TRUE,"양식13_2_2";#N/A,#N/A,TRUE,"양식14"}</definedName>
    <definedName name="dddaz" hidden="1">{#N/A,#N/A,FALSE,"Pharm";#N/A,#N/A,FALSE,"WWCM"}</definedName>
    <definedName name="dddd" hidden="1">{"Fiesta Facer Page",#N/A,FALSE,"Q_C_S";"Fiesta Main Page",#N/A,FALSE,"V_L";"Fiesta 95BP Struct",#N/A,FALSE,"StructBP";"Fiesta Post 95BP Struct",#N/A,FALSE,"AdjStructBP"}</definedName>
    <definedName name="DDDD_1" hidden="1">{#N/A,#N/A,TRUE,"양식5";#N/A,#N/A,TRUE,"양식1_2_2";#N/A,#N/A,TRUE,"양식1_1_2";#N/A,#N/A,TRUE,"양식2";#N/A,#N/A,TRUE,"양식4";#N/A,#N/A,TRUE,"양식3";#N/A,#N/A,TRUE,"양식6";#N/A,#N/A,TRUE,"양식7";#N/A,#N/A,TRUE,"양식10";#N/A,#N/A,TRUE,"양식11";#N/A,#N/A,TRUE,"양식12";#N/A,#N/A,TRUE,"양식13_1_2";#N/A,#N/A,TRUE,"양식13_2_2";#N/A,#N/A,TRUE,"양식14"}</definedName>
    <definedName name="DDDD_1_1" hidden="1">{#N/A,#N/A,TRUE,"양식5";#N/A,#N/A,TRUE,"양식1_2_2";#N/A,#N/A,TRUE,"양식1_1_2";#N/A,#N/A,TRUE,"양식2";#N/A,#N/A,TRUE,"양식4";#N/A,#N/A,TRUE,"양식3";#N/A,#N/A,TRUE,"양식6";#N/A,#N/A,TRUE,"양식7";#N/A,#N/A,TRUE,"양식10";#N/A,#N/A,TRUE,"양식11";#N/A,#N/A,TRUE,"양식12";#N/A,#N/A,TRUE,"양식13_1_2";#N/A,#N/A,TRUE,"양식13_2_2";#N/A,#N/A,TRUE,"양식14"}</definedName>
    <definedName name="DDDD_2" hidden="1">{#N/A,#N/A,TRUE,"양식5";#N/A,#N/A,TRUE,"양식1_2_2";#N/A,#N/A,TRUE,"양식1_1_2";#N/A,#N/A,TRUE,"양식2";#N/A,#N/A,TRUE,"양식4";#N/A,#N/A,TRUE,"양식3";#N/A,#N/A,TRUE,"양식6";#N/A,#N/A,TRUE,"양식7";#N/A,#N/A,TRUE,"양식10";#N/A,#N/A,TRUE,"양식11";#N/A,#N/A,TRUE,"양식12";#N/A,#N/A,TRUE,"양식13_1_2";#N/A,#N/A,TRUE,"양식13_2_2";#N/A,#N/A,TRUE,"양식14"}</definedName>
    <definedName name="DDDD_2_1" hidden="1">{#N/A,#N/A,TRUE,"양식5";#N/A,#N/A,TRUE,"양식1_2_2";#N/A,#N/A,TRUE,"양식1_1_2";#N/A,#N/A,TRUE,"양식2";#N/A,#N/A,TRUE,"양식4";#N/A,#N/A,TRUE,"양식3";#N/A,#N/A,TRUE,"양식6";#N/A,#N/A,TRUE,"양식7";#N/A,#N/A,TRUE,"양식10";#N/A,#N/A,TRUE,"양식11";#N/A,#N/A,TRUE,"양식12";#N/A,#N/A,TRUE,"양식13_1_2";#N/A,#N/A,TRUE,"양식13_2_2";#N/A,#N/A,TRUE,"양식14"}</definedName>
    <definedName name="DDDD_3" hidden="1">{#N/A,#N/A,TRUE,"양식5";#N/A,#N/A,TRUE,"양식1_2_2";#N/A,#N/A,TRUE,"양식1_1_2";#N/A,#N/A,TRUE,"양식2";#N/A,#N/A,TRUE,"양식4";#N/A,#N/A,TRUE,"양식3";#N/A,#N/A,TRUE,"양식6";#N/A,#N/A,TRUE,"양식7";#N/A,#N/A,TRUE,"양식10";#N/A,#N/A,TRUE,"양식11";#N/A,#N/A,TRUE,"양식12";#N/A,#N/A,TRUE,"양식13_1_2";#N/A,#N/A,TRUE,"양식13_2_2";#N/A,#N/A,TRUE,"양식14"}</definedName>
    <definedName name="DDDD_3_1" hidden="1">{#N/A,#N/A,TRUE,"양식5";#N/A,#N/A,TRUE,"양식1_2_2";#N/A,#N/A,TRUE,"양식1_1_2";#N/A,#N/A,TRUE,"양식2";#N/A,#N/A,TRUE,"양식4";#N/A,#N/A,TRUE,"양식3";#N/A,#N/A,TRUE,"양식6";#N/A,#N/A,TRUE,"양식7";#N/A,#N/A,TRUE,"양식10";#N/A,#N/A,TRUE,"양식11";#N/A,#N/A,TRUE,"양식12";#N/A,#N/A,TRUE,"양식13_1_2";#N/A,#N/A,TRUE,"양식13_2_2";#N/A,#N/A,TRUE,"양식14"}</definedName>
    <definedName name="DDDD_4" hidden="1">{#N/A,#N/A,TRUE,"양식5";#N/A,#N/A,TRUE,"양식1_2_2";#N/A,#N/A,TRUE,"양식1_1_2";#N/A,#N/A,TRUE,"양식2";#N/A,#N/A,TRUE,"양식4";#N/A,#N/A,TRUE,"양식3";#N/A,#N/A,TRUE,"양식6";#N/A,#N/A,TRUE,"양식7";#N/A,#N/A,TRUE,"양식10";#N/A,#N/A,TRUE,"양식11";#N/A,#N/A,TRUE,"양식12";#N/A,#N/A,TRUE,"양식13_1_2";#N/A,#N/A,TRUE,"양식13_2_2";#N/A,#N/A,TRUE,"양식14"}</definedName>
    <definedName name="DDDD_4_1" hidden="1">{#N/A,#N/A,TRUE,"양식5";#N/A,#N/A,TRUE,"양식1_2_2";#N/A,#N/A,TRUE,"양식1_1_2";#N/A,#N/A,TRUE,"양식2";#N/A,#N/A,TRUE,"양식4";#N/A,#N/A,TRUE,"양식3";#N/A,#N/A,TRUE,"양식6";#N/A,#N/A,TRUE,"양식7";#N/A,#N/A,TRUE,"양식10";#N/A,#N/A,TRUE,"양식11";#N/A,#N/A,TRUE,"양식12";#N/A,#N/A,TRUE,"양식13_1_2";#N/A,#N/A,TRUE,"양식13_2_2";#N/A,#N/A,TRUE,"양식14"}</definedName>
    <definedName name="DDDD_5" hidden="1">{#N/A,#N/A,TRUE,"양식5";#N/A,#N/A,TRUE,"양식1_2_2";#N/A,#N/A,TRUE,"양식1_1_2";#N/A,#N/A,TRUE,"양식2";#N/A,#N/A,TRUE,"양식4";#N/A,#N/A,TRUE,"양식3";#N/A,#N/A,TRUE,"양식6";#N/A,#N/A,TRUE,"양식7";#N/A,#N/A,TRUE,"양식10";#N/A,#N/A,TRUE,"양식11";#N/A,#N/A,TRUE,"양식12";#N/A,#N/A,TRUE,"양식13_1_2";#N/A,#N/A,TRUE,"양식13_2_2";#N/A,#N/A,TRUE,"양식14"}</definedName>
    <definedName name="DDDD_5_1" hidden="1">{#N/A,#N/A,TRUE,"양식5";#N/A,#N/A,TRUE,"양식1_2_2";#N/A,#N/A,TRUE,"양식1_1_2";#N/A,#N/A,TRUE,"양식2";#N/A,#N/A,TRUE,"양식4";#N/A,#N/A,TRUE,"양식3";#N/A,#N/A,TRUE,"양식6";#N/A,#N/A,TRUE,"양식7";#N/A,#N/A,TRUE,"양식10";#N/A,#N/A,TRUE,"양식11";#N/A,#N/A,TRUE,"양식12";#N/A,#N/A,TRUE,"양식13_1_2";#N/A,#N/A,TRUE,"양식13_2_2";#N/A,#N/A,TRUE,"양식14"}</definedName>
    <definedName name="ddddd" hidden="1">{"Wn126ExpPay",#N/A,FALSE,"Wn-Payroll"}</definedName>
    <definedName name="dddddd" hidden="1">{#N/A,#N/A,FALSE,"Pharm";#N/A,#N/A,FALSE,"WWCM"}</definedName>
    <definedName name="DDDDDDD" hidden="1">#REF!</definedName>
    <definedName name="dddddddddddddddddddddddddddd" hidden="1">{#N/A,#N/A,FALSE,"단축1";#N/A,#N/A,FALSE,"단축2";#N/A,#N/A,FALSE,"단축3";#N/A,#N/A,FALSE,"장축";#N/A,#N/A,FALSE,"4WD"}</definedName>
    <definedName name="dddddf" hidden="1">{#N/A,#N/A,FALSE,"단축1";#N/A,#N/A,FALSE,"단축2";#N/A,#N/A,FALSE,"단축3";#N/A,#N/A,FALSE,"장축";#N/A,#N/A,FALSE,"4WD"}</definedName>
    <definedName name="DDDDEE" hidden="1">{#N/A,#N/A,FALSE,"정공"}</definedName>
    <definedName name="DDDFFF" hidden="1">{"LES",#N/A,FALSE,"PRINT";"TFI",#N/A,FALSE,"PRINT"}</definedName>
    <definedName name="dddfg" hidden="1">{#N/A,#N/A,FALSE,"정공"}</definedName>
    <definedName name="DDE" hidden="1">{#N/A,#N/A,FALSE,"단축1";#N/A,#N/A,FALSE,"단축2";#N/A,#N/A,FALSE,"단축3";#N/A,#N/A,FALSE,"장축";#N/A,#N/A,FALSE,"4WD"}</definedName>
    <definedName name="dDFA" hidden="1">{#N/A,#N/A,FALSE,"단축1";#N/A,#N/A,FALSE,"단축2";#N/A,#N/A,FALSE,"단축3";#N/A,#N/A,FALSE,"장축";#N/A,#N/A,FALSE,"4WD"}</definedName>
    <definedName name="ddfddddd" hidden="1">{#N/A,#N/A,FALSE,"DAOCM 2차 검토"}</definedName>
    <definedName name="ddfddddd_1" hidden="1">{#N/A,#N/A,FALSE,"DAOCM 2차 검토"}</definedName>
    <definedName name="ddfddddd_1_1" hidden="1">{#N/A,#N/A,FALSE,"DAOCM 2차 검토"}</definedName>
    <definedName name="ddfddddd_2" hidden="1">{#N/A,#N/A,FALSE,"DAOCM 2차 검토"}</definedName>
    <definedName name="ddfddddd_2_1" hidden="1">{#N/A,#N/A,FALSE,"DAOCM 2차 검토"}</definedName>
    <definedName name="ddfddddd_3" hidden="1">{#N/A,#N/A,FALSE,"DAOCM 2차 검토"}</definedName>
    <definedName name="ddfddddd_3_1" hidden="1">{#N/A,#N/A,FALSE,"DAOCM 2차 검토"}</definedName>
    <definedName name="ddfddddd_4" hidden="1">{#N/A,#N/A,FALSE,"DAOCM 2차 검토"}</definedName>
    <definedName name="ddfddddd_4_1" hidden="1">{#N/A,#N/A,FALSE,"DAOCM 2차 검토"}</definedName>
    <definedName name="ddfddddd_5" hidden="1">{#N/A,#N/A,FALSE,"DAOCM 2차 검토"}</definedName>
    <definedName name="ddfddddd_5_1" hidden="1">{#N/A,#N/A,FALSE,"DAOCM 2차 검토"}</definedName>
    <definedName name="ddff_ppp" hidden="1">#REF!</definedName>
    <definedName name="ddff_pppp" hidden="1">#REF!</definedName>
    <definedName name="DDS" hidden="1">{#N/A,#N/A,FALSE,"을지 (4)";#N/A,#N/A,FALSE,"을지 (5)";#N/A,#N/A,FALSE,"을지 (6)"}</definedName>
    <definedName name="DDSSS" hidden="1">{#N/A,#N/A,FALSE,"단축1";#N/A,#N/A,FALSE,"단축2";#N/A,#N/A,FALSE,"단축3";#N/A,#N/A,FALSE,"장축";#N/A,#N/A,FALSE,"4WD"}</definedName>
    <definedName name="de" hidden="1">#REF!</definedName>
    <definedName name="December" hidden="1">{#N/A,#N/A,FALSE,"Sheet3"}</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sw" hidden="1">#REF!</definedName>
    <definedName name="DEDZD" hidden="1">{#N/A,#N/A,FALSE,"Pharm";#N/A,#N/A,FALSE,"WWCM"}</definedName>
    <definedName name="dee" hidden="1">#REF!</definedName>
    <definedName name="def" hidden="1">{#N/A,#N/A,FALSE,"431"}</definedName>
    <definedName name="deftax04" hidden="1">{#N/A,#N/A,FALSE,"12"}</definedName>
    <definedName name="DESK" hidden="1">{#N/A,#N/A,FALSE,"정공"}</definedName>
    <definedName name="DEZLFEZKLHF" hidden="1">{#N/A,#N/A,FALSE,"Pharm";#N/A,#N/A,FALSE,"WWCM"}</definedName>
    <definedName name="df" hidden="1">{#N/A,#N/A,FALSE,"Cover";#N/A,#N/A,FALSE,"Assumptions";#N/A,#N/A,FALSE,"Volumes";#N/A,#N/A,FALSE,"Pricing";#N/A,#N/A,FALSE,"TFLE Walk";#N/A,#N/A,FALSE,"Variable Cost";#N/A,#N/A,FALSE,"Sensitivity";#N/A,#N/A,FALSE,"Investment";#N/A,#N/A,FALSE,"Profitability"}</definedName>
    <definedName name="DFA" hidden="1">{#N/A,#N/A,FALSE,"단축1";#N/A,#N/A,FALSE,"단축2";#N/A,#N/A,FALSE,"단축3";#N/A,#N/A,FALSE,"장축";#N/A,#N/A,FALSE,"4WD"}</definedName>
    <definedName name="DFADADFA" hidden="1">{#N/A,#N/A,FALSE,"단축1";#N/A,#N/A,FALSE,"단축2";#N/A,#N/A,FALSE,"단축3";#N/A,#N/A,FALSE,"장축";#N/A,#N/A,FALSE,"4WD"}</definedName>
    <definedName name="DFAF" hidden="1">{#N/A,#N/A,FALSE,"단축1";#N/A,#N/A,FALSE,"단축2";#N/A,#N/A,FALSE,"단축3";#N/A,#N/A,FALSE,"장축";#N/A,#N/A,FALSE,"4WD"}</definedName>
    <definedName name="dfasdfawerf" hidden="1">{#N/A,#N/A,FALSE,"431"}</definedName>
    <definedName name="dfd" hidden="1">{#N/A,#N/A,FALSE,"단축1";#N/A,#N/A,FALSE,"단축2";#N/A,#N/A,FALSE,"단축3";#N/A,#N/A,FALSE,"장축";#N/A,#N/A,FALSE,"4WD"}</definedName>
    <definedName name="DFDD" hidden="1">{#N/A,#N/A,FALSE,"REPORT"}</definedName>
    <definedName name="dfdfsfdsdffdfdfdsdfsdfsdf" hidden="1">{#N/A,#N/A,FALSE,"Cover";#N/A,#N/A,FALSE,"Assumptions";#N/A,#N/A,FALSE,"Volumes";#N/A,#N/A,FALSE,"Pricing";#N/A,#N/A,FALSE,"TFLE Walk";#N/A,#N/A,FALSE,"Variable Cost";#N/A,#N/A,FALSE,"Sensitivity";#N/A,#N/A,FALSE,"Investment";#N/A,#N/A,FALSE,"Profitability"}</definedName>
    <definedName name="DFF" hidden="1">{#N/A,#N/A,FALSE,"단축1";#N/A,#N/A,FALSE,"단축2";#N/A,#N/A,FALSE,"단축3";#N/A,#N/A,FALSE,"장축";#N/A,#N/A,FALSE,"4WD"}</definedName>
    <definedName name="DFFF" hidden="1">{#N/A,#N/A,FALSE,"KMC최종회의(7월) 자료"}</definedName>
    <definedName name="dfg" hidden="1">{#N/A,#N/A,FALSE,"Assumptions";#N/A,#N/A,FALSE,"Volumes";#N/A,#N/A,FALSE,"Pricing";#N/A,#N/A,FALSE,"Variable Cost";#N/A,#N/A,FALSE,"Investment";#N/A,#N/A,FALSE,"Profitability";#N/A,#N/A,FALSE,"Business Comparison"}</definedName>
    <definedName name="dfgbbn" hidden="1">{#N/A,#N/A,TRUE,"Y생산";#N/A,#N/A,TRUE,"Y판매";#N/A,#N/A,TRUE,"Y총물량";#N/A,#N/A,TRUE,"Y능력";#N/A,#N/A,TRUE,"YKD"}</definedName>
    <definedName name="dfgds" hidden="1">{#N/A,#N/A,FALSE,"단축1";#N/A,#N/A,FALSE,"단축2";#N/A,#N/A,FALSE,"단축3";#N/A,#N/A,FALSE,"장축";#N/A,#N/A,FALSE,"4WD"}</definedName>
    <definedName name="ｄｆｇｈ" hidden="1">{#N/A,#N/A,FALSE,"Cover";#N/A,#N/A,FALSE,"Profits";#N/A,#N/A,FALSE,"ABS";#N/A,#N/A,FALSE,"TFLE Detail";#N/A,#N/A,FALSE,"TFLE Walk";#N/A,#N/A,FALSE,"Variable Cost";#N/A,#N/A,FALSE,"V.C. Walk"}</definedName>
    <definedName name="DFG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HG" hidden="1">{#N/A,#N/A,FALSE,"단축1";#N/A,#N/A,FALSE,"단축2";#N/A,#N/A,FALSE,"단축3";#N/A,#N/A,FALSE,"장축";#N/A,#N/A,FALSE,"4WD"}</definedName>
    <definedName name="DFHJ" hidden="1">{#N/A,#N/A,FALSE,"단축1";#N/A,#N/A,FALSE,"단축2";#N/A,#N/A,FALSE,"단축3";#N/A,#N/A,FALSE,"장축";#N/A,#N/A,FALSE,"4WD"}</definedName>
    <definedName name="DFHVBC" hidden="1">{#N/A,#N/A,FALSE,"단축1";#N/A,#N/A,FALSE,"단축2";#N/A,#N/A,FALSE,"단축3";#N/A,#N/A,FALSE,"장축";#N/A,#N/A,FALSE,"4WD"}</definedName>
    <definedName name="DFJHD" hidden="1">{#N/A,#N/A,FALSE,"단축1";#N/A,#N/A,FALSE,"단축2";#N/A,#N/A,FALSE,"단축3";#N/A,#N/A,FALSE,"장축";#N/A,#N/A,FALSE,"4WD"}</definedName>
    <definedName name="dfr" hidden="1">{#N/A,#N/A,FALSE,"Pharm";#N/A,#N/A,FALSE,"WWCM"}</definedName>
    <definedName name="dfs" hidden="1">{"EXPORT",#N/A,FALSE,"A8CONTENT"}</definedName>
    <definedName name="dgadgsf" hidden="1">{"Presentation",#N/A,FALSE,"Feb96 - ALL"}</definedName>
    <definedName name="dgadgsf_1" hidden="1">{"Presentation",#N/A,FALSE,"Feb96 - ALL"}</definedName>
    <definedName name="dgadgsf_2" hidden="1">{"Presentation",#N/A,FALSE,"Feb96 - ALL"}</definedName>
    <definedName name="dgadgsf_2_1" hidden="1">{"Presentation",#N/A,FALSE,"Feb96 - ALL"}</definedName>
    <definedName name="dgadgsf_3" hidden="1">{"Presentation",#N/A,FALSE,"Feb96 - ALL"}</definedName>
    <definedName name="dgadgsf_3_1" hidden="1">{"Presentation",#N/A,FALSE,"Feb96 - ALL"}</definedName>
    <definedName name="dgadgsf_4" hidden="1">{"Presentation",#N/A,FALSE,"Feb96 - ALL"}</definedName>
    <definedName name="dgbdsfgrsd" hidden="1">{"profit statement",#N/A,FALSE,"P&amp;L STATEMENT"}</definedName>
    <definedName name="DGF" hidden="1">{#N/A,#N/A,FALSE,"단축1";#N/A,#N/A,FALSE,"단축2";#N/A,#N/A,FALSE,"단축3";#N/A,#N/A,FALSE,"장축";#N/A,#N/A,FALSE,"4WD"}</definedName>
    <definedName name="dgfrhg" hidden="1">{#N/A,#N/A,TRUE,"Y생산";#N/A,#N/A,TRUE,"Y판매";#N/A,#N/A,TRUE,"Y총물량";#N/A,#N/A,TRUE,"Y능력";#N/A,#N/A,TRUE,"YKD"}</definedName>
    <definedName name="DGH" hidden="1">{#N/A,#N/A,FALSE,"단축1";#N/A,#N/A,FALSE,"단축2";#N/A,#N/A,FALSE,"단축3";#N/A,#N/A,FALSE,"장축";#N/A,#N/A,FALSE,"4WD"}</definedName>
    <definedName name="DGJSRGH" hidden="1">{#N/A,#N/A,FALSE,"단축1";#N/A,#N/A,FALSE,"단축2";#N/A,#N/A,FALSE,"단축3";#N/A,#N/A,FALSE,"장축";#N/A,#N/A,FALSE,"4WD"}</definedName>
    <definedName name="DH" hidden="1">{#N/A,#N/A,FALSE,"단축1";#N/A,#N/A,FALSE,"단축2";#N/A,#N/A,FALSE,"단축3";#N/A,#N/A,FALSE,"장축";#N/A,#N/A,FALSE,"4WD"}</definedName>
    <definedName name="ｄｈ" hidden="1">{#N/A,#N/A,FALSE,"Cover";#N/A,#N/A,FALSE,"Assumptions";#N/A,#N/A,FALSE,"Volumes";#N/A,#N/A,FALSE,"Pricing";#N/A,#N/A,FALSE,"TFLE Walk";#N/A,#N/A,FALSE,"Variable Cost";#N/A,#N/A,FALSE,"Sensitivity";#N/A,#N/A,FALSE,"Investment";#N/A,#N/A,FALSE,"Profitability"}</definedName>
    <definedName name="dhdh" hidden="1">{"'표지'!$B$5"}</definedName>
    <definedName name="dhkdkd" hidden="1">{#N/A,#N/A,FALSE,"단축1";#N/A,#N/A,FALSE,"단축2";#N/A,#N/A,FALSE,"단축3";#N/A,#N/A,FALSE,"장축";#N/A,#N/A,FALSE,"4WD"}</definedName>
    <definedName name="DID" hidden="1">{#N/A,#N/A,FALSE,"단축1";#N/A,#N/A,FALSE,"단축2";#N/A,#N/A,FALSE,"단축3";#N/A,#N/A,FALSE,"장축";#N/A,#N/A,FALSE,"4WD"}</definedName>
    <definedName name="DIE" hidden="1">{#N/A,#N/A,FALSE,"단축1";#N/A,#N/A,FALSE,"단축2";#N/A,#N/A,FALSE,"단축3";#N/A,#N/A,FALSE,"장축";#N/A,#N/A,FALSE,"4WD"}</definedName>
    <definedName name="DieCosts." hidden="1">{"EXPORT",#N/A,FALSE,"A8CONTENT"}</definedName>
    <definedName name="DIESEL" hidden="1">{#N/A,#N/A,FALSE,"단축1";#N/A,#N/A,FALSE,"단축2";#N/A,#N/A,FALSE,"단축3";#N/A,#N/A,FALSE,"장축";#N/A,#N/A,FALSE,"4WD"}</definedName>
    <definedName name="DIESELLL" hidden="1">{#N/A,#N/A,FALSE,"단축1";#N/A,#N/A,FALSE,"단축2";#N/A,#N/A,FALSE,"단축3";#N/A,#N/A,FALSE,"장축";#N/A,#N/A,FALSE,"4WD"}</definedName>
    <definedName name="Discount" hidden="1">#REF!</definedName>
    <definedName name="display_area_2" hidden="1">#REF!</definedName>
    <definedName name="DJ" hidden="1">#REF!</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ksljd" hidden="1">{#N/A,#N/A,FALSE,"Other";#N/A,#N/A,FALSE,"Ace";#N/A,#N/A,FALSE,"Derm"}</definedName>
    <definedName name="DJNFD" hidden="1">{#N/A,#N/A,FALSE,"단축1";#N/A,#N/A,FALSE,"단축2";#N/A,#N/A,FALSE,"단축3";#N/A,#N/A,FALSE,"장축";#N/A,#N/A,FALSE,"4WD"}</definedName>
    <definedName name="djuj" hidden="1">{"Presentation",#N/A,FALSE,"Feb96 - ALL"}</definedName>
    <definedName name="DKD" hidden="1">{#N/A,#N/A,FALSE,"KMC최종회의(7월) 자료"}</definedName>
    <definedName name="dkdk" hidden="1">{#N/A,#N/A,FALSE,"단축1";#N/A,#N/A,FALSE,"단축2";#N/A,#N/A,FALSE,"단축3";#N/A,#N/A,FALSE,"장축";#N/A,#N/A,FALSE,"4WD"}</definedName>
    <definedName name="dkemf" hidden="1">{"'7'!$B$15:$D$32"}</definedName>
    <definedName name="dkf" hidden="1">{#N/A,#N/A,FALSE,"단축1";#N/A,#N/A,FALSE,"단축2";#N/A,#N/A,FALSE,"단축3";#N/A,#N/A,FALSE,"장축";#N/A,#N/A,FALSE,"4WD"}</definedName>
    <definedName name="dkgahirghigf" hidden="1">{#N/A,#N/A,FALSE,"Pharm";#N/A,#N/A,FALSE,"WWCM"}</definedName>
    <definedName name="DLAKL" hidden="1">{#N/A,#N/A,TRUE,"Y생산";#N/A,#N/A,TRUE,"Y판매";#N/A,#N/A,TRUE,"Y총물량";#N/A,#N/A,TRUE,"Y능력";#N/A,#N/A,TRUE,"YKD"}</definedName>
    <definedName name="DLATL" hidden="1">{#N/A,#N/A,FALSE,"단축1";#N/A,#N/A,FALSE,"단축2";#N/A,#N/A,FALSE,"단축3";#N/A,#N/A,FALSE,"장축";#N/A,#N/A,FALSE,"4WD"}</definedName>
    <definedName name="DLDIM" hidden="1">{#N/A,#N/A,FALSE,"정공"}</definedName>
    <definedName name="DLDL" hidden="1">{#N/A,#N/A,FALSE,"단축1";#N/A,#N/A,FALSE,"단축2";#N/A,#N/A,FALSE,"단축3";#N/A,#N/A,FALSE,"장축";#N/A,#N/A,FALSE,"4WD"}</definedName>
    <definedName name="DLDLDLDLL" hidden="1">{#N/A,#N/A,FALSE,"정공"}</definedName>
    <definedName name="dldlkdkldkldklklsdklsdksdkldsklklkldsdklsdkldsklklssdklsdklsdklsdklklsdkldssdklsdkldsklsdklsdklsdklsdklsdkldskklsdklsdklsdkldksdlsdklsdksdklsdkldklsdsklsdldklsdsklsdklsdkldklssdkl" hidden="1">{#N/A,#N/A,FALSE,"KMC최종회의(7월) 자료"}</definedName>
    <definedName name="DLEHD" hidden="1">{#N/A,#N/A,FALSE,"정공"}</definedName>
    <definedName name="DLRHD" hidden="1">{#N/A,#N/A,FALSE,"KMC최종회의(7월) 자료"}</definedName>
    <definedName name="DLS" hidden="1">{#N/A,#N/A,TRUE,"Y생산";#N/A,#N/A,TRUE,"Y판매";#N/A,#N/A,TRUE,"Y총물량";#N/A,#N/A,TRUE,"Y능력";#N/A,#N/A,TRUE,"YKD"}</definedName>
    <definedName name="DLSKJF" hidden="1">{#N/A,#N/A,FALSE,"단축1";#N/A,#N/A,FALSE,"단축2";#N/A,#N/A,FALSE,"단축3";#N/A,#N/A,FALSE,"장축";#N/A,#N/A,FALSE,"4WD"}</definedName>
    <definedName name="dn" hidden="1">{"'5'!$A$1:$BB$147"}</definedName>
    <definedName name="DNFL" hidden="1">{#N/A,#N/A,FALSE,"정공"}</definedName>
    <definedName name="dntdn" hidden="1">{#N/A,#N/A,FALSE,"afa linear";#N/A,#N/A,FALSE,"mit 10% zuschuss";#N/A,#N/A,FALSE,"mit 25% zuschuss"}</definedName>
    <definedName name="doof" hidden="1">{"Presentation",#N/A,FALSE,"Feb96 - ALL"}</definedName>
    <definedName name="dortec" hidden="1">{"LES",#N/A,FALSE,"PRINT";"TFI",#N/A,FALSE,"PRINT"}</definedName>
    <definedName name="dq" hidden="1">{#N/A,#N/A,FALSE,"미판매분"}</definedName>
    <definedName name="dqtr" hidden="1">#REF!</definedName>
    <definedName name="DRFDGH" hidden="1">{#N/A,#N/A,FALSE,"단축1";#N/A,#N/A,FALSE,"단축2";#N/A,#N/A,FALSE,"단축3";#N/A,#N/A,FALSE,"장축";#N/A,#N/A,FALSE,"4WD"}</definedName>
    <definedName name="DRIVEABILITY" hidden="1">{#N/A,#N/A,FALSE,"단축1";#N/A,#N/A,FALSE,"단축2";#N/A,#N/A,FALSE,"단축3";#N/A,#N/A,FALSE,"장축";#N/A,#N/A,FALSE,"4WD"}</definedName>
    <definedName name="dsa" hidden="1">{#N/A,#N/A,FALSE,"KMC최종회의(7월) 자료"}</definedName>
    <definedName name="dsafaf" hidden="1">#REF!</definedName>
    <definedName name="DSALDAFJALS" hidden="1">{#N/A,#N/A,FALSE,"해외크레임";#N/A,#N/A,FALSE,"ACCENT현황";#N/A,#N/A,FALSE,"AVANTE";#N/A,#N/A,FALSE,"SONATA(3)";#N/A,#N/A,FALSE,"국내크레임"}</definedName>
    <definedName name="dsasf" hidden="1">{#N/A,#N/A,FALSE,"KMC최종회의(7월) 자료"}</definedName>
    <definedName name="dsewq" hidden="1">{#N/A,#N/A,FALSE,"KMC최종회의(7월) 자료"}</definedName>
    <definedName name="DSF" hidden="1">{#N/A,#N/A,FALSE,"단축1";#N/A,#N/A,FALSE,"단축2";#N/A,#N/A,FALSE,"단축3";#N/A,#N/A,FALSE,"장축";#N/A,#N/A,FALSE,"4WD"}</definedName>
    <definedName name="dsfasf" hidden="1">{#N/A,#N/A,FALSE,"Cover";#N/A,#N/A,FALSE,"Profits";#N/A,#N/A,FALSE,"ABS";#N/A,#N/A,FALSE,"TFLE Detail";#N/A,#N/A,FALSE,"TFLE Walk";#N/A,#N/A,FALSE,"Variable Cost";#N/A,#N/A,FALSE,"V.C. Walk"}</definedName>
    <definedName name="ｄｓｆｇ" hidden="1">{#N/A,#N/A,FALSE,"Cover Sheet";#N/A,#N/A,FALSE,"Ave_Trans_Shp_Abs";#N/A,#N/A,FALSE,"Det_Shp_Abs";#N/A,#N/A,FALSE,"Ave_Trans_Inst_Abs";#N/A,#N/A,FALSE,"Det_Ins_Abs";#N/A,#N/A,FALSE,"Ave_Trans_Tot_ABS";#N/A,#N/A,FALSE,"Det_Total_ABS"}</definedName>
    <definedName name="ｄｓｆｇｓ" hidden="1">{#N/A,#N/A,FALSE,"Profit Status";#N/A,#N/A,FALSE,"Invest";#N/A,#N/A,FALSE,"Revenue";#N/A,#N/A,FALSE,"Variable Cost";#N/A,#N/A,FALSE,"Options &amp; Series"}</definedName>
    <definedName name="DSFHDFL" hidden="1">#REF!</definedName>
    <definedName name="dsfsffss" hidden="1">{#N/A,#N/A,FALSE,"Pharm";#N/A,#N/A,FALSE,"WWCM"}</definedName>
    <definedName name="dsfwe" hidden="1">{#N/A,#N/A,TRUE,"Y생산";#N/A,#N/A,TRUE,"Y판매";#N/A,#N/A,TRUE,"Y총물량";#N/A,#N/A,TRUE,"Y능력";#N/A,#N/A,TRUE,"YKD"}</definedName>
    <definedName name="dsg" hidden="1">{#N/A,#N/A,FALSE,"Cover Sheet";#N/A,#N/A,FALSE,"Ave_Trans_Shp_Abs";#N/A,#N/A,FALSE,"Det_Shp_Abs";#N/A,#N/A,FALSE,"Ave_Trans_Inst_Abs";#N/A,#N/A,FALSE,"Det_Ins_Abs";#N/A,#N/A,FALSE,"Ave_Trans_Tot_ABS";#N/A,#N/A,FALSE,"Det_Total_ABS"}</definedName>
    <definedName name="DSL" hidden="1">{#N/A,#N/A,FALSE,"단축1";#N/A,#N/A,FALSE,"단축2";#N/A,#N/A,FALSE,"단축3";#N/A,#N/A,FALSE,"장축";#N/A,#N/A,FALSE,"4WD"}</definedName>
    <definedName name="dtrz" hidden="1">#REF!</definedName>
    <definedName name="dummy2" hidden="1">{"REVISED",#N/A,FALSE,"Sheet1"}</definedName>
    <definedName name="dummy3" hidden="1">{"REVISED",#N/A,FALSE,"Sheet1"}</definedName>
    <definedName name="dvava" hidden="1">{"Presentation",#N/A,FALSE,"Feb96 - ALL"}</definedName>
    <definedName name="DVD" hidden="1">{#N/A,#N/A,FALSE,"단축1";#N/A,#N/A,FALSE,"단축2";#N/A,#N/A,FALSE,"단축3";#N/A,#N/A,FALSE,"장축";#N/A,#N/A,FALSE,"4WD"}</definedName>
    <definedName name="dw_1" hidden="1">{"'MNT'!$AE$4:$AN$34"}</definedName>
    <definedName name="dw_1_1" hidden="1">{"'MNT'!$AE$4:$AN$34"}</definedName>
    <definedName name="dw_2" hidden="1">{"'MNT'!$AE$4:$AN$34"}</definedName>
    <definedName name="dw_2_1" hidden="1">{"'MNT'!$AE$4:$AN$34"}</definedName>
    <definedName name="dw_3" hidden="1">{"'MNT'!$AE$4:$AN$34"}</definedName>
    <definedName name="dw_3_1" hidden="1">{"'MNT'!$AE$4:$AN$34"}</definedName>
    <definedName name="dw_4" hidden="1">{"'MNT'!$AE$4:$AN$34"}</definedName>
    <definedName name="dw_4_1" hidden="1">{"'MNT'!$AE$4:$AN$34"}</definedName>
    <definedName name="dw_5" hidden="1">{"'MNT'!$AE$4:$AN$34"}</definedName>
    <definedName name="dw_5_1" hidden="1">{"'MNT'!$AE$4:$AN$34"}</definedName>
    <definedName name="dyvcsdc" hidden="1">{#N/A,#N/A,TRUE,"Erfassungsbogen";#N/A,#N/A,TRUE,"Auswertung PA";#N/A,#N/A,TRUE,"Auswertung BB";#N/A,#N/A,TRUE,"Auswertung BE";#N/A,#N/A,TRUE,"Auswertung DSR";#N/A,#N/A,TRUE,"Auswertung KS";#N/A,#N/A,TRUE,"Auswertung CS";#N/A,#N/A,TRUE,"Auswertung Gesamt";#N/A,#N/A,TRUE,"Proz.v. Ges.ums-aufw-ertrag";#N/A,#N/A,TRUE,"Leistungen pro Mitarbeiter"}</definedName>
    <definedName name="e" hidden="1">{"Fiesta Facer Page",#N/A,FALSE,"Q_C_S";"Fiesta Main Page",#N/A,FALSE,"V_L";"Fiesta 95BP Struct",#N/A,FALSE,"StructBP";"Fiesta Post 95BP Struct",#N/A,FALSE,"AdjStructBP"}</definedName>
    <definedName name="e_1" hidden="1">{"Fiesta Facer Page",#N/A,FALSE,"Q_C_S";"Fiesta Main Page",#N/A,FALSE,"V_L";"Fiesta 95BP Struct",#N/A,FALSE,"StructBP";"Fiesta Post 95BP Struct",#N/A,FALSE,"AdjStructBP"}</definedName>
    <definedName name="e_2" hidden="1">{"Fiesta Facer Page",#N/A,FALSE,"Q_C_S";"Fiesta Main Page",#N/A,FALSE,"V_L";"Fiesta 95BP Struct",#N/A,FALSE,"StructBP";"Fiesta Post 95BP Struct",#N/A,FALSE,"AdjStructBP"}</definedName>
    <definedName name="e_2_1" hidden="1">{"Fiesta Facer Page",#N/A,FALSE,"Q_C_S";"Fiesta Main Page",#N/A,FALSE,"V_L";"Fiesta 95BP Struct",#N/A,FALSE,"StructBP";"Fiesta Post 95BP Struct",#N/A,FALSE,"AdjStructBP"}</definedName>
    <definedName name="e_3" hidden="1">{"Fiesta Facer Page",#N/A,FALSE,"Q_C_S";"Fiesta Main Page",#N/A,FALSE,"V_L";"Fiesta 95BP Struct",#N/A,FALSE,"StructBP";"Fiesta Post 95BP Struct",#N/A,FALSE,"AdjStructBP"}</definedName>
    <definedName name="e_3_1" hidden="1">{"Fiesta Facer Page",#N/A,FALSE,"Q_C_S";"Fiesta Main Page",#N/A,FALSE,"V_L";"Fiesta 95BP Struct",#N/A,FALSE,"StructBP";"Fiesta Post 95BP Struct",#N/A,FALSE,"AdjStructBP"}</definedName>
    <definedName name="e_4" hidden="1">{"Fiesta Facer Page",#N/A,FALSE,"Q_C_S";"Fiesta Main Page",#N/A,FALSE,"V_L";"Fiesta 95BP Struct",#N/A,FALSE,"StructBP";"Fiesta Post 95BP Struct",#N/A,FALSE,"AdjStructBP"}</definedName>
    <definedName name="EADAF" hidden="1">{#N/A,#N/A,FALSE,"단축1";#N/A,#N/A,FALSE,"단축2";#N/A,#N/A,FALSE,"단축3";#N/A,#N/A,FALSE,"장축";#N/A,#N/A,FALSE,"4WD"}</definedName>
    <definedName name="EAWR" hidden="1">{#N/A,#N/A,FALSE,"단축1";#N/A,#N/A,FALSE,"단축2";#N/A,#N/A,FALSE,"단축3";#N/A,#N/A,FALSE,"장축";#N/A,#N/A,FALSE,"4WD"}</definedName>
    <definedName name="edfg" hidden="1">{#N/A,#N/A,FALSE,"431"}</definedName>
    <definedName name="ee" hidden="1">{#N/A,#N/A,FALSE,"Sheet3"}</definedName>
    <definedName name="ee_1" hidden="1">{#N/A,#N/A,FALSE,"DAOCM 2차 검토"}</definedName>
    <definedName name="ee_1_1" hidden="1">{#N/A,#N/A,FALSE,"DAOCM 2차 검토"}</definedName>
    <definedName name="ee_2" hidden="1">{#N/A,#N/A,FALSE,"DAOCM 2차 검토"}</definedName>
    <definedName name="ee_2_1" hidden="1">{#N/A,#N/A,FALSE,"DAOCM 2차 검토"}</definedName>
    <definedName name="ee_3" hidden="1">{#N/A,#N/A,FALSE,"DAOCM 2차 검토"}</definedName>
    <definedName name="ee_3_1" hidden="1">{#N/A,#N/A,FALSE,"DAOCM 2차 검토"}</definedName>
    <definedName name="ee_4" hidden="1">{#N/A,#N/A,FALSE,"DAOCM 2차 검토"}</definedName>
    <definedName name="ee_4_1" hidden="1">{#N/A,#N/A,FALSE,"DAOCM 2차 검토"}</definedName>
    <definedName name="ee_5" hidden="1">{#N/A,#N/A,FALSE,"DAOCM 2차 검토"}</definedName>
    <definedName name="ee_5_1" hidden="1">{#N/A,#N/A,FALSE,"DAOCM 2차 검토"}</definedName>
    <definedName name="eee" hidden="1">#REF!</definedName>
    <definedName name="EEEEE" hidden="1">{#N/A,#N/A,TRUE,"Y생산";#N/A,#N/A,TRUE,"Y판매";#N/A,#N/A,TRUE,"Y총물량";#N/A,#N/A,TRUE,"Y능력";#N/A,#N/A,TRUE,"YKD"}</definedName>
    <definedName name="eeeeee" hidden="1">{#N/A,#N/A,FALSE,"Cover Sheet";#N/A,#N/A,FALSE,"Ave_Trans_Shp_Abs";#N/A,#N/A,FALSE,"Det_Shp_Abs";#N/A,#N/A,FALSE,"Ave_Trans_Inst_Abs";#N/A,#N/A,FALSE,"Det_Ins_Abs";#N/A,#N/A,FALSE,"Ave_Trans_Tot_ABS";#N/A,#N/A,FALSE,"Det_Total_ABS"}</definedName>
    <definedName name="eeeeeeeee" hidden="1">#REF!</definedName>
    <definedName name="efaef" hidden="1">{#N/A,#N/A,TRUE,"Y생산";#N/A,#N/A,TRUE,"Y판매";#N/A,#N/A,TRUE,"Y총물량";#N/A,#N/A,TRUE,"Y능력";#N/A,#N/A,TRUE,"YKD"}</definedName>
    <definedName name="efefesaf" hidden="1">{"sga expense",#N/A,FALSE,"S,G&amp;A EXP"}</definedName>
    <definedName name="EFFOG" hidden="1">{#N/A,#N/A,FALSE,"단축1";#N/A,#N/A,FALSE,"단축2";#N/A,#N/A,FALSE,"단축3";#N/A,#N/A,FALSE,"장축";#N/A,#N/A,FALSE,"4WD"}</definedName>
    <definedName name="EFG" hidden="1">{#N/A,#N/A,TRUE,"Y생산";#N/A,#N/A,TRUE,"Y판매";#N/A,#N/A,TRUE,"Y총물량";#N/A,#N/A,TRUE,"Y능력";#N/A,#N/A,TRUE,"YKD"}</definedName>
    <definedName name="efgfv" hidden="1">{"Fiesta Facer Page",#N/A,FALSE,"Q_C_S";"Fiesta Main Page",#N/A,FALSE,"V_L";"Fiesta 95BP Struct",#N/A,FALSE,"StructBP";"Fiesta Post 95BP Struct",#N/A,FALSE,"AdjStructBP"}</definedName>
    <definedName name="efsxc" hidden="1">{"Presentation",#N/A,FALSE,"Feb96 - ALL"}</definedName>
    <definedName name="EF제동" hidden="1">{#N/A,#N/A,FALSE,"단축1";#N/A,#N/A,FALSE,"단축2";#N/A,#N/A,FALSE,"단축3";#N/A,#N/A,FALSE,"장축";#N/A,#N/A,FALSE,"4WD"}</definedName>
    <definedName name="egtth" hidden="1">{#N/A,#N/A,FALSE,"96 3월물량표";#N/A,#N/A,FALSE,"96 4월물량표";#N/A,#N/A,FALSE,"96 5월물량표"}</definedName>
    <definedName name="EHD" hidden="1">{#N/A,#N/A,FALSE,"을지 (4)";#N/A,#N/A,FALSE,"을지 (5)";#N/A,#N/A,FALSE,"을지 (6)"}</definedName>
    <definedName name="ei" hidden="1">{#N/A,#N/A,TRUE,"RIDE";#N/A,#N/A,TRUE,"STEERING";#N/A,#N/A,TRUE,"HANDLING";#N/A,#N/A,TRUE,"BRAKING"}</definedName>
    <definedName name="ejkfgkjze" hidden="1">{#N/A,#N/A,FALSE,"Pharm";#N/A,#N/A,FALSE,"WWCM"}</definedName>
    <definedName name="ejwije" hidden="1">{"Fiesta Facer Page",#N/A,FALSE,"Q_C_S";"Fiesta Main Page",#N/A,FALSE,"V_L";"Fiesta 95BP Struct",#N/A,FALSE,"StructBP";"Fiesta Post 95BP Struct",#N/A,FALSE,"AdjStructBP"}</definedName>
    <definedName name="ejwije_1" hidden="1">{"Fiesta Facer Page",#N/A,FALSE,"Q_C_S";"Fiesta Main Page",#N/A,FALSE,"V_L";"Fiesta 95BP Struct",#N/A,FALSE,"StructBP";"Fiesta Post 95BP Struct",#N/A,FALSE,"AdjStructBP"}</definedName>
    <definedName name="ek" hidden="1">{#N/A,#N/A,FALSE,"KMC최종회의(7월) 자료"}</definedName>
    <definedName name="EKDKD.LJFL" hidden="1">{#N/A,#N/A,FALSE,"Australien";#N/A,#N/A,FALSE,"Birmingham";#N/A,#N/A,FALSE,"Brasilien";#N/A,#N/A,FALSE,"Prag";#N/A,#N/A,FALSE,"Spanien";#N/A,#N/A,FALSE,"Malaysia ( Com)";#N/A,#N/A,FALSE,"Malaysia (Instr)"}</definedName>
    <definedName name="Eliminaciones" hidden="1">{#N/A,#N/A,FALSE,"Sheet3"}</definedName>
    <definedName name="EngDept" hidden="1">{"works expense",#N/A,FALSE,"WORKS EXPENSE"}</definedName>
    <definedName name="engtm" hidden="1">{#N/A,#N/A,FALSE,"단축1";#N/A,#N/A,FALSE,"단축2";#N/A,#N/A,FALSE,"단축3";#N/A,#N/A,FALSE,"장축";#N/A,#N/A,FALSE,"4WD"}</definedName>
    <definedName name="ENT">"Entity#"</definedName>
    <definedName name="EOGH" hidden="1">{#N/A,#N/A,FALSE,"단축1";#N/A,#N/A,FALSE,"단축2";#N/A,#N/A,FALSE,"단축3";#N/A,#N/A,FALSE,"장축";#N/A,#N/A,FALSE,"4WD"}</definedName>
    <definedName name="EOS" hidden="1">{#N/A,#N/A,FALSE,"431"}</definedName>
    <definedName name="EO계획" hidden="1">#REF!</definedName>
    <definedName name="EO정리" hidden="1">{#N/A,#N/A,FALSE,"단축1";#N/A,#N/A,FALSE,"단축2";#N/A,#N/A,FALSE,"단축3";#N/A,#N/A,FALSE,"장축";#N/A,#N/A,FALSE,"4WD"}</definedName>
    <definedName name="EQWGTWEG" hidden="1">{#N/A,#N/A,TRUE,"Y생산";#N/A,#N/A,TRUE,"Y판매";#N/A,#N/A,TRUE,"Y총물량";#N/A,#N/A,TRUE,"Y능력";#N/A,#N/A,TRUE,"YKD"}</definedName>
    <definedName name="er" hidden="1">{#N/A,#N/A,FALSE,"Cover";#N/A,#N/A,FALSE,"Profits";#N/A,#N/A,FALSE,"ABS";#N/A,#N/A,FALSE,"TFLE Detail";#N/A,#N/A,FALSE,"TFLE Walk";#N/A,#N/A,FALSE,"Variable Cost";#N/A,#N/A,FALSE,"V.C. Walk"}</definedName>
    <definedName name="ERAWYGDFBG" hidden="1">{#N/A,#N/A,TRUE,"Y생산";#N/A,#N/A,TRUE,"Y판매";#N/A,#N/A,TRUE,"Y총물량";#N/A,#N/A,TRUE,"Y능력";#N/A,#N/A,TRUE,"YKD"}</definedName>
    <definedName name="erd" hidden="1">{#N/A,#N/A,FALSE,"Pharm";#N/A,#N/A,FALSE,"WWCM"}</definedName>
    <definedName name="ergdag" hidden="1">{#N/A,#N/A,FALSE,"96 3월물량표";#N/A,#N/A,FALSE,"96 4월물량표";#N/A,#N/A,FALSE,"96 5월물량표"}</definedName>
    <definedName name="ergsdfg" hidden="1">{#N/A,#N/A,TRUE,"Y생산";#N/A,#N/A,TRUE,"Y판매";#N/A,#N/A,TRUE,"Y총물량";#N/A,#N/A,TRUE,"Y능력";#N/A,#N/A,TRUE,"YKD"}</definedName>
    <definedName name="erh" hidden="1">{#N/A,#N/A,FALSE,"96 3월물량표";#N/A,#N/A,FALSE,"96 4월물량표";#N/A,#N/A,FALSE,"96 5월물량표"}</definedName>
    <definedName name="ERHGFBN" hidden="1">{#N/A,#N/A,TRUE,"Y생산";#N/A,#N/A,TRUE,"Y판매";#N/A,#N/A,TRUE,"Y총물량";#N/A,#N/A,TRUE,"Y능력";#N/A,#N/A,TRUE,"YKD"}</definedName>
    <definedName name="erhgfh" hidden="1">{#N/A,#N/A,TRUE,"Y생산";#N/A,#N/A,TRUE,"Y판매";#N/A,#N/A,TRUE,"Y총물량";#N/A,#N/A,TRUE,"Y능력";#N/A,#N/A,TRUE,"YKD"}</definedName>
    <definedName name="ERHGN" hidden="1">{#N/A,#N/A,FALSE,"96 3월물량표";#N/A,#N/A,FALSE,"96 4월물량표";#N/A,#N/A,FALSE,"96 5월물량표"}</definedName>
    <definedName name="ERHTH" hidden="1">{#N/A,#N/A,TRUE,"Y생산";#N/A,#N/A,TRUE,"Y판매";#N/A,#N/A,TRUE,"Y총물량";#N/A,#N/A,TRUE,"Y능력";#N/A,#N/A,TRUE,"YKD"}</definedName>
    <definedName name="erhyhtj" hidden="1">{#N/A,#N/A,TRUE,"Y생산";#N/A,#N/A,TRUE,"Y판매";#N/A,#N/A,TRUE,"Y총물량";#N/A,#N/A,TRUE,"Y능력";#N/A,#N/A,TRUE,"YKD"}</definedName>
    <definedName name="err" hidden="1">{#N/A,#N/A,FALSE,"단축1";#N/A,#N/A,FALSE,"단축2";#N/A,#N/A,FALSE,"단축3";#N/A,#N/A,FALSE,"장축";#N/A,#N/A,FALSE,"4WD"}</definedName>
    <definedName name="error14" hidden="1">{"GEA",#N/A,FALSE,"11";"BGGEA",#N/A,FALSE,"BAL-96";"ERGEA",#N/A,FALSE,"RES-96";"UNGEA",#N/A,FALSE,"UT-NETA";"ANOPPROM",#N/A,FALSE,"ANOP";"UORDITRIM",#N/A,FALSE,"ORIdI";"CTOCAP",#N/A,FALSE,"CTO-CAPITAL";"GEA",#N/A,FALSE,"GEA";"AF",#N/A,FALSE,"AFIJO-REEM"}</definedName>
    <definedName name="error9" hidden="1">{"GEA",#N/A,FALSE,"11";"BGGEA",#N/A,FALSE,"BAL-96";"ERGEA",#N/A,FALSE,"RES-96";"UNGEA",#N/A,FALSE,"UT-NETA";"ANOPPROM",#N/A,FALSE,"ANOP";"UORDITRIM",#N/A,FALSE,"ORIdI";"CTOCAP",#N/A,FALSE,"CTO-CAPITAL";"GEA",#N/A,FALSE,"GEA";"AF",#N/A,FALSE,"AFIJO-REEM"}</definedName>
    <definedName name="erryeyetyuu" hidden="1">{#N/A,#N/A,FALSE,"Pharm";#N/A,#N/A,FALSE,"WWCM"}</definedName>
    <definedName name="ers" hidden="1">{#N/A,#N/A,FALSE,"96 3월물량표";#N/A,#N/A,FALSE,"96 4월물량표";#N/A,#N/A,FALSE,"96 5월물량표"}</definedName>
    <definedName name="ert" hidden="1">{#N/A,#N/A,FALSE,"431"}</definedName>
    <definedName name="ery" hidden="1">{#N/A,#N/A,TRUE,"Y생산";#N/A,#N/A,TRUE,"Y판매";#N/A,#N/A,TRUE,"Y총물량";#N/A,#N/A,TRUE,"Y능력";#N/A,#N/A,TRUE,"YKD"}</definedName>
    <definedName name="eryh" hidden="1">{#N/A,#N/A,TRUE,"Y생산";#N/A,#N/A,TRUE,"Y판매";#N/A,#N/A,TRUE,"Y총물량";#N/A,#N/A,TRUE,"Y능력";#N/A,#N/A,TRUE,"YKD"}</definedName>
    <definedName name="eryhghnj" hidden="1">{#N/A,#N/A,TRUE,"Y생산";#N/A,#N/A,TRUE,"Y판매";#N/A,#N/A,TRUE,"Y총물량";#N/A,#N/A,TRUE,"Y능력";#N/A,#N/A,TRUE,"YKD"}</definedName>
    <definedName name="ESSAI" hidden="1">{#N/A,#N/A,FALSE,"Pharm";#N/A,#N/A,FALSE,"WWCM"}</definedName>
    <definedName name="est" hidden="1">{"EVA",#N/A,FALSE,"EVA";"WACC",#N/A,FALSE,"WACC"}</definedName>
    <definedName name="etergft" hidden="1">{#N/A,#N/A,FALSE,"italien97+98";#N/A,#N/A,FALSE,"italien 99+2000"}</definedName>
    <definedName name="etrre" hidden="1">{#N/A,#N/A,TRUE,"Summary";#N/A,#N/A,TRUE,"Balance Sheet";#N/A,#N/A,TRUE,"P &amp; L";#N/A,#N/A,TRUE,"Fixed Assets";#N/A,#N/A,TRUE,"Cash Flows"}</definedName>
    <definedName name="ETRYU" hidden="1">{#N/A,#N/A,FALSE,"단축1";#N/A,#N/A,FALSE,"단축2";#N/A,#N/A,FALSE,"단축3";#N/A,#N/A,FALSE,"장축";#N/A,#N/A,FALSE,"4WD"}</definedName>
    <definedName name="ETYUI" hidden="1">{#N/A,#N/A,FALSE,"단축1";#N/A,#N/A,FALSE,"단축2";#N/A,#N/A,FALSE,"단축3";#N/A,#N/A,FALSE,"장축";#N/A,#N/A,FALSE,"4WD"}</definedName>
    <definedName name="Europa" hidden="1">{#N/A,#N/A,FALSE,"Sheet3"}</definedName>
    <definedName name="EV__EXPOPTIONS__" hidden="1">0</definedName>
    <definedName name="EV__LASTREFTIME__" hidden="1">39156.4742476852</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w" hidden="1">{"Fiesta Facer Page",#N/A,FALSE,"Q_C_S";"Fiesta Main Page",#N/A,FALSE,"V_L";"Fiesta 95BP Struct",#N/A,FALSE,"StructBP";"Fiesta Post 95BP Struct",#N/A,FALSE,"AdjStructBP"}</definedName>
    <definedName name="EWA" hidden="1">{#N/A,#N/A,FALSE,"초도품";#N/A,#N/A,FALSE,"초도품 (2)";#N/A,#N/A,FALSE,"초도품 (3)";#N/A,#N/A,FALSE,"초도품 (4)";#N/A,#N/A,FALSE,"초도품 (5)";#N/A,#N/A,FALSE,"초도품 (6)"}</definedName>
    <definedName name="ewer" hidden="1">{#N/A,#N/A,FALSE,"KMC최종회의(7월) 자료"}</definedName>
    <definedName name="ewfvcs" hidden="1">{"Presentation",#N/A,FALSE,"Feb96 - ALL"}</definedName>
    <definedName name="EWGERBGDFB" hidden="1">{#N/A,#N/A,FALSE,"96 3월물량표";#N/A,#N/A,FALSE,"96 4월물량표";#N/A,#N/A,FALSE,"96 5월물량표"}</definedName>
    <definedName name="EWRA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wrc" hidden="1">{"Fiesta Facer Page",#N/A,FALSE,"Q_C_S";"Fiesta Main Page",#N/A,FALSE,"V_L";"Fiesta 95BP Struct",#N/A,FALSE,"StructBP";"Fiesta Post 95BP Struct",#N/A,FALSE,"AdjStructBP"}</definedName>
    <definedName name="EWRFEWRWER" hidden="1">{#N/A,#N/A,FALSE,"431"}</definedName>
    <definedName name="EWRFEWTF" hidden="1">{#N/A,#N/A,FALSE,"431"}</definedName>
    <definedName name="ewwe" hidden="1">{#N/A,#N/A,FALSE,"REPORT"}</definedName>
    <definedName name="EWY" hidden="1">{#N/A,#N/A,FALSE,"단축1";#N/A,#N/A,FALSE,"단축2";#N/A,#N/A,FALSE,"단축3";#N/A,#N/A,FALSE,"장축";#N/A,#N/A,FALSE,"4WD"}</definedName>
    <definedName name="exit" hidden="1">{"Presentation",#N/A,FALSE,"Feb96 - ALL"}</definedName>
    <definedName name="exit_1" hidden="1">{"Presentation",#N/A,FALSE,"Feb96 - ALL"}</definedName>
    <definedName name="exit_2" hidden="1">{"Presentation",#N/A,FALSE,"Feb96 - ALL"}</definedName>
    <definedName name="exit_2_1" hidden="1">{"Presentation",#N/A,FALSE,"Feb96 - ALL"}</definedName>
    <definedName name="exit_3" hidden="1">{"Presentation",#N/A,FALSE,"Feb96 - ALL"}</definedName>
    <definedName name="exit_3_1" hidden="1">{"Presentation",#N/A,FALSE,"Feb96 - ALL"}</definedName>
    <definedName name="exit_4" hidden="1">{"Presentation",#N/A,FALSE,"Feb96 - ALL"}</definedName>
    <definedName name="EYRU" hidden="1">{#N/A,#N/A,FALSE,"단축1";#N/A,#N/A,FALSE,"단축2";#N/A,#N/A,FALSE,"단축3";#N/A,#N/A,FALSE,"장축";#N/A,#N/A,FALSE,"4WD"}</definedName>
    <definedName name="EYTRE" hidden="1">{#N/A,#N/A,FALSE,"단축1";#N/A,#N/A,FALSE,"단축2";#N/A,#N/A,FALSE,"단축3";#N/A,#N/A,FALSE,"장축";#N/A,#N/A,FALSE,"4WD"}</definedName>
    <definedName name="eyuhhgfh" hidden="1">{#N/A,#N/A,TRUE,"Y생산";#N/A,#N/A,TRUE,"Y판매";#N/A,#N/A,TRUE,"Y총물량";#N/A,#N/A,TRUE,"Y능력";#N/A,#N/A,TRUE,"YKD"}</definedName>
    <definedName name="ezhjutj" hidden="1">{"Presentation",#N/A,FALSE,"Feb96 - ALL"}</definedName>
    <definedName name="f" hidden="1">{"Fiesta Facer Page",#N/A,FALSE,"Q_C_S";"Fiesta Main Page",#N/A,FALSE,"V_L";"Fiesta 95BP Struct",#N/A,FALSE,"StructBP";"Fiesta Post 95BP Struct",#N/A,FALSE,"AdjStructBP"}</definedName>
    <definedName name="F.CHART" hidden="1">{#N/A,#N/A,FALSE,"KMC최종회의(7월) 자료"}</definedName>
    <definedName name="f.sdfg" hidden="1">{"sga expense",#N/A,FALSE,"S,G&amp;A EXP"}</definedName>
    <definedName name="f\" hidden="1">{#N/A,#N/A,FALSE,"Cover";#N/A,#N/A,FALSE,"Profits";#N/A,#N/A,FALSE,"ABS";#N/A,#N/A,FALSE,"TFLE Detail";#N/A,#N/A,FALSE,"TFLE Walk";#N/A,#N/A,FALSE,"Variable Cost";#N/A,#N/A,FALSE,"V.C. Walk"}</definedName>
    <definedName name="f_1" hidden="1">{"Fiesta Facer Page",#N/A,FALSE,"Q_C_S";"Fiesta Main Page",#N/A,FALSE,"V_L";"Fiesta 95BP Struct",#N/A,FALSE,"StructBP";"Fiesta Post 95BP Struct",#N/A,FALSE,"AdjStructBP"}</definedName>
    <definedName name="f_1_1" hidden="1">{"Fiesta Facer Page",#N/A,FALSE,"Q_C_S";"Fiesta Main Page",#N/A,FALSE,"V_L";"Fiesta 95BP Struct",#N/A,FALSE,"StructBP";"Fiesta Post 95BP Struct",#N/A,FALSE,"AdjStructBP"}</definedName>
    <definedName name="f_2" hidden="1">{"Fiesta Facer Page",#N/A,FALSE,"Q_C_S";"Fiesta Main Page",#N/A,FALSE,"V_L";"Fiesta 95BP Struct",#N/A,FALSE,"StructBP";"Fiesta Post 95BP Struct",#N/A,FALSE,"AdjStructBP"}</definedName>
    <definedName name="f_3" hidden="1">{"Fiesta Facer Page",#N/A,FALSE,"Q_C_S";"Fiesta Main Page",#N/A,FALSE,"V_L";"Fiesta 95BP Struct",#N/A,FALSE,"StructBP";"Fiesta Post 95BP Struct",#N/A,FALSE,"AdjStructBP"}</definedName>
    <definedName name="F6.8xxx" hidden="1">{#N/A,#N/A,FALSE,"431"}</definedName>
    <definedName name="F6.8xxx_1" hidden="1">{#N/A,#N/A,FALSE,"431"}</definedName>
    <definedName name="fafa" hidden="1">{#N/A,#N/A,FALSE,"Cover";#N/A,#N/A,FALSE,"Assumptions";#N/A,#N/A,FALSE,"Volumes";#N/A,#N/A,FALSE,"Pricing";#N/A,#N/A,FALSE,"TFLE Walk";#N/A,#N/A,FALSE,"Variable Cost";#N/A,#N/A,FALSE,"Sensitivity";#N/A,#N/A,FALSE,"Investment";#N/A,#N/A,FALSE,"Profitability"}</definedName>
    <definedName name="fasdfas" hidden="1">{#N/A,#N/A,FALSE,"Assumptions";#N/A,#N/A,FALSE,"Volumes";#N/A,#N/A,FALSE,"Pricing";#N/A,#N/A,FALSE,"Variable Cost";#N/A,#N/A,FALSE,"Investment";#N/A,#N/A,FALSE,"Profitability";#N/A,#N/A,FALSE,"Business Comparison"}</definedName>
    <definedName name="fbvnvcb" hidden="1">{#N/A,#N/A,FALSE,"96 3월물량표";#N/A,#N/A,FALSE,"96 4월물량표";#N/A,#N/A,FALSE,"96 5월물량표"}</definedName>
    <definedName name="FCode" hidden="1">#REF!</definedName>
    <definedName name="fd" hidden="1">{#VALUE!,#N/A,FALSE,0;#N/A,#N/A,FALSE,0;#N/A,#N/A,FALSE,0;#N/A,#N/A,FALSE,0}</definedName>
    <definedName name="fda" hidden="1">{0,0,0,0;0,0,0,0;0,0,0,0;0,0,0,0;0,0,0,0}</definedName>
    <definedName name="FDD" hidden="1">{#N/A,#N/A,TRUE,"양식5";#N/A,#N/A,TRUE,"양식1_2_2";#N/A,#N/A,TRUE,"양식1_1_2";#N/A,#N/A,TRUE,"양식2";#N/A,#N/A,TRUE,"양식4";#N/A,#N/A,TRUE,"양식3";#N/A,#N/A,TRUE,"양식6";#N/A,#N/A,TRUE,"양식7";#N/A,#N/A,TRUE,"양식10";#N/A,#N/A,TRUE,"양식11";#N/A,#N/A,TRUE,"양식12";#N/A,#N/A,TRUE,"양식13_1_2";#N/A,#N/A,TRUE,"양식13_2_2";#N/A,#N/A,TRUE,"양식14"}</definedName>
    <definedName name="fdf" hidden="1">{#N/A,#N/A,FALSE,"Cover";#N/A,#N/A,FALSE,"Profits";#N/A,#N/A,FALSE,"ABS";#N/A,#N/A,FALSE,"TFLE Detail";#N/A,#N/A,FALSE,"TFLE Walk";#N/A,#N/A,FALSE,"Variable Cost";#N/A,#N/A,FALSE,"V.C. Walk"}</definedName>
    <definedName name="fdfd" hidden="1">{"Presentation",#N/A,FALSE,"Feb96 - ALL"}</definedName>
    <definedName name="fdfdafsd" hidden="1">#REF!</definedName>
    <definedName name="fdgdfg" hidden="1">{"works expense",#N/A,FALSE,"WORKS EXPENSE"}</definedName>
    <definedName name="FDGHDFG" hidden="1">{#N/A,#N/A,FALSE,"단축1";#N/A,#N/A,FALSE,"단축2";#N/A,#N/A,FALSE,"단축3";#N/A,#N/A,FALSE,"장축";#N/A,#N/A,FALSE,"4WD"}</definedName>
    <definedName name="fdghea" hidden="1">{#N/A,#N/A,TRUE,"Y생산";#N/A,#N/A,TRUE,"Y판매";#N/A,#N/A,TRUE,"Y총물량";#N/A,#N/A,TRUE,"Y능력";#N/A,#N/A,TRUE,"YKD"}</definedName>
    <definedName name="fdhgf" hidden="1">{#N/A,#N/A,TRUE,"Summary";#N/A,#N/A,TRUE,"Balance Sheet";#N/A,#N/A,TRUE,"P &amp; L";#N/A,#N/A,TRUE,"Fixed Assets";#N/A,#N/A,TRUE,"Cash Flows"}</definedName>
    <definedName name="FDJGDFHJ" hidden="1">{#N/A,#N/A,FALSE,"단축1";#N/A,#N/A,FALSE,"단축2";#N/A,#N/A,FALSE,"단축3";#N/A,#N/A,FALSE,"장축";#N/A,#N/A,FALSE,"4WD"}</definedName>
    <definedName name="fdkjkj" hidden="1">{#N/A,#N/A,FALSE,"단축1";#N/A,#N/A,FALSE,"단축2";#N/A,#N/A,FALSE,"단축3";#N/A,#N/A,FALSE,"장축";#N/A,#N/A,FALSE,"4WD"}</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hidden="1">{#N/A,#N/A,FALSE,"FN16GRAF (2)";#N/A,#N/A,FALSE,"EN14GRAF (2)";#N/A,#N/A,FALSE,"FN10GRAF (2)";#N/A,#N/A,FALSE,"MN12GRAF";#N/A,#N/A,FALSE,"SN95GRAF"}</definedName>
    <definedName name="fdsa" hidden="1">{#N/A,#N/A,FALSE,"KMC최종회의(7월) 자료"}</definedName>
    <definedName name="fdsaasdf" hidden="1">#REF!</definedName>
    <definedName name="fer" hidden="1">#REF!</definedName>
    <definedName name="ferfef" hidden="1">{"Fiesta Facer Page",#N/A,FALSE,"Q_C_S";"Fiesta Main Page",#N/A,FALSE,"V_L";"Fiesta 95BP Struct",#N/A,FALSE,"StructBP";"Fiesta Post 95BP Struct",#N/A,FALSE,"AdjStructBP"}</definedName>
    <definedName name="ffd" hidden="1">{#N/A,#N/A,FALSE,"Cover Sheet";#N/A,#N/A,FALSE,"Ave_Trans_Shp_Abs";#N/A,#N/A,FALSE,"Det_Shp_Abs";#N/A,#N/A,FALSE,"Ave_Trans_Inst_Abs";#N/A,#N/A,FALSE,"Det_Ins_Abs";#N/A,#N/A,FALSE,"Ave_Trans_Tot_ABS";#N/A,#N/A,FALSE,"Det_Total_ABS"}</definedName>
    <definedName name="FFDF" hidden="1">{#N/A,#N/A,FALSE,"단축1";#N/A,#N/A,FALSE,"단축2";#N/A,#N/A,FALSE,"단축3";#N/A,#N/A,FALSE,"장축";#N/A,#N/A,FALSE,"4WD"}</definedName>
    <definedName name="ffds" hidden="1">{#N/A,#N/A,FALSE,"Cover";#N/A,#N/A,FALSE,"Summary Variable Costs";#N/A,#N/A,FALSE,"Summary Var &amp; Fxd";#N/A,#N/A,FALSE,"Sigma";#N/A,#N/A,FALSE,"I4 Engines";#N/A,#N/A,FALSE,"New I4 Transmissions";#N/A,#N/A,FALSE,"PSA Diesels";#N/A,#N/A,FALSE,"Manuf Fixed Costs";#N/A,#N/A,FALSE,"Last Job-1st Job";#N/A,#N/A,FALSE,"Iss-Iss";#N/A,#N/A,FALSE,"Investment"}</definedName>
    <definedName name="ffdww" hidden="1">{#N/A,#N/A,FALSE,"Profit Status";#N/A,#N/A,FALSE,"Invest";#N/A,#N/A,FALSE,"Revenue";#N/A,#N/A,FALSE,"Variable Cost";#N/A,#N/A,FALSE,"Options &amp; Series"}</definedName>
    <definedName name="ffefe" hidden="1">{"adj95mult",#N/A,FALSE,"COMPCO";"adj95est",#N/A,FALSE,"COMPCO"}</definedName>
    <definedName name="FFF" hidden="1">{#N/A,#N/A,FALSE,"afa linear";#N/A,#N/A,FALSE,"mit 10% zuschuss";#N/A,#N/A,FALSE,"mit 25% zuschuss"}</definedName>
    <definedName name="fffd" hidden="1">{#N/A,#N/A,FALSE,"Cover Sheet";#N/A,#N/A,FALSE,"Ave_Trans_Shp_Abs";#N/A,#N/A,FALSE,"Det_Shp_Abs";#N/A,#N/A,FALSE,"Ave_Trans_Inst_Abs";#N/A,#N/A,FALSE,"Det_Ins_Abs";#N/A,#N/A,FALSE,"Ave_Trans_Tot_ABS";#N/A,#N/A,FALSE,"Det_Total_ABS"}</definedName>
    <definedName name="ffff" hidden="1">{#VALUE!,#N/A,FALSE,0;#N/A,#N/A,FALSE,0;#N/A,#N/A,FALSE,0;#N/A,#N/A,FALSE,0}</definedName>
    <definedName name="FFFFF" hidden="1">{#VALUE!,#N/A,FALSE,0;#N/A,#N/A,FALSE,0;#N/A,#N/A,FALSE,0;#N/A,#N/A,FALSE,0}</definedName>
    <definedName name="FFFFFDD" hidden="1">{#N/A,#N/A,FALSE,"정공"}</definedName>
    <definedName name="ffffff" hidden="1">{"Presentation",#N/A,FALSE,"Feb96 - ALL"}</definedName>
    <definedName name="ffffff_1" hidden="1">{"Presentation",#N/A,FALSE,"Feb96 - ALL"}</definedName>
    <definedName name="ffffff_2" hidden="1">{"Presentation",#N/A,FALSE,"Feb96 - ALL"}</definedName>
    <definedName name="ffffff_2_1" hidden="1">{"Presentation",#N/A,FALSE,"Feb96 - ALL"}</definedName>
    <definedName name="ffffff_3" hidden="1">{"Presentation",#N/A,FALSE,"Feb96 - ALL"}</definedName>
    <definedName name="ffffff_3_1" hidden="1">{"Presentation",#N/A,FALSE,"Feb96 - ALL"}</definedName>
    <definedName name="ffffff_4" hidden="1">{"Presentation",#N/A,FALSE,"Feb96 - ALL"}</definedName>
    <definedName name="fffffff" hidden="1">{"Fiesta Facer Page",#N/A,FALSE,"Q_C_S";"Fiesta Main Page",#N/A,FALSE,"V_L";"Fiesta 95BP Struct",#N/A,FALSE,"StructBP";"Fiesta Post 95BP Struct",#N/A,FALSE,"AdjStructBP"}</definedName>
    <definedName name="fffffff_1" hidden="1">{"Fiesta Facer Page",#N/A,FALSE,"Q_C_S";"Fiesta Main Page",#N/A,FALSE,"V_L";"Fiesta 95BP Struct",#N/A,FALSE,"StructBP";"Fiesta Post 95BP Struct",#N/A,FALSE,"AdjStructBP"}</definedName>
    <definedName name="fffffff_2" hidden="1">{"Fiesta Facer Page",#N/A,FALSE,"Q_C_S";"Fiesta Main Page",#N/A,FALSE,"V_L";"Fiesta 95BP Struct",#N/A,FALSE,"StructBP";"Fiesta Post 95BP Struct",#N/A,FALSE,"AdjStructBP"}</definedName>
    <definedName name="fffffff_2_1" hidden="1">{"Fiesta Facer Page",#N/A,FALSE,"Q_C_S";"Fiesta Main Page",#N/A,FALSE,"V_L";"Fiesta 95BP Struct",#N/A,FALSE,"StructBP";"Fiesta Post 95BP Struct",#N/A,FALSE,"AdjStructBP"}</definedName>
    <definedName name="fffffff_3" hidden="1">{"Fiesta Facer Page",#N/A,FALSE,"Q_C_S";"Fiesta Main Page",#N/A,FALSE,"V_L";"Fiesta 95BP Struct",#N/A,FALSE,"StructBP";"Fiesta Post 95BP Struct",#N/A,FALSE,"AdjStructBP"}</definedName>
    <definedName name="fffffff_3_1" hidden="1">{"Fiesta Facer Page",#N/A,FALSE,"Q_C_S";"Fiesta Main Page",#N/A,FALSE,"V_L";"Fiesta 95BP Struct",#N/A,FALSE,"StructBP";"Fiesta Post 95BP Struct",#N/A,FALSE,"AdjStructBP"}</definedName>
    <definedName name="fffffff_4" hidden="1">{"Fiesta Facer Page",#N/A,FALSE,"Q_C_S";"Fiesta Main Page",#N/A,FALSE,"V_L";"Fiesta 95BP Struct",#N/A,FALSE,"StructBP";"Fiesta Post 95BP Struct",#N/A,FALSE,"AdjStructBP"}</definedName>
    <definedName name="FFFFFFFFF" hidden="1">{#N/A,#N/A,FALSE,"정공"}</definedName>
    <definedName name="fffgfg" hidden="1">{#N/A,#N/A,FALSE,"단축1";#N/A,#N/A,FALSE,"단축2";#N/A,#N/A,FALSE,"단축3";#N/A,#N/A,FALSE,"장축";#N/A,#N/A,FALSE,"4WD"}</definedName>
    <definedName name="ffgg" hidden="1">{"LES",#N/A,FALSE,"PRINT";"TFI",#N/A,FALSE,"PRINT"}</definedName>
    <definedName name="fg" hidden="1">{#N/A,#N/A,FALSE,"Cover";#N/A,#N/A,FALSE,"Profits";#N/A,#N/A,FALSE,"ABS";#N/A,#N/A,FALSE,"TFLE Detail";#N/A,#N/A,FALSE,"TFLE Walk";#N/A,#N/A,FALSE,"Variable Cost";#N/A,#N/A,FALSE,"V.C. Walk"}</definedName>
    <definedName name="fgddf" hidden="1">{"Presentation",#N/A,FALSE,"Feb96 - ALL"}</definedName>
    <definedName name="fgf" hidden="1">OFFSET(#REF!,1,0)</definedName>
    <definedName name="FGGGG" hidden="1">{"Presentation",#N/A,FALSE,"Feb96 - ALL"}</definedName>
    <definedName name="FGH" hidden="1">{#N/A,#N/A,FALSE,"단축1";#N/A,#N/A,FALSE,"단축2";#N/A,#N/A,FALSE,"단축3";#N/A,#N/A,FALSE,"장축";#N/A,#N/A,FALSE,"4WD"}</definedName>
    <definedName name="fghgf" hidden="1">{"product cost",#N/A,FALSE,"P&amp;L STATEMENT"}</definedName>
    <definedName name="FGHJ" hidden="1">{#N/A,#N/A,FALSE,"단축1";#N/A,#N/A,FALSE,"단축2";#N/A,#N/A,FALSE,"단축3";#N/A,#N/A,FALSE,"장축";#N/A,#N/A,FALSE,"4WD"}</definedName>
    <definedName name="FGJHU" hidden="1">{#N/A,#N/A,FALSE,"단축1";#N/A,#N/A,FALSE,"단축2";#N/A,#N/A,FALSE,"단축3";#N/A,#N/A,FALSE,"장축";#N/A,#N/A,FALSE,"4WD"}</definedName>
    <definedName name="fgkjkh" hidden="1">{#N/A,#N/A,FALSE,"REPORT"}</definedName>
    <definedName name="fgrg" hidden="1">{"manpower",#N/A,FALSE,"MANPOWER_PAYROLL"}</definedName>
    <definedName name="fgsdrrtzh" hidden="1">{"Fiesta Facer Page",#N/A,FALSE,"Q_C_S";"Fiesta Main Page",#N/A,FALSE,"V_L";"Fiesta 95BP Struct",#N/A,FALSE,"StructBP";"Fiesta Post 95BP Struct",#N/A,FALSE,"AdjStructBP"}</definedName>
    <definedName name="FGT" hidden="1">{#N/A,#N/A,FALSE,"단축1";#N/A,#N/A,FALSE,"단축2";#N/A,#N/A,FALSE,"단축3";#N/A,#N/A,FALSE,"장축";#N/A,#N/A,FALSE,"4WD"}</definedName>
    <definedName name="fgvh" hidden="1">{#N/A,#N/A,TRUE,"Y생산";#N/A,#N/A,TRUE,"Y판매";#N/A,#N/A,TRUE,"Y총물량";#N/A,#N/A,TRUE,"Y능력";#N/A,#N/A,TRUE,"YKD"}</definedName>
    <definedName name="FH" hidden="1">{#N/A,#N/A,FALSE,"단축1";#N/A,#N/A,FALSE,"단축2";#N/A,#N/A,FALSE,"단축3";#N/A,#N/A,FALSE,"장축";#N/A,#N/A,FALSE,"4WD"}</definedName>
    <definedName name="fhgf" hidden="1">#REF!</definedName>
    <definedName name="File.Type" hidden="1">#REF!</definedName>
    <definedName name="Finance" hidden="1">{#N/A,#N/A,FALSE,"Cover";#N/A,#N/A,FALSE,"Profits";#N/A,#N/A,FALSE,"ABS";#N/A,#N/A,FALSE,"TFLE Detail";#N/A,#N/A,FALSE,"TFLE Walk";#N/A,#N/A,FALSE,"Variable Cost";#N/A,#N/A,FALSE,"V.C. Walk"}</definedName>
    <definedName name="financial" hidden="1">{"EXPORT",#N/A,FALSE,"A8CONTENT"}</definedName>
    <definedName name="fincance" hidden="1">{#N/A,#N/A,FALSE,"Assumptions";#N/A,#N/A,FALSE,"Volumes";#N/A,#N/A,FALSE,"Pricing";#N/A,#N/A,FALSE,"Variable Cost";#N/A,#N/A,FALSE,"Investment";#N/A,#N/A,FALSE,"Profitability";#N/A,#N/A,FALSE,"Business Comparison"}</definedName>
    <definedName name="fjalaslaslfasllaa" hidden="1">{#N/A,#N/A,FALSE,"을지 (4)";#N/A,#N/A,FALSE,"을지 (5)";#N/A,#N/A,FALSE,"을지 (6)"}</definedName>
    <definedName name="FJD" hidden="1">{#N/A,#N/A,FALSE,"단축1";#N/A,#N/A,FALSE,"단축2";#N/A,#N/A,FALSE,"단축3";#N/A,#N/A,FALSE,"장축";#N/A,#N/A,FALSE,"4WD"}</definedName>
    <definedName name="FJEZK" hidden="1">{#N/A,#N/A,FALSE,"Pharm";#N/A,#N/A,FALSE,"WWCM"}</definedName>
    <definedName name="fjwhf" hidden="1">{#N/A,#N/A,FALSE,"Profit Status";#N/A,#N/A,FALSE,"Invest";#N/A,#N/A,FALSE,"Revenue";#N/A,#N/A,FALSE,"Variable Cost";#N/A,#N/A,FALSE,"Options &amp; Series"}</definedName>
    <definedName name="fkfk" hidden="1">{"'5'!$A$1:$BB$147"}</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LEXIBLE.T.L" hidden="1">{#N/A,#N/A,FALSE,"단축1";#N/A,#N/A,FALSE,"단축2";#N/A,#N/A,FALSE,"단축3";#N/A,#N/A,FALSE,"장축";#N/A,#N/A,FALSE,"4WD"}</definedName>
    <definedName name="FLOW" hidden="1">{#N/A,#N/A,FALSE,"KMC최종회의(7월) 자료"}</definedName>
    <definedName name="FMEA" hidden="1">{#N/A,#N/A,FALSE,"단축1";#N/A,#N/A,FALSE,"단축2";#N/A,#N/A,FALSE,"단축3";#N/A,#N/A,FALSE,"장축";#N/A,#N/A,FALSE,"4WD"}</definedName>
    <definedName name="FMEA1"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B가" hidden="1">{#N/A,#N/A,FALSE,"단축1";#N/A,#N/A,FALSE,"단축2";#N/A,#N/A,FALSE,"단축3";#N/A,#N/A,FALSE,"장축";#N/A,#N/A,FALSE,"4WD"}</definedName>
    <definedName name="FO투입시UPH조정" hidden="1">{#N/A,#N/A,FALSE,"단축1";#N/A,#N/A,FALSE,"단축2";#N/A,#N/A,FALSE,"단축3";#N/A,#N/A,FALSE,"장축";#N/A,#N/A,FALSE,"4WD"}</definedName>
    <definedName name="fr" hidden="1">{#N/A,#N/A,FALSE,"Profit Status";#N/A,#N/A,FALSE,"Invest";#N/A,#N/A,FALSE,"Revenue";#N/A,#N/A,FALSE,"Variable Cost";#N/A,#N/A,FALSE,"Options &amp; Series"}</definedName>
    <definedName name="fre" hidden="1">#REF!</definedName>
    <definedName name="FREEWHEEL" hidden="1">#REF!</definedName>
    <definedName name="FRFERFE" hidden="1">{#N/A,#N/A,FALSE,"Pharm";#N/A,#N/A,FALSE,"WWCM"}</definedName>
    <definedName name="frmotor" hidden="1">{#N/A,#N/A,FALSE,"단축1";#N/A,#N/A,FALSE,"단축2";#N/A,#N/A,FALSE,"단축3";#N/A,#N/A,FALSE,"장축";#N/A,#N/A,FALSE,"4WD"}</definedName>
    <definedName name="FRONT" hidden="1">{#N/A,#N/A,FALSE,"단축1";#N/A,#N/A,FALSE,"단축2";#N/A,#N/A,FALSE,"단축3";#N/A,#N/A,FALSE,"장축";#N/A,#N/A,FALSE,"4WD"}</definedName>
    <definedName name="fsdvnslc.asdfkusad" hidden="1">{"works expense",#N/A,FALSE,"WORKS EXPENSE"}</definedName>
    <definedName name="fsrgg" hidden="1">#REF!</definedName>
    <definedName name="FVG" hidden="1">{#N/A,#N/A,FALSE,"Pharm";#N/A,#N/A,FALSE,"WWCM"}</definedName>
    <definedName name="FVNGHMGHM" hidden="1">{#N/A,#N/A,TRUE,"Y생산";#N/A,#N/A,TRUE,"Y판매";#N/A,#N/A,TRUE,"Y총물량";#N/A,#N/A,TRUE,"Y능력";#N/A,#N/A,TRUE,"YKD"}</definedName>
    <definedName name="g" hidden="1">{#N/A,#N/A,FALSE,"Profit Status";#N/A,#N/A,FALSE,"Invest";#N/A,#N/A,FALSE,"Revenue";#N/A,#N/A,FALSE,"Variable Cost";#N/A,#N/A,FALSE,"Options &amp; Series"}</definedName>
    <definedName name="gaad" hidden="1">{"Fiesta Facer Page",#N/A,FALSE,"Q_C_S";"Fiesta Main Page",#N/A,FALSE,"V_L";"Fiesta 95BP Struct",#N/A,FALSE,"StructBP";"Fiesta Post 95BP Struct",#N/A,FALSE,"AdjStructBP"}</definedName>
    <definedName name="gaegeg" hidden="1">{#N/A,#N/A,FALSE,"afa linear";#N/A,#N/A,FALSE,"mit 10% zuschuss";#N/A,#N/A,FALSE,"mit 25% zuschuss"}</definedName>
    <definedName name="GAGERR" hidden="1">#REF!</definedName>
    <definedName name="GAL" hidden="1">#REF!</definedName>
    <definedName name="GB" hidden="1">{#N/A,#N/A,FALSE,"신규dep";#N/A,#N/A,FALSE,"신규dep-금형상각후";#N/A,#N/A,FALSE,"신규dep-연구비상각후";#N/A,#N/A,FALSE,"신규dep-기계,공구상각후"}</definedName>
    <definedName name="GBU" hidden="1">{"'0808_월별 (2)'!$A$2:$T$28"}</definedName>
    <definedName name="gd" hidden="1">{#N/A,#N/A,FALSE,"Assumptions";#N/A,#N/A,FALSE,"Volumes";#N/A,#N/A,FALSE,"Pricing";#N/A,#N/A,FALSE,"Variable Cost";#N/A,#N/A,FALSE,"Investment";#N/A,#N/A,FALSE,"Profitability";#N/A,#N/A,FALSE,"Business Comparison"}</definedName>
    <definedName name="ｇｄｆ" hidden="1">{#N/A,#N/A,FALSE,"Profit Status";#N/A,#N/A,FALSE,"Invest";#N/A,#N/A,FALSE,"Revenue";#N/A,#N/A,FALSE,"Variable Cost";#N/A,#N/A,FALSE,"Options &amp; Series"}</definedName>
    <definedName name="GDFGDF" hidden="1">{#N/A,#N/A,FALSE,"단축1";#N/A,#N/A,FALSE,"단축2";#N/A,#N/A,FALSE,"단축3";#N/A,#N/A,FALSE,"장축";#N/A,#N/A,FALSE,"4WD"}</definedName>
    <definedName name="gdsd" hidden="1">{#N/A,#N/A,FALSE,"KMC최종회의(7월) 자료"}</definedName>
    <definedName name="gdyu" hidden="1">{#N/A,#N/A,FALSE,"96 3월물량표";#N/A,#N/A,FALSE,"96 4월물량표";#N/A,#N/A,FALSE,"96 5월물량표"}</definedName>
    <definedName name="ge" hidden="1">{#N/A,#N/A,FALSE,"Profit Status";#N/A,#N/A,FALSE,"Invest";#N/A,#N/A,FALSE,"Revenue";#N/A,#N/A,FALSE,"Variable Cost";#N/A,#N/A,FALSE,"Options &amp; Series"}</definedName>
    <definedName name="GES_LIST" hidden="1">#REF!,#REF!,#REF!</definedName>
    <definedName name="GETRAG" hidden="1">#REF!</definedName>
    <definedName name="GETRAG_" hidden="1">#REF!</definedName>
    <definedName name="gf" hidden="1">{#N/A,#N/A,FALSE,"Cover";#N/A,#N/A,FALSE,"Profits";#N/A,#N/A,FALSE,"ABS";#N/A,#N/A,FALSE,"TFLE Detail";#N/A,#N/A,FALSE,"TFLE Walk";#N/A,#N/A,FALSE,"Variable Cost";#N/A,#N/A,FALSE,"V.C. Walk"}</definedName>
    <definedName name="gfbn" hidden="1">{#N/A,#N/A,TRUE,"Y생산";#N/A,#N/A,TRUE,"Y판매";#N/A,#N/A,TRUE,"Y총물량";#N/A,#N/A,TRUE,"Y능력";#N/A,#N/A,TRUE,"YKD"}</definedName>
    <definedName name="GF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fdjhjh" hidden="1">{#N/A,#N/A,FALSE,"Pharm";#N/A,#N/A,FALSE,"WWCM"}</definedName>
    <definedName name="GFDS" hidden="1">{#N/A,#N/A,FALSE,"단축1";#N/A,#N/A,FALSE,"단축2";#N/A,#N/A,FALSE,"단축3";#N/A,#N/A,FALSE,"장축";#N/A,#N/A,FALSE,"4WD"}</definedName>
    <definedName name="gfdsged" hidden="1">{"REVISED",#N/A,FALSE,"Sheet1"}</definedName>
    <definedName name="gfer" hidden="1">{"Fiesta Facer Page",#N/A,FALSE,"Q_C_S";"Fiesta Main Page",#N/A,FALSE,"V_L";"Fiesta 95BP Struct",#N/A,FALSE,"StructBP";"Fiesta Post 95BP Struct",#N/A,FALSE,"AdjStructBP"}</definedName>
    <definedName name="gfg" hidden="1">{#N/A,#N/A,TRUE,"Summary";#N/A,#N/A,TRUE,"Balance Sheet";#N/A,#N/A,TRUE,"P &amp; L";#N/A,#N/A,TRUE,"Fixed Assets";#N/A,#N/A,TRUE,"Cash Flows"}</definedName>
    <definedName name="gfgyt" hidden="1">{"'5'!$A$1:$BB$147"}</definedName>
    <definedName name="gfh" hidden="1">{#N/A,#N/A,FALSE,"96 3월물량표";#N/A,#N/A,FALSE,"96 4월물량표";#N/A,#N/A,FALSE,"96 5월물량표"}</definedName>
    <definedName name="GFHDJ" hidden="1">{#N/A,#N/A,FALSE,"인원";#N/A,#N/A,FALSE,"비용2";#N/A,#N/A,FALSE,"비용1";#N/A,#N/A,FALSE,"비용";#N/A,#N/A,FALSE,"보증2";#N/A,#N/A,FALSE,"보증1";#N/A,#N/A,FALSE,"보증";#N/A,#N/A,FALSE,"손익1";#N/A,#N/A,FALSE,"손익";#N/A,#N/A,FALSE,"부서별매출";#N/A,#N/A,FALSE,"매출"}</definedName>
    <definedName name="gfhery" hidden="1">{#N/A,#N/A,FALSE,"96 3월물량표";#N/A,#N/A,FALSE,"96 4월물량표";#N/A,#N/A,FALSE,"96 5월물량표"}</definedName>
    <definedName name="gfhj" hidden="1">{#N/A,#N/A,TRUE,"Y생산";#N/A,#N/A,TRUE,"Y판매";#N/A,#N/A,TRUE,"Y총물량";#N/A,#N/A,TRUE,"Y능력";#N/A,#N/A,TRUE,"YKD"}</definedName>
    <definedName name="GFHK" hidden="1">{#N/A,#N/A,FALSE,"단축1";#N/A,#N/A,FALSE,"단축2";#N/A,#N/A,FALSE,"단축3";#N/A,#N/A,FALSE,"장축";#N/A,#N/A,FALSE,"4WD"}</definedName>
    <definedName name="gfj" hidden="1">{#N/A,#N/A,TRUE,"Y생산";#N/A,#N/A,TRUE,"Y판매";#N/A,#N/A,TRUE,"Y총물량";#N/A,#N/A,TRUE,"Y능력";#N/A,#N/A,TRUE,"YKD"}</definedName>
    <definedName name="GFJG" hidden="1">{#N/A,#N/A,FALSE,"단축1";#N/A,#N/A,FALSE,"단축2";#N/A,#N/A,FALSE,"단축3";#N/A,#N/A,FALSE,"장축";#N/A,#N/A,FALSE,"4WD"}</definedName>
    <definedName name="gfld" hidden="1">{#N/A,#N/A,TRUE,"Y생산";#N/A,#N/A,TRUE,"Y판매";#N/A,#N/A,TRUE,"Y총물량";#N/A,#N/A,TRUE,"Y능력";#N/A,#N/A,TRUE,"YKD"}</definedName>
    <definedName name="gfsfsfg" hidden="1">#REF!</definedName>
    <definedName name="gfsgg" hidden="1">#REF!</definedName>
    <definedName name="ggg" hidden="1">{"Fiesta Facer Page",#N/A,FALSE,"Q_C_S";"Fiesta Main Page",#N/A,FALSE,"V_L";"Fiesta 95BP Struct",#N/A,FALSE,"StructBP";"Fiesta Post 95BP Struct",#N/A,FALSE,"AdjStructBP"}</definedName>
    <definedName name="ggg_1" hidden="1">{"Fiesta Facer Page",#N/A,FALSE,"Q_C_S";"Fiesta Main Page",#N/A,FALSE,"V_L";"Fiesta 95BP Struct",#N/A,FALSE,"StructBP";"Fiesta Post 95BP Struct",#N/A,FALSE,"AdjStructBP"}</definedName>
    <definedName name="ggg_2" hidden="1">{"Fiesta Facer Page",#N/A,FALSE,"Q_C_S";"Fiesta Main Page",#N/A,FALSE,"V_L";"Fiesta 95BP Struct",#N/A,FALSE,"StructBP";"Fiesta Post 95BP Struct",#N/A,FALSE,"AdjStructBP"}</definedName>
    <definedName name="GGGG" hidden="1">{"Fiesta Facer Page",#N/A,FALSE,"Q_C_S";"Fiesta Main Page",#N/A,FALSE,"V_L";"Fiesta 95BP Struct",#N/A,FALSE,"StructBP";"Fiesta Post 95BP Struct",#N/A,FALSE,"AdjStructBP"}</definedName>
    <definedName name="GGGGGG" hidden="1">{#N/A,#N/A,FALSE,"정공"}</definedName>
    <definedName name="GHDJDG" hidden="1">{#N/A,#N/A,FALSE,"단축1";#N/A,#N/A,FALSE,"단축2";#N/A,#N/A,FALSE,"단축3";#N/A,#N/A,FALSE,"장축";#N/A,#N/A,FALSE,"4WD"}</definedName>
    <definedName name="GHFJ" hidden="1">{#N/A,#N/A,FALSE,"단축1";#N/A,#N/A,FALSE,"단축2";#N/A,#N/A,FALSE,"단축3";#N/A,#N/A,FALSE,"장축";#N/A,#N/A,FALSE,"4WD"}</definedName>
    <definedName name="GHG" hidden="1">{"'5'!$A$1:$BB$147"}</definedName>
    <definedName name="ghhfdhg" hidden="1">{"Fcst II",#N/A,FALSE,"(1)-PROFIT SUM.";"Risk_Adj._Fcst.",#N/A,FALSE,"(2)-Risk Adj. Fcst.";"Fcst._to_Budget",#N/A,FALSE,"(3)-Fcst. to Bdgt.";"Yr._O_Yr",#N/A,FALSE,"(4)-Yr.-O-Yr."}</definedName>
    <definedName name="GHHHHHH" hidden="1">{"Fiesta Facer Page",#N/A,FALSE,"Q_C_S";"Fiesta Main Page",#N/A,FALSE,"V_L";"Fiesta 95BP Struct",#N/A,FALSE,"StructBP";"Fiesta Post 95BP Struct",#N/A,FALSE,"AdjStructBP"}</definedName>
    <definedName name="ghj" hidden="1">{#N/A,#N/A,FALSE,"96 3월물량표";#N/A,#N/A,FALSE,"96 4월물량표";#N/A,#N/A,FALSE,"96 5월물량표"}</definedName>
    <definedName name="ghjgf" hidden="1">{"manpower",#N/A,FALSE,"MANPOWER_PAYROLL"}</definedName>
    <definedName name="ghjggjh" hidden="1">{#N/A,#N/A,FALSE,"Pharm";#N/A,#N/A,FALSE,"WWCM"}</definedName>
    <definedName name="GHJK" hidden="1">{#N/A,#N/A,FALSE,"KMC최종회의(7월) 자료"}</definedName>
    <definedName name="ghjy" hidden="1">{#N/A,#N/A,TRUE,"Y생산";#N/A,#N/A,TRUE,"Y판매";#N/A,#N/A,TRUE,"Y총물량";#N/A,#N/A,TRUE,"Y능력";#N/A,#N/A,TRUE,"YKD"}</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JHKJHKJHJK" hidden="1">{"'5'!$A$1:$BB$147"}</definedName>
    <definedName name="ghljngiti" hidden="1">{#N/A,#N/A,FALSE,"단축1";#N/A,#N/A,FALSE,"단축2";#N/A,#N/A,FALSE,"단축3";#N/A,#N/A,FALSE,"장축";#N/A,#N/A,FALSE,"4WD"}</definedName>
    <definedName name="GHT" hidden="1">{#N/A,#N/A,FALSE,"신규dep";#N/A,#N/A,FALSE,"신규dep-금형상각후";#N/A,#N/A,FALSE,"신규dep-연구비상각후";#N/A,#N/A,FALSE,"신규dep-기계,공구상각후"}</definedName>
    <definedName name="ghudjk" hidden="1">{#N/A,#N/A,FALSE,"정공"}</definedName>
    <definedName name="GHUTGHF" hidden="1">{#N/A,#N/A,FALSE,"96 3월물량표";#N/A,#N/A,FALSE,"96 4월물량표";#N/A,#N/A,FALSE,"96 5월물량표"}</definedName>
    <definedName name="GJ" hidden="1">{#N/A,#N/A,FALSE,"단축1";#N/A,#N/A,FALSE,"단축2";#N/A,#N/A,FALSE,"단축3";#N/A,#N/A,FALSE,"장축";#N/A,#N/A,FALSE,"4WD"}</definedName>
    <definedName name="gjk" hidden="1">{#N/A,#N/A,TRUE,"Y생산";#N/A,#N/A,TRUE,"Y판매";#N/A,#N/A,TRUE,"Y총물량";#N/A,#N/A,TRUE,"Y능력";#N/A,#N/A,TRUE,"YKD"}</definedName>
    <definedName name="GJKGJK" hidden="1">{#N/A,#N/A,FALSE,"단축1";#N/A,#N/A,FALSE,"단축2";#N/A,#N/A,FALSE,"단축3";#N/A,#N/A,FALSE,"장축";#N/A,#N/A,FALSE,"4WD"}</definedName>
    <definedName name="GK" hidden="1">#REF!</definedName>
    <definedName name="GKFGK" hidden="1">{"'5'!$A$1:$BB$147"}</definedName>
    <definedName name="gkjyl" hidden="1">{#N/A,#N/A,FALSE,"정공"}</definedName>
    <definedName name="glad" hidden="1">{#N/A,#N/A,FALSE,"단축1";#N/A,#N/A,FALSE,"단축2";#N/A,#N/A,FALSE,"단축3";#N/A,#N/A,FALSE,"장축";#N/A,#N/A,FALSE,"4WD"}</definedName>
    <definedName name="glfdxs" hidden="1">#REF!</definedName>
    <definedName name="Global1" hidden="1">{#N/A,#N/A,FALSE,"Pharm";#N/A,#N/A,FALSE,"WWCM"}</definedName>
    <definedName name="gnxcvb" hidden="1">{#N/A,#N/A,TRUE,"Y생산";#N/A,#N/A,TRUE,"Y판매";#N/A,#N/A,TRUE,"Y총물량";#N/A,#N/A,TRUE,"Y능력";#N/A,#N/A,TRUE,"YKD"}</definedName>
    <definedName name="gscbvc" hidden="1">{"works expense",#N/A,FALSE,"WORKS EXPENSE"}</definedName>
    <definedName name="gsdg" hidden="1">#REF!</definedName>
    <definedName name="gsgsagg" hidden="1">#REF!</definedName>
    <definedName name="gsgsf" hidden="1">{#N/A,#N/A,FALSE,"Cost Card";#N/A,#N/A,FALSE,"CSTANS";#N/A,#N/A,FALSE,"INVEST"}</definedName>
    <definedName name="gsrnaerg" hidden="1">{#N/A,#N/A,TRUE,"Y생산";#N/A,#N/A,TRUE,"Y판매";#N/A,#N/A,TRUE,"Y총물량";#N/A,#N/A,TRUE,"Y능력";#N/A,#N/A,TRUE,"YKD"}</definedName>
    <definedName name="gt" hidden="1">{#N/A,#N/A,FALSE,"SUMMARY REPORT"}</definedName>
    <definedName name="GTBRFV" hidden="1">#REF!</definedName>
    <definedName name="GTC€" hidden="1">#REF!</definedName>
    <definedName name="guig8yu" hidden="1">{#VALUE!,#N/A,FALSE,0;#N/A,#N/A,FALSE,0;#N/A,#N/A,FALSE,0;#N/A,#N/A,FALSE,0;#N/A,#N/A,FALSE,0}</definedName>
    <definedName name="GUSEO" hidden="1">{"'Sheet1'!$A$211:$M$235"}</definedName>
    <definedName name="guuuun" hidden="1">{#N/A,#N/A,FALSE,"431"}</definedName>
    <definedName name="gv" hidden="1">{"DOM",#N/A,FALSE,"A8CONTENT"}</definedName>
    <definedName name="GYU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ｇらえあえｇｒ" hidden="1">{#N/A,"VB",FALSE,"output";#N/A,"VS",FALSE,"output";#N/A,"VC",FALSE,"output";#N/A,"VG",FALSE,"output";#N/A,"J1",FALSE,"output";#N/A,"PT",FALSE,"output"}</definedName>
    <definedName name="h" hidden="1">{#N/A,#N/A,FALSE,"Cover";#N/A,#N/A,FALSE,"Assumptions";#N/A,#N/A,FALSE,"Volumes";#N/A,#N/A,FALSE,"Pricing";#N/A,#N/A,FALSE,"TFLE Walk";#N/A,#N/A,FALSE,"Variable Cost";#N/A,#N/A,FALSE,"Sensitivity";#N/A,#N/A,FALSE,"Investment";#N/A,#N/A,FALSE,"Profitability"}</definedName>
    <definedName name="H3직행율1" hidden="1">{#N/A,#N/A,TRUE,"Y생산";#N/A,#N/A,TRUE,"Y판매";#N/A,#N/A,TRUE,"Y총물량";#N/A,#N/A,TRUE,"Y능력";#N/A,#N/A,TRUE,"YKD"}</definedName>
    <definedName name="Halewood" hidden="1">{"Fiesta Facer Page",#N/A,FALSE,"Q_C_S";"Fiesta Main Page",#N/A,FALSE,"V_L";"Fiesta 95BP Struct",#N/A,FALSE,"StructBP";"Fiesta Post 95BP Struct",#N/A,FALSE,"AdjStructBP"}</definedName>
    <definedName name="Halewood_1" hidden="1">{"Fiesta Facer Page",#N/A,FALSE,"Q_C_S";"Fiesta Main Page",#N/A,FALSE,"V_L";"Fiesta 95BP Struct",#N/A,FALSE,"StructBP";"Fiesta Post 95BP Struct",#N/A,FALSE,"AdjStructBP"}</definedName>
    <definedName name="Halewood_2" hidden="1">{"Fiesta Facer Page",#N/A,FALSE,"Q_C_S";"Fiesta Main Page",#N/A,FALSE,"V_L";"Fiesta 95BP Struct",#N/A,FALSE,"StructBP";"Fiesta Post 95BP Struct",#N/A,FALSE,"AdjStructBP"}</definedName>
    <definedName name="Halewood_2_1" hidden="1">{"Fiesta Facer Page",#N/A,FALSE,"Q_C_S";"Fiesta Main Page",#N/A,FALSE,"V_L";"Fiesta 95BP Struct",#N/A,FALSE,"StructBP";"Fiesta Post 95BP Struct",#N/A,FALSE,"AdjStructBP"}</definedName>
    <definedName name="Halewood_3" hidden="1">{"Fiesta Facer Page",#N/A,FALSE,"Q_C_S";"Fiesta Main Page",#N/A,FALSE,"V_L";"Fiesta 95BP Struct",#N/A,FALSE,"StructBP";"Fiesta Post 95BP Struct",#N/A,FALSE,"AdjStructBP"}</definedName>
    <definedName name="Halewood_3_1" hidden="1">{"Fiesta Facer Page",#N/A,FALSE,"Q_C_S";"Fiesta Main Page",#N/A,FALSE,"V_L";"Fiesta 95BP Struct",#N/A,FALSE,"StructBP";"Fiesta Post 95BP Struct",#N/A,FALSE,"AdjStructBP"}</definedName>
    <definedName name="Halewood_4" hidden="1">{"Fiesta Facer Page",#N/A,FALSE,"Q_C_S";"Fiesta Main Page",#N/A,FALSE,"V_L";"Fiesta 95BP Struct",#N/A,FALSE,"StructBP";"Fiesta Post 95BP Struct",#N/A,FALSE,"AdjStructBP"}</definedName>
    <definedName name="hayamin" hidden="1">#REF!</definedName>
    <definedName name="HCV.WEEKLY" hidden="1">{#N/A,#N/A,FALSE,"SUMMARY REPORT"}</definedName>
    <definedName name="hd" hidden="1">{"'0808_월별 (2)'!$A$2:$T$28"}</definedName>
    <definedName name="heatpr" hidden="1">{#N/A,#N/A,FALSE,"단축1";#N/A,#N/A,FALSE,"단축2";#N/A,#N/A,FALSE,"단축3";#N/A,#N/A,FALSE,"장축";#N/A,#N/A,FALSE,"4WD"}</definedName>
    <definedName name="HERDF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FG" hidden="1">{#N/A,#N/A,TRUE,"Y생산";#N/A,#N/A,TRUE,"Y판매";#N/A,#N/A,TRUE,"Y총물량";#N/A,#N/A,TRUE,"Y능력";#N/A,#N/A,TRUE,"YKD"}</definedName>
    <definedName name="HFinGraph" hidden="1">{#N/A,#N/A,FALSE,"Pharm";#N/A,#N/A,FALSE,"WWCM"}</definedName>
    <definedName name="hg" hidden="1">{#N/A,#N/A,FALSE,"Assumptions";#N/A,#N/A,FALSE,"Volumes";#N/A,#N/A,FALSE,"Pricing";#N/A,#N/A,FALSE,"Variable Cost";#N/A,#N/A,FALSE,"Investment";#N/A,#N/A,FALSE,"Profitability";#N/A,#N/A,FALSE,"Business Comparison"}</definedName>
    <definedName name="HGFH" hidden="1">{#N/A,#N/A,FALSE,"인원";#N/A,#N/A,FALSE,"비용2";#N/A,#N/A,FALSE,"비용1";#N/A,#N/A,FALSE,"비용";#N/A,#N/A,FALSE,"보증2";#N/A,#N/A,FALSE,"보증1";#N/A,#N/A,FALSE,"보증";#N/A,#N/A,FALSE,"손익1";#N/A,#N/A,FALSE,"손익";#N/A,#N/A,FALSE,"부서별매출";#N/A,#N/A,FALSE,"매출"}</definedName>
    <definedName name="hgh" hidden="1">{"SCHED",#N/A,FALSE,"98FCTSCH  PAGES 1&amp;2"}</definedName>
    <definedName name="hgmjbv" hidden="1">{#N/A,#N/A,TRUE,"Y생산";#N/A,#N/A,TRUE,"Y판매";#N/A,#N/A,TRUE,"Y총물량";#N/A,#N/A,TRUE,"Y능력";#N/A,#N/A,TRUE,"YKD"}</definedName>
    <definedName name="HHGF" hidden="1">{#N/A,#N/A,FALSE,"단축1";#N/A,#N/A,FALSE,"단축2";#N/A,#N/A,FALSE,"단축3";#N/A,#N/A,FALSE,"장축";#N/A,#N/A,FALSE,"4WD"}</definedName>
    <definedName name="HHHH" hidden="1">{"Fiesta Facer Page",#N/A,FALSE,"Q_C_S";"Fiesta Main Page",#N/A,FALSE,"V_L";"Fiesta 95BP Struct",#N/A,FALSE,"StructBP";"Fiesta Post 95BP Struct",#N/A,FALSE,"AdjStructBP"}</definedName>
    <definedName name="HHHHH" hidden="1">{#N/A,#N/A,FALSE,"단축1";#N/A,#N/A,FALSE,"단축2";#N/A,#N/A,FALSE,"단축3";#N/A,#N/A,FALSE,"장축";#N/A,#N/A,FALSE,"4WD"}</definedName>
    <definedName name="Hibh" hidden="1">{#N/A,#N/A,FALSE,"Pharm";#N/A,#N/A,FALSE,"WWCM"}</definedName>
    <definedName name="HiddenRows" hidden="1">#REF!</definedName>
    <definedName name="hitech" hidden="1">#REF!</definedName>
    <definedName name="hj" hidden="1">{"works expense",#N/A,FALSE,"WORKS EXPENSE"}</definedName>
    <definedName name="hjgflha" hidden="1">{#N/A,#N/A,FALSE,"Cover Sheet";#N/A,#N/A,FALSE,"Ave_Trans_Shp_Abs";#N/A,#N/A,FALSE,"Det_Shp_Abs";#N/A,#N/A,FALSE,"Ave_Trans_Inst_Abs";#N/A,#N/A,FALSE,"Det_Ins_Abs";#N/A,#N/A,FALSE,"Ave_Trans_Tot_ABS";#N/A,#N/A,FALSE,"Det_Total_ABS"}</definedName>
    <definedName name="HJHG" hidden="1">{#N/A,#N/A,FALSE,"단축1";#N/A,#N/A,FALSE,"단축2";#N/A,#N/A,FALSE,"단축3";#N/A,#N/A,FALSE,"장축";#N/A,#N/A,FALSE,"4WD"}</definedName>
    <definedName name="hjhjffukfuk" hidden="1">{#N/A,#N/A,FALSE,"Pharm";#N/A,#N/A,FALSE,"WWCM"}</definedName>
    <definedName name="hjhjfkfukywrte" hidden="1">{#N/A,#N/A,FALSE,"Pharm";#N/A,#N/A,FALSE,"WWCM"}</definedName>
    <definedName name="hjhkjkl" hidden="1">{#N/A,#N/A,FALSE,"Pharm";#N/A,#N/A,FALSE,"WWCM"}</definedName>
    <definedName name="hjjjkk" hidden="1">{#N/A,#N/A,FALSE,"REPORT"}</definedName>
    <definedName name="hjjkk" hidden="1">{#N/A,#N/A,FALSE,"Pharm";#N/A,#N/A,FALSE,"WWCM"}</definedName>
    <definedName name="hjk" hidden="1">{#N/A,#N/A,FALSE,"정공"}</definedName>
    <definedName name="hjkk" hidden="1">{#N/A,#N/A,FALSE,"Pharm";#N/A,#N/A,FALSE,"WWCM"}</definedName>
    <definedName name="HJK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KLL" hidden="1">{#N/A,#N/A,TRUE,"Y생산";#N/A,#N/A,TRUE,"Y판매";#N/A,#N/A,TRUE,"Y총물량";#N/A,#N/A,TRUE,"Y능력";#N/A,#N/A,TRUE,"YKD"}</definedName>
    <definedName name="hk" hidden="1">{"Presentation",#N/A,FALSE,"Feb96 - ALL"}</definedName>
    <definedName name="hk_1" hidden="1">{"Presentation",#N/A,FALSE,"Feb96 - ALL"}</definedName>
    <definedName name="hk_2" hidden="1">{"Presentation",#N/A,FALSE,"Feb96 - ALL"}</definedName>
    <definedName name="hk_2_1" hidden="1">{"Presentation",#N/A,FALSE,"Feb96 - ALL"}</definedName>
    <definedName name="hk_3" hidden="1">{"Presentation",#N/A,FALSE,"Feb96 - ALL"}</definedName>
    <definedName name="hk_3_1" hidden="1">{"Presentation",#N/A,FALSE,"Feb96 - ALL"}</definedName>
    <definedName name="hk_4" hidden="1">{"Presentation",#N/A,FALSE,"Feb96 - ALL"}</definedName>
    <definedName name="HKJ" hidden="1">{#N/A,#N/A,FALSE,"단축1";#N/A,#N/A,FALSE,"단축2";#N/A,#N/A,FALSE,"단축3";#N/A,#N/A,FALSE,"장축";#N/A,#N/A,FALSE,"4WD"}</definedName>
    <definedName name="HKSH" hidden="1">{#N/A,#N/A,FALSE,"REPORT"}</definedName>
    <definedName name="HMG" hidden="1">{#N/A,#N/A,FALSE,"REPORT"}</definedName>
    <definedName name="hmk" hidden="1">{#N/A,#N/A,TRUE,"Y생산";#N/A,#N/A,TRUE,"Y판매";#N/A,#N/A,TRUE,"Y총물량";#N/A,#N/A,TRUE,"Y능력";#N/A,#N/A,TRUE,"YKD"}</definedName>
    <definedName name="hngg" hidden="1">{#N/A,#N/A,TRUE,"Erfassungsbogen";#N/A,#N/A,TRUE,"Auswertung PA";#N/A,#N/A,TRUE,"Auswertung BB";#N/A,#N/A,TRUE,"Auswertung BE";#N/A,#N/A,TRUE,"Auswertung DSR";#N/A,#N/A,TRUE,"Auswertung KS";#N/A,#N/A,TRUE,"Auswertung CS";#N/A,#N/A,TRUE,"Auswertung Gesamt";#N/A,#N/A,TRUE,"Proz.v. Ges.ums-aufw-ertrag";#N/A,#N/A,TRUE,"Leistungen pro Mitarbeiter"}</definedName>
    <definedName name="HOLA" hidden="1">{#N/A,#N/A,FALSE,"Cover Sheet";#N/A,#N/A,FALSE,"BE 13 Fiesta";#N/A,#N/A,FALSE,"New Fiesta";#N/A,#N/A,FALSE,"Escort";#N/A,#N/A,FALSE,"Mondeo";#N/A,#N/A,FALSE,"Scorpio";#N/A,#N/A,FALSE,"Probe";#N/A,#N/A,FALSE,"Maverick";#N/A,#N/A,FALSE,"Galaxy";#N/A,#N/A,FALSE,"Light vans";#N/A,#N/A,FALSE,"Transit"}</definedName>
    <definedName name="HP" hidden="1">#REF!</definedName>
    <definedName name="hpv" hidden="1">{#N/A,#N/A,FALSE,"단축1";#N/A,#N/A,FALSE,"단축2";#N/A,#N/A,FALSE,"단축3";#N/A,#N/A,FALSE,"장축";#N/A,#N/A,FALSE,"4WD"}</definedName>
    <definedName name="hrzjzr" hidden="1">{#N/A,#N/A,FALSE,"title";#N/A,#N/A,FALSE,"AVE VEH";#N/A,#N/A,FALSE,"METRICS";#N/A,#N/A,FALSE,"Prod Cost";#N/A,#N/A,FALSE,"CMTOTCST";#N/A,#N/A,FALSE,"Roadmap";#N/A,#N/A,FALSE,"Road Text";#N/A,#N/A,FALSE,"VAVE";#N/A,#N/A,FALSE,"Warranty #1";#N/A,#N/A,FALSE,"Warranty #2";#N/A,#N/A,FALSE,"Purchasing"}</definedName>
    <definedName name="HSDF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SERTY" hidden="1">{#N/A,#N/A,FALSE,"인원";#N/A,#N/A,FALSE,"비용2";#N/A,#N/A,FALSE,"비용1";#N/A,#N/A,FALSE,"비용";#N/A,#N/A,FALSE,"보증2";#N/A,#N/A,FALSE,"보증1";#N/A,#N/A,FALSE,"보증";#N/A,#N/A,FALSE,"손익1";#N/A,#N/A,FALSE,"손익";#N/A,#N/A,FALSE,"부서별매출";#N/A,#N/A,FALSE,"매출"}</definedName>
    <definedName name="hsrtdgdr" hidden="1">{"works expense",#N/A,FALSE,"WORKS EXPENSE"}</definedName>
    <definedName name="HSY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t" hidden="1">{"'표지'!$B$5"}</definedName>
    <definedName name="htgb" hidden="1">#REF!</definedName>
    <definedName name="HTML_CodePage" hidden="1">1252</definedName>
    <definedName name="HTML_Control" hidden="1">{"'Section1'!$A$1:$AN$53","'Section1'!$A$1:$AO$59"}</definedName>
    <definedName name="HTML_Control_1" hidden="1">{"'0808_월별 (2)'!$A$2:$T$28"}</definedName>
    <definedName name="HTML_Control_1_1" hidden="1">{"'0808_월별 (2)'!$A$2:$T$28"}</definedName>
    <definedName name="HTML_Control_2" hidden="1">{"'0808_월별 (2)'!$A$2:$T$28"}</definedName>
    <definedName name="HTML_Control_2_1" hidden="1">{"'0808_월별 (2)'!$A$2:$T$28"}</definedName>
    <definedName name="HTML_Control_3" hidden="1">{"'0808_월별 (2)'!$A$2:$T$28"}</definedName>
    <definedName name="HTML_Control_3_1" hidden="1">{"'0808_월별 (2)'!$A$2:$T$28"}</definedName>
    <definedName name="HTML_Control_4" hidden="1">{"'0808_월별 (2)'!$A$2:$T$28"}</definedName>
    <definedName name="HTML_Control_4_1" hidden="1">{"'0808_월별 (2)'!$A$2:$T$28"}</definedName>
    <definedName name="HTML_Control_5" hidden="1">{"'0808_월별 (2)'!$A$2:$T$28"}</definedName>
    <definedName name="HTML_Control_5_1" hidden="1">{"'0808_월별 (2)'!$A$2:$T$28"}</definedName>
    <definedName name="HTML_Description" hidden="1">""</definedName>
    <definedName name="HTML_Email" hidden="1">""</definedName>
    <definedName name="HTML_Header" hidden="1">"Section1"</definedName>
    <definedName name="HTML_LastUpdate" hidden="1">"6/25/99"</definedName>
    <definedName name="HTML_LineAfter" hidden="1">FALSE</definedName>
    <definedName name="HTML_LineBefore" hidden="1">FALSE</definedName>
    <definedName name="HTML_Name" hidden="1">"Larry F. Liotino"</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FileMac" hidden="1">"Macintosh HD:HomePageStuff:New_Home_Page:datafile:ctryprem.html"</definedName>
    <definedName name="HTML_PathTemplate" hidden="1">"C:\BOTHomepage\DataBank\FinMarkets\InterestRate\swap2002_E.htm"</definedName>
    <definedName name="HTML_Title" hidden="1">"instr_2f_a"</definedName>
    <definedName name="HTML1_1" hidden="1">"'[cabvisdr.xls]G1 OA plan'!$A$6:$G$22"</definedName>
    <definedName name="HTML1_10" hidden="1">""</definedName>
    <definedName name="HTML1_11" hidden="1">1</definedName>
    <definedName name="HTML1_12" hidden="1">"C:\jb3\MyHTML.htm"</definedName>
    <definedName name="HTML1_2" hidden="1">1</definedName>
    <definedName name="HTML1_3" hidden="1">"cabvisdr"</definedName>
    <definedName name="HTML1_4" hidden="1">"G1 OA plan"</definedName>
    <definedName name="HTML1_5" hidden="1">""</definedName>
    <definedName name="HTML1_6" hidden="1">1</definedName>
    <definedName name="HTML1_7" hidden="1">-4146</definedName>
    <definedName name="HTML1_8" hidden="1">"12/01/99"</definedName>
    <definedName name="HTML1_9" hidden="1">"John Brogan"</definedName>
    <definedName name="HTML2_1" hidden="1">"[pmt1ppl.xls]Sheet1!$B$1:$F$217,$J$1:$J$217,$O$1:$O$217"</definedName>
    <definedName name="HTML2_10" hidden="1">"estratte@tre011.ve.ford.com"</definedName>
    <definedName name="HTML2_11" hidden="1">-4146</definedName>
    <definedName name="HTML2_12" hidden="1">"H:\www\pmt1ppl.html"</definedName>
    <definedName name="HTML2_2" hidden="1">1</definedName>
    <definedName name="HTML2_3" hidden="1">"U152 PMT#1 PPL"</definedName>
    <definedName name="HTML2_4" hidden="1">"U152 Front End &amp; Underbody"</definedName>
    <definedName name="HTML2_5" hidden="1">""</definedName>
    <definedName name="HTML2_6" hidden="1">1</definedName>
    <definedName name="HTML2_7" hidden="1">1</definedName>
    <definedName name="HTML2_8" hidden="1">"8/2/96"</definedName>
    <definedName name="HTML2_9" hidden="1">"Eric Stratten"</definedName>
    <definedName name="HTML3_1" hidden="1">"[pmt1ppl.xls]Sheet1!$A$1:$O$215"</definedName>
    <definedName name="HTML3_10" hidden="1">"estratte@tre011.ve.ford.com"</definedName>
    <definedName name="HTML3_11" hidden="1">-4146</definedName>
    <definedName name="HTML3_12" hidden="1">"H:\www\pmt1ppl.html"</definedName>
    <definedName name="HTML3_2" hidden="1">1</definedName>
    <definedName name="HTML3_3" hidden="1">"U152 PMT#1 PPL"</definedName>
    <definedName name="HTML3_4" hidden="1">"PMT#1 Program Parts List"</definedName>
    <definedName name="HTML3_5" hidden="1">""</definedName>
    <definedName name="HTML3_6" hidden="1">1</definedName>
    <definedName name="HTML3_7" hidden="1">1</definedName>
    <definedName name="HTML3_8" hidden="1">"8/26/96"</definedName>
    <definedName name="HTML3_9" hidden="1">"Eric Stratten"</definedName>
    <definedName name="htmlControl2" hidden="1">{"'표지'!$B$5"}</definedName>
    <definedName name="HTMLCount" hidden="1">1</definedName>
    <definedName name="htr" hidden="1">{#N/A,#N/A,TRUE,"Y생산";#N/A,#N/A,TRUE,"Y판매";#N/A,#N/A,TRUE,"Y총물량";#N/A,#N/A,TRUE,"Y능력";#N/A,#N/A,TRUE,"YKD"}</definedName>
    <definedName name="htyuityuiotio" hidden="1">{#N/A,#N/A,FALSE,"REPORT"}</definedName>
    <definedName name="HYP" hidden="1">#REF!</definedName>
    <definedName name="Hypertention" hidden="1">{#N/A,#N/A,FALSE,"Pharm";#N/A,#N/A,FALSE,"WWCM"}</definedName>
    <definedName name="hypo" hidden="1">{#N/A,#N/A,FALSE,"Pharm";#N/A,#N/A,FALSE,"WWCM"}</definedName>
    <definedName name="HYU" hidden="1">{#N/A,#N/A,FALSE,"유첨3-1";#N/A,#N/A,FALSE,"3-2";#N/A,#N/A,FALSE,"3-3";#N/A,#N/A,FALSE,"3-4";#N/A,#N/A,FALSE,"3-5";#N/A,#N/A,FALSE,"3-6";#N/A,#N/A,FALSE,"3-7";#N/A,#N/A,FALSE,"3-8"}</definedName>
    <definedName name="HZ_1" hidden="1">{"'0808_월별 (2)'!$A$2:$T$28"}</definedName>
    <definedName name="HZ_1_1" hidden="1">{"'0808_월별 (2)'!$A$2:$T$28"}</definedName>
    <definedName name="HZ_2" hidden="1">{"'0808_월별 (2)'!$A$2:$T$28"}</definedName>
    <definedName name="HZ_2_1" hidden="1">{"'0808_월별 (2)'!$A$2:$T$28"}</definedName>
    <definedName name="HZ_3" hidden="1">{"'0808_월별 (2)'!$A$2:$T$28"}</definedName>
    <definedName name="HZ_3_1" hidden="1">{"'0808_월별 (2)'!$A$2:$T$28"}</definedName>
    <definedName name="HZ_4" hidden="1">{"'0808_월별 (2)'!$A$2:$T$28"}</definedName>
    <definedName name="HZ_4_1" hidden="1">{"'0808_월별 (2)'!$A$2:$T$28"}</definedName>
    <definedName name="HZ_5" hidden="1">{"'0808_월별 (2)'!$A$2:$T$28"}</definedName>
    <definedName name="HZ_5_1" hidden="1">{"'0808_월별 (2)'!$A$2:$T$28"}</definedName>
    <definedName name="hzz" hidden="1">{"'0808_월별 (2)'!$A$2:$T$28"}</definedName>
    <definedName name="ic" hidden="1">{#N/A,#N/A,FALSE,"단축1";#N/A,#N/A,FALSE,"단축2";#N/A,#N/A,FALSE,"단축3";#N/A,#N/A,FALSE,"장축";#N/A,#N/A,FALSE,"4WD"}</definedName>
    <definedName name="ICP">"ICP#"</definedName>
    <definedName name="IIIII" hidden="1">{#N/A,#N/A,FALSE,"96 3월물량표";#N/A,#N/A,FALSE,"96 4월물량표";#N/A,#N/A,FALSE,"96 5월물량표"}</definedName>
    <definedName name="iiiiiiii" hidden="1">#REF!</definedName>
    <definedName name="IncTarget" hidden="1">{#N/A,#N/A,FALSE,"Assumptions";#N/A,#N/A,FALSE,"Volumes";#N/A,#N/A,FALSE,"Pricing";#N/A,#N/A,FALSE,"Variable Cost";#N/A,#N/A,FALSE,"Investment";#N/A,#N/A,FALSE,"Profitability";#N/A,#N/A,FALSE,"Business Comparison"}</definedName>
    <definedName name="Indeex" hidden="1">{#N/A,#N/A,FALSE,"Sheet3"}</definedName>
    <definedName name="Index" hidden="1">{#N/A,#N/A,FALSE,"Sheet3"}</definedName>
    <definedName name="IntroPrintArea" hidden="1">#REF!</definedName>
    <definedName name="Inves1" hidden="1">{#N/A,#N/A,FALSE,"Cover";#N/A,#N/A,FALSE,"Profits";#N/A,#N/A,FALSE,"ABS";#N/A,#N/A,FALSE,"TFLE Detail";#N/A,#N/A,FALSE,"TFLE Walk";#N/A,#N/A,FALSE,"Variable Cost";#N/A,#N/A,FALSE,"V.C. Walk"}</definedName>
    <definedName name="investment" hidden="1">{#N/A,#N/A,FALSE,"Profit Status";#N/A,#N/A,FALSE,"Invest";#N/A,#N/A,FALSE,"Revenue";#N/A,#N/A,FALSE,"Variable Cost";#N/A,#N/A,FALSE,"Options &amp; Series"}</definedName>
    <definedName name="investmentz" hidden="1">{#N/A,#N/A,FALSE,"Cover";#N/A,#N/A,FALSE,"Assumptions";#N/A,#N/A,FALSE,"Volumes";#N/A,#N/A,FALSE,"Pricing";#N/A,#N/A,FALSE,"TFLE Walk";#N/A,#N/A,FALSE,"Variable Cost";#N/A,#N/A,FALSE,"Sensitivity";#N/A,#N/A,FALSE,"Investment";#N/A,#N/A,FALSE,"Profitability"}</definedName>
    <definedName name="IP" hidden="1">{#N/A,#N/A,FALSE,"Pharm";#N/A,#N/A,FALSE,"WWCM"}</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RATE" hidden="1">"c2192"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ACT_EPS" hidden="1">"c1648"</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SURPRISE" hidden="1">"c1635"</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"001"</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43340.5610185185</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EPS_TYPE_THOM" hidden="1">"c5297"</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3000</definedName>
    <definedName name="IQ_YTDMONTH" hidden="1">130000</definedName>
    <definedName name="IQ_Z_SCORE" hidden="1">"c1339"</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5" hidden="1">"$C$16:$C$20"</definedName>
    <definedName name="IQRC24" hidden="1">"$C$25:$C$29"</definedName>
    <definedName name="IQRD15" hidden="1">"$D$16:$D$17"</definedName>
    <definedName name="IQRHoldingsGO11" hidden="1">#REF!</definedName>
    <definedName name="IQRHoldingsGO12" hidden="1">#REF!</definedName>
    <definedName name="IQRHoldingsGO13" hidden="1">#REF!</definedName>
    <definedName name="IQRHoldingsGO14" hidden="1">#REF!</definedName>
    <definedName name="IQRHoldingsGO19" hidden="1">#REF!</definedName>
    <definedName name="IQRHoldingsGO20" hidden="1">#REF!</definedName>
    <definedName name="IQRHoldingsGO21" hidden="1">#REF!</definedName>
    <definedName name="IQRHoldingsGO22" hidden="1">#REF!</definedName>
    <definedName name="IQRHoldingsGO23" hidden="1">#REF!</definedName>
    <definedName name="IQRHoldingsGO24" hidden="1">#REF!</definedName>
    <definedName name="IQRHoldingsGO25" hidden="1">#REF!</definedName>
    <definedName name="IQRHoldingsGO26" hidden="1">#REF!</definedName>
    <definedName name="IQRHoldingsGO27" hidden="1">#REF!</definedName>
    <definedName name="IQRHoldingsGO31" hidden="1">#REF!</definedName>
    <definedName name="IQRHoldingsGO32" hidden="1">#REF!</definedName>
    <definedName name="IQRHoldingsGO33" hidden="1">#REF!</definedName>
    <definedName name="IQRHoldingsGO34" hidden="1">#REF!</definedName>
    <definedName name="IQRHoldingsGO35" hidden="1">#REF!</definedName>
    <definedName name="IQRHoldingsGO36" hidden="1">#REF!</definedName>
    <definedName name="IQRHoldingsGO37" hidden="1">#REF!</definedName>
    <definedName name="IQRHoldingsGO39" hidden="1">#REF!</definedName>
    <definedName name="IQRHoldingsGO40" hidden="1">#REF!</definedName>
    <definedName name="IQRHoldingsGO41" hidden="1">#REF!</definedName>
    <definedName name="IQRHoldingsGO42" hidden="1">#REF!</definedName>
    <definedName name="IQRHoldingsGO43" hidden="1">#REF!</definedName>
    <definedName name="IQRHoldingsGO44" hidden="1">#REF!</definedName>
    <definedName name="IQRHoldingsGO45" hidden="1">#REF!</definedName>
    <definedName name="IQRHoldingsGO7" hidden="1">#REF!</definedName>
    <definedName name="IQRHoldingsGO8" hidden="1">#REF!</definedName>
    <definedName name="IQRHoldingsGO9" hidden="1">#REF!</definedName>
    <definedName name="IQRHoldingsGU11" hidden="1">#REF!</definedName>
    <definedName name="IQRHoldingsGU12" hidden="1">#REF!</definedName>
    <definedName name="IQRHoldingsGU13" hidden="1">#REF!</definedName>
    <definedName name="IQRHoldingsGU14" hidden="1">#REF!</definedName>
    <definedName name="IQRHoldingsGU19" hidden="1">#REF!</definedName>
    <definedName name="IQRHoldingsGU23" hidden="1">#REF!</definedName>
    <definedName name="IQRHoldingsGU24" hidden="1">#REF!</definedName>
    <definedName name="IQRHoldingsGU25" hidden="1">#REF!</definedName>
    <definedName name="IQRHoldingsGU26" hidden="1">#REF!</definedName>
    <definedName name="IQRHoldingsGU27" hidden="1">#REF!</definedName>
    <definedName name="IQRHoldingsGU28" hidden="1">#REF!</definedName>
    <definedName name="IQRHoldingsGU29" hidden="1">#REF!</definedName>
    <definedName name="IQRHoldingsGU32" hidden="1">#REF!</definedName>
    <definedName name="IQRHoldingsGU33" hidden="1">#REF!</definedName>
    <definedName name="IQRHoldingsGU34" hidden="1">#REF!</definedName>
    <definedName name="IQRHoldingsGU35" hidden="1">#REF!</definedName>
    <definedName name="IQRHoldingsGU36" hidden="1">#REF!</definedName>
    <definedName name="IQRHoldingsGU37" hidden="1">#REF!</definedName>
    <definedName name="IQRHoldingsGU38" hidden="1">#REF!</definedName>
    <definedName name="IQRHoldingsGU39" hidden="1">#REF!</definedName>
    <definedName name="IQRHoldingsGU40" hidden="1">#REF!</definedName>
    <definedName name="IQRHoldingsGU41" hidden="1">#REF!</definedName>
    <definedName name="IQRHoldingsGU42" hidden="1">#REF!</definedName>
    <definedName name="IQRHoldingsGU43" hidden="1">#REF!</definedName>
    <definedName name="IQRHoldingsGU44" hidden="1">#REF!</definedName>
    <definedName name="IQRHoldingsGU45" hidden="1">#REF!</definedName>
    <definedName name="IQRHoldingsGU46" hidden="1">#REF!</definedName>
    <definedName name="IQRHoldingsGU47" hidden="1">#REF!</definedName>
    <definedName name="IQRHoldingsGU48" hidden="1">#REF!</definedName>
    <definedName name="IQRHoldingsGU7" hidden="1">#REF!</definedName>
    <definedName name="IQRHoldingsGU8" hidden="1">#REF!</definedName>
    <definedName name="IQRHoldingsGU9" hidden="1">#REF!</definedName>
    <definedName name="IQRHoldingsGZ11" hidden="1">#REF!</definedName>
    <definedName name="IQRHoldingsGZ12" hidden="1">#REF!</definedName>
    <definedName name="IQRHoldingsGZ13" hidden="1">#REF!</definedName>
    <definedName name="IQRHoldingsGZ14" hidden="1">#REF!</definedName>
    <definedName name="IQRHoldingsGZ19" hidden="1">#REF!</definedName>
    <definedName name="IQRHoldingsGZ24" hidden="1">#REF!</definedName>
    <definedName name="IQRHoldingsGZ25" hidden="1">#REF!</definedName>
    <definedName name="IQRHoldingsGZ26" hidden="1">#REF!</definedName>
    <definedName name="IQRHoldingsGZ27" hidden="1">#REF!</definedName>
    <definedName name="IQRHoldingsGZ28" hidden="1">#REF!</definedName>
    <definedName name="IQRHoldingsGZ32" hidden="1">#REF!</definedName>
    <definedName name="IQRHoldingsGZ33" hidden="1">#REF!</definedName>
    <definedName name="IQRHoldingsGZ34" hidden="1">#REF!</definedName>
    <definedName name="IQRHoldingsGZ35" hidden="1">#REF!</definedName>
    <definedName name="IQRHoldingsGZ36" hidden="1">#REF!</definedName>
    <definedName name="IQRHoldingsGZ37" hidden="1">#REF!</definedName>
    <definedName name="IQRHoldingsGZ38" hidden="1">#REF!</definedName>
    <definedName name="IQRHoldingsGZ40" hidden="1">#REF!</definedName>
    <definedName name="IQRHoldingsGZ41" hidden="1">#REF!</definedName>
    <definedName name="IQRHoldingsGZ42" hidden="1">#REF!</definedName>
    <definedName name="IQRHoldingsGZ43" hidden="1">#REF!</definedName>
    <definedName name="IQRHoldingsGZ44" hidden="1">#REF!</definedName>
    <definedName name="IQRHoldingsGZ45" hidden="1">#REF!</definedName>
    <definedName name="IQRHoldingsGZ47" hidden="1">#REF!</definedName>
    <definedName name="IQRHoldingsGZ7" hidden="1">#REF!</definedName>
    <definedName name="IQRHoldingsGZ8" hidden="1">#REF!</definedName>
    <definedName name="IQRHoldingsGZ9" hidden="1">#REF!</definedName>
    <definedName name="IQRHoldingsHJ11" hidden="1">#REF!</definedName>
    <definedName name="IQRHoldingsHJ12" hidden="1">#REF!</definedName>
    <definedName name="IQRHoldingsHJ17" hidden="1">#REF!</definedName>
    <definedName name="IQRHoldingsHJ26" hidden="1">#REF!</definedName>
    <definedName name="IQRHoldingsHJ27" hidden="1">#REF!</definedName>
    <definedName name="IQRHoldingsHJ28" hidden="1">#REF!</definedName>
    <definedName name="IQRHoldingsHJ29" hidden="1">#REF!</definedName>
    <definedName name="IQRHoldingsHJ30" hidden="1">#REF!</definedName>
    <definedName name="IQRHoldingsHJ34" hidden="1">#REF!</definedName>
    <definedName name="IQRHoldingsHJ35" hidden="1">#REF!</definedName>
    <definedName name="IQRHoldingsHJ36" hidden="1">#REF!</definedName>
    <definedName name="IQRHoldingsHJ37" hidden="1">#REF!</definedName>
    <definedName name="IQRHoldingsHJ38" hidden="1">#REF!</definedName>
    <definedName name="IQRHoldingsHJ39" hidden="1">#REF!</definedName>
    <definedName name="IQRHoldingsHJ41" hidden="1">#REF!</definedName>
    <definedName name="IQRHoldingsHJ42" hidden="1">#REF!</definedName>
    <definedName name="IQRHoldingsHJ43" hidden="1">#REF!</definedName>
    <definedName name="IQRHoldingsHJ44" hidden="1">#REF!</definedName>
    <definedName name="IQRHoldingsHJ51" hidden="1">#REF!</definedName>
    <definedName name="IQRHoldingsHJ52" hidden="1">#REF!</definedName>
    <definedName name="IQRHoldingsHJ7" hidden="1">#REF!</definedName>
    <definedName name="IQRHoldingsHJ8" hidden="1">#REF!</definedName>
    <definedName name="IQRHoldingsHJ9" hidden="1">#REF!</definedName>
    <definedName name="IQRHoldingsHK10" hidden="1">#REF!</definedName>
    <definedName name="IQRHoldingsHK12" hidden="1">#REF!</definedName>
    <definedName name="IQRHoldingsHK17" hidden="1">#REF!</definedName>
    <definedName name="IQRHoldingsHK25" hidden="1">#REF!</definedName>
    <definedName name="IQRHoldingsHK26" hidden="1">#REF!</definedName>
    <definedName name="IQRHoldingsHK27" hidden="1">#REF!</definedName>
    <definedName name="IQRHoldingsHK28" hidden="1">#REF!</definedName>
    <definedName name="IQRHoldingsHK31" hidden="1">#REF!</definedName>
    <definedName name="IQRHoldingsHK32" hidden="1">#REF!</definedName>
    <definedName name="IQRHoldingsHK33" hidden="1">#REF!</definedName>
    <definedName name="IQRHoldingsHK34" hidden="1">#REF!</definedName>
    <definedName name="IQRHoldingsHK35" hidden="1">#REF!</definedName>
    <definedName name="IQRHoldingsHK36" hidden="1">#REF!</definedName>
    <definedName name="IQRHoldingsHK37" hidden="1">#REF!</definedName>
    <definedName name="IQRHoldingsHK38" hidden="1">#REF!</definedName>
    <definedName name="IQRHoldingsHK39" hidden="1">#REF!</definedName>
    <definedName name="IQRHoldingsHK40" hidden="1">#REF!</definedName>
    <definedName name="IQRHoldingsHK43" hidden="1">#REF!</definedName>
    <definedName name="IQRHoldingsHK45" hidden="1">#REF!</definedName>
    <definedName name="IQRHoldingsHK46" hidden="1">#REF!</definedName>
    <definedName name="IQRHoldingsHK47" hidden="1">#REF!</definedName>
    <definedName name="IQRHoldingsHK48" hidden="1">#REF!</definedName>
    <definedName name="IQRHoldingsHK7" hidden="1">#REF!</definedName>
    <definedName name="IQRHoldingsHK8" hidden="1">#REF!</definedName>
    <definedName name="IQRHoldingsHK9" hidden="1">#REF!</definedName>
    <definedName name="IQRHoldingsHL10" hidden="1">#REF!</definedName>
    <definedName name="IQRHoldingsHL12" hidden="1">#REF!</definedName>
    <definedName name="IQRHoldingsHL17" hidden="1">#REF!</definedName>
    <definedName name="IQRHoldingsHL23" hidden="1">#REF!</definedName>
    <definedName name="IQRHoldingsHL24" hidden="1">#REF!</definedName>
    <definedName name="IQRHoldingsHL25" hidden="1">#REF!</definedName>
    <definedName name="IQRHoldingsHL26" hidden="1">#REF!</definedName>
    <definedName name="IQRHoldingsHL29" hidden="1">#REF!</definedName>
    <definedName name="IQRHoldingsHL30" hidden="1">#REF!</definedName>
    <definedName name="IQRHoldingsHL31" hidden="1">#REF!</definedName>
    <definedName name="IQRHoldingsHL32" hidden="1">#REF!</definedName>
    <definedName name="IQRHoldingsHL33" hidden="1">#REF!</definedName>
    <definedName name="IQRHoldingsHL34" hidden="1">#REF!</definedName>
    <definedName name="IQRHoldingsHL35" hidden="1">#REF!</definedName>
    <definedName name="IQRHoldingsHL36" hidden="1">#REF!</definedName>
    <definedName name="IQRHoldingsHL39" hidden="1">#REF!</definedName>
    <definedName name="IQRHoldingsHL40" hidden="1">#REF!</definedName>
    <definedName name="IQRHoldingsHL41" hidden="1">#REF!</definedName>
    <definedName name="IQRHoldingsHL42" hidden="1">#REF!</definedName>
    <definedName name="IQRHoldingsHL43" hidden="1">#REF!</definedName>
    <definedName name="IQRHoldingsHL44" hidden="1">#REF!</definedName>
    <definedName name="IQRHoldingsHL45" hidden="1">#REF!</definedName>
    <definedName name="IQRHoldingsHL46" hidden="1">#REF!</definedName>
    <definedName name="IQRHoldingsHL7" hidden="1">#REF!</definedName>
    <definedName name="IQRHoldingsHL8" hidden="1">#REF!</definedName>
    <definedName name="IQRHoldingsHL9" hidden="1">#REF!</definedName>
    <definedName name="IQRMgmtBoardB20" hidden="1">#REF!</definedName>
    <definedName name="IQRMgmtBoardB6" hidden="1">#REF!</definedName>
    <definedName name="IQRMgmtBoardC20" hidden="1">#REF!</definedName>
    <definedName name="IQRMgmtBoardD6" hidden="1">#REF!</definedName>
    <definedName name="IQRMgmtBoardF6" hidden="1">#REF!</definedName>
    <definedName name="Irbe" hidden="1">{#N/A,#N/A,FALSE,"Pharm";#N/A,#N/A,FALSE,"WWCM"}</definedName>
    <definedName name="ISSUE22" hidden="1">{"'MNT'!$AE$4:$AN$34"}</definedName>
    <definedName name="it" hidden="1">{#N/A,#N/A,FALSE,"단축1";#N/A,#N/A,FALSE,"단축2";#N/A,#N/A,FALSE,"단축3";#N/A,#N/A,FALSE,"장축";#N/A,#N/A,FALSE,"4WD"}</definedName>
    <definedName name="ITEM" hidden="1">{#N/A,#N/A,FALSE,"단축1";#N/A,#N/A,FALSE,"단축2";#N/A,#N/A,FALSE,"단축3";#N/A,#N/A,FALSE,"장축";#N/A,#N/A,FALSE,"4WD"}</definedName>
    <definedName name="ITY" hidden="1">{#N/A,#N/A,FALSE,"단축1";#N/A,#N/A,FALSE,"단축2";#N/A,#N/A,FALSE,"단축3";#N/A,#N/A,FALSE,"장축";#N/A,#N/A,FALSE,"4WD"}</definedName>
    <definedName name="IY" hidden="1">{"'5'!$A$1:$BB$147"}</definedName>
    <definedName name="J" hidden="1">{#N/A,#N/A,FALSE,"Cover";#N/A,#N/A,FALSE,"Profits";#N/A,#N/A,FALSE,"ABS";#N/A,#N/A,FALSE,"TFLE Detail";#N/A,#N/A,FALSE,"TFLE Walk";#N/A,#N/A,FALSE,"Variable Cost";#N/A,#N/A,FALSE,"V.C. Walk"}</definedName>
    <definedName name="J6F" hidden="1">{#N/A,#N/A,TRUE,"RIDE";#N/A,#N/A,TRUE,"STEERING";#N/A,#N/A,TRUE,"HANDLING";#N/A,#N/A,TRUE,"BRAKING"}</definedName>
    <definedName name="Ja" hidden="1">{"LES",#N/A,FALSE,"PRINT";"TFI",#N/A,FALSE,"PRINT"}</definedName>
    <definedName name="Ja_2" hidden="1">{"LES",#N/A,FALSE,"PRINT";"TFI",#N/A,FALSE,"PRINT"}</definedName>
    <definedName name="Ja_3" hidden="1">{"LES",#N/A,FALSE,"PRINT";"TFI",#N/A,FALSE,"PRINT"}</definedName>
    <definedName name="Ja_4" hidden="1">{"LES",#N/A,FALSE,"PRINT";"TFI",#N/A,FALSE,"PRINT"}</definedName>
    <definedName name="Ja_5" hidden="1">{"LES",#N/A,FALSE,"PRINT";"TFI",#N/A,FALSE,"PRINT"}</definedName>
    <definedName name="jawefha" hidden="1">{"U137ExpPayFut",#N/A,FALSE,"Uw-Payroll"}</definedName>
    <definedName name="jdjdj" hidden="1">{#N/A,#N/A,FALSE,"Gruppe Gesamt 1. Änderung";#N/A,#N/A,FALSE,"ZWN 1. Änderung";#N/A,#N/A,FALSE,"GETRAG LB Ursprung";#N/A,#N/A,FALSE,"GETRAG Rosenbg. Ursprung ";#N/A,#N/A,FALSE,"GST  Ursprung";#N/A,#N/A,FALSE,"FZ 1. Änderung"}</definedName>
    <definedName name="jdtj" hidden="1">{"Presentation",#N/A,FALSE,"Feb96 - ALL"}</definedName>
    <definedName name="JFG" hidden="1">{#N/A,#N/A,FALSE,"단축1";#N/A,#N/A,FALSE,"단축2";#N/A,#N/A,FALSE,"단축3";#N/A,#N/A,FALSE,"장축";#N/A,#N/A,FALSE,"4WD"}</definedName>
    <definedName name="JGFH" hidden="1">{#N/A,#N/A,FALSE,"단축1";#N/A,#N/A,FALSE,"단축2";#N/A,#N/A,FALSE,"단축3";#N/A,#N/A,FALSE,"장축";#N/A,#N/A,FALSE,"4WD"}</definedName>
    <definedName name="JGHJ" hidden="1">{#N/A,#N/A,FALSE,"단축1";#N/A,#N/A,FALSE,"단축2";#N/A,#N/A,FALSE,"단축3";#N/A,#N/A,FALSE,"장축";#N/A,#N/A,FALSE,"4WD"}</definedName>
    <definedName name="JH" hidden="1">{#N/A,#N/A,TRUE,"Y생산";#N/A,#N/A,TRUE,"Y판매";#N/A,#N/A,TRUE,"Y총물량";#N/A,#N/A,TRUE,"Y능력";#N/A,#N/A,TRUE,"YKD"}</definedName>
    <definedName name="ｊｈ" hidden="1">{#N/A,#N/A,FALSE,"Cover Sheet";#N/A,#N/A,FALSE,"Ave_Trans_Shp_Abs";#N/A,#N/A,FALSE,"Det_Shp_Abs";#N/A,#N/A,FALSE,"Ave_Trans_Inst_Abs";#N/A,#N/A,FALSE,"Det_Ins_Abs";#N/A,#N/A,FALSE,"Ave_Trans_Tot_ABS";#N/A,#N/A,FALSE,"Det_Total_ABS"}</definedName>
    <definedName name="JHGHJF" hidden="1">{#N/A,#N/A,FALSE,"단축1";#N/A,#N/A,FALSE,"단축2";#N/A,#N/A,FALSE,"단축3";#N/A,#N/A,FALSE,"장축";#N/A,#N/A,FALSE,"4WD"}</definedName>
    <definedName name="Jig" hidden="1">{#N/A,#N/A,FALSE,"신규dep";#N/A,#N/A,FALSE,"신규dep-금형상각후";#N/A,#N/A,FALSE,"신규dep-연구비상각후";#N/A,#N/A,FALSE,"신규dep-기계,공구상각후"}</definedName>
    <definedName name="jinal" hidden="1">{#N/A,#N/A,FALSE,"Cash Flows";#N/A,#N/A,FALSE,"Fixed Assets";#N/A,#N/A,FALSE,"Balance Sheet";#N/A,#N/A,FALSE,"P &amp; L"}</definedName>
    <definedName name="JJ" hidden="1">{#N/A,#N/A,FALSE,"Profit Status";#N/A,#N/A,FALSE,"Invest";#N/A,#N/A,FALSE,"Revenue";#N/A,#N/A,FALSE,"Variable Cost";#N/A,#N/A,FALSE,"Options &amp; Series"}</definedName>
    <definedName name="JJJ" hidden="1">{#N/A,#N/A,TRUE,"Y생산";#N/A,#N/A,TRUE,"Y판매";#N/A,#N/A,TRUE,"Y총물량";#N/A,#N/A,TRUE,"Y능력";#N/A,#N/A,TRUE,"YKD"}</definedName>
    <definedName name="jjjj" hidden="1">#REF!</definedName>
    <definedName name="JK" hidden="1">{#N/A,#N/A,FALSE,"신규dep";#N/A,#N/A,FALSE,"신규dep-금형상각후";#N/A,#N/A,FALSE,"신규dep-연구비상각후";#N/A,#N/A,FALSE,"신규dep-기계,공구상각후"}</definedName>
    <definedName name="jkafdjla" hidden="1">#REF!</definedName>
    <definedName name="jkj" hidden="1">{"mult96",#N/A,FALSE,"PETCOMP";"est96",#N/A,FALSE,"PETCOMP";"mult95",#N/A,FALSE,"PETCOMP";"est95",#N/A,FALSE,"PETCOMP";"multltm",#N/A,FALSE,"PETCOMP";"resultltm",#N/A,FALSE,"PETCOMP"}</definedName>
    <definedName name="JL" hidden="1">{#N/A,#N/A,FALSE,"단축1";#N/A,#N/A,FALSE,"단축2";#N/A,#N/A,FALSE,"단축3";#N/A,#N/A,FALSE,"장축";#N/A,#N/A,FALSE,"4WD"}</definedName>
    <definedName name="jnajdn" hidden="1">{"Presentation",#N/A,FALSE,"Feb96 - ALL"}</definedName>
    <definedName name="jnajdn_1" hidden="1">{"Presentation",#N/A,FALSE,"Feb96 - ALL"}</definedName>
    <definedName name="jnajdn_2" hidden="1">{"Presentation",#N/A,FALSE,"Feb96 - ALL"}</definedName>
    <definedName name="joanp" hidden="1">#REF!</definedName>
    <definedName name="Joe" hidden="1">{#N/A,#N/A,FALSE,"Cover Page";#N/A,#N/A,FALSE,"Facing Page";#N/A,#N/A,FALSE,"Main Page";#N/A,#N/A,FALSE,"Risk-Adjusted";#N/A,#N/A,FALSE,"Profit Improvement"}</definedName>
    <definedName name="john" hidden="1">{"Fiesta Facer Page",#N/A,FALSE,"Q_C_S";"Fiesta Main Page",#N/A,FALSE,"V_L";"Fiesta 95BP Struct",#N/A,FALSE,"StructBP";"Fiesta Post 95BP Struct",#N/A,FALSE,"AdjStructBP"}</definedName>
    <definedName name="jsd" hidden="1">{#N/A,#N/A,FALSE,"SUMMARY REPORT"}</definedName>
    <definedName name="jtykty" hidden="1">{#N/A,#N/A,FALSE,"단축1";#N/A,#N/A,FALSE,"단축2";#N/A,#N/A,FALSE,"단축3";#N/A,#N/A,FALSE,"장축";#N/A,#N/A,FALSE,"4WD"}</definedName>
    <definedName name="judy" hidden="1">{#N/A,#N/A,FALSE,"Pharm";#N/A,#N/A,FALSE,"WWCM"}</definedName>
    <definedName name="judy1" hidden="1">{#N/A,#N/A,FALSE,"Pharm";#N/A,#N/A,FALSE,"WWCM"}</definedName>
    <definedName name="JULY0" hidden="1">#REF!</definedName>
    <definedName name="JWG" hidden="1">{#N/A,#N/A,FALSE,"단축1";#N/A,#N/A,FALSE,"단축2";#N/A,#N/A,FALSE,"단축3";#N/A,#N/A,FALSE,"장축";#N/A,#N/A,FALSE,"4WD"}</definedName>
    <definedName name="jyuk" hidden="1">{#N/A,#N/A,TRUE,"Y생산";#N/A,#N/A,TRUE,"Y판매";#N/A,#N/A,TRUE,"Y총물량";#N/A,#N/A,TRUE,"Y능력";#N/A,#N/A,TRUE,"YKD"}</definedName>
    <definedName name="jzjzu" hidden="1">{"Presentation",#N/A,FALSE,"Feb96 - ALL"}</definedName>
    <definedName name="k" hidden="1">{"EXPORT",#N/A,FALSE,"A8CONTENT"}</definedName>
    <definedName name="k_2" hidden="1">{"EXPORT",#N/A,FALSE,"A8CONTENT"}</definedName>
    <definedName name="k_3" hidden="1">{"EXPORT",#N/A,FALSE,"A8CONTENT"}</definedName>
    <definedName name="k_4" hidden="1">{"EXPORT",#N/A,FALSE,"A8CONTENT"}</definedName>
    <definedName name="k_5" hidden="1">{"EXPORT",#N/A,FALSE,"A8CONTENT"}</definedName>
    <definedName name="k1공장" hidden="1">{#N/A,#N/A,TRUE,"Y생산";#N/A,#N/A,TRUE,"Y판매";#N/A,#N/A,TRUE,"Y총물량";#N/A,#N/A,TRUE,"Y능력";#N/A,#N/A,TRUE,"YKD"}</definedName>
    <definedName name="KBNM" hidden="1">{#N/A,#N/A,FALSE,"단축1";#N/A,#N/A,FALSE,"단축2";#N/A,#N/A,FALSE,"단축3";#N/A,#N/A,FALSE,"장축";#N/A,#N/A,FALSE,"4WD"}</definedName>
    <definedName name="KFK" hidden="1">{#N/A,#N/A,FALSE,"96 3월물량표";#N/A,#N/A,FALSE,"96 4월물량표";#N/A,#N/A,FALSE,"96 5월물량표"}</definedName>
    <definedName name="KHMFD" hidden="1">#REF!</definedName>
    <definedName name="KIA" hidden="1">{#N/A,#N/A,FALSE,"단축1";#N/A,#N/A,FALSE,"단축2";#N/A,#N/A,FALSE,"단축3";#N/A,#N/A,FALSE,"장축";#N/A,#N/A,FALSE,"4WD"}</definedName>
    <definedName name="KIM" hidden="1">{#N/A,#N/A,FALSE,"단축1";#N/A,#N/A,FALSE,"단축2";#N/A,#N/A,FALSE,"단축3";#N/A,#N/A,FALSE,"장축";#N/A,#N/A,FALSE,"4WD"}</definedName>
    <definedName name="kjas" hidden="1">{#N/A,#N/A,FALSE,"Cover Page";#N/A,#N/A,FALSE,"Facing Page";#N/A,#N/A,FALSE,"Main Page";#N/A,#N/A,FALSE,"Risk-Adjusted";#N/A,#N/A,FALSE,"Profit Improvement"}</definedName>
    <definedName name="KJHM" hidden="1">{#N/A,#N/A,FALSE,"단축1";#N/A,#N/A,FALSE,"단축2";#N/A,#N/A,FALSE,"단축3";#N/A,#N/A,FALSE,"장축";#N/A,#N/A,FALSE,"4WD"}</definedName>
    <definedName name="KJLH" hidden="1">{#N/A,#N/A,FALSE,"인원";#N/A,#N/A,FALSE,"비용2";#N/A,#N/A,FALSE,"비용1";#N/A,#N/A,FALSE,"비용";#N/A,#N/A,FALSE,"보증2";#N/A,#N/A,FALSE,"보증1";#N/A,#N/A,FALSE,"보증";#N/A,#N/A,FALSE,"손익1";#N/A,#N/A,FALSE,"손익";#N/A,#N/A,FALSE,"부서별매출";#N/A,#N/A,FALSE,"매출"}</definedName>
    <definedName name="kk" hidden="1">{"Presentation",#N/A,FALSE,"Feb96 - ALL"}</definedName>
    <definedName name="kkk" hidden="1">{#N/A,#N/A,FALSE,"단축1";#N/A,#N/A,FALSE,"단축2";#N/A,#N/A,FALSE,"단축3";#N/A,#N/A,FALSE,"장축";#N/A,#N/A,FALSE,"4WD"}</definedName>
    <definedName name="kkk_1" hidden="1">{#N/A,#N/A,TRUE,"양식5";#N/A,#N/A,TRUE,"양식1_2_2";#N/A,#N/A,TRUE,"양식1_1_2";#N/A,#N/A,TRUE,"양식2";#N/A,#N/A,TRUE,"양식4";#N/A,#N/A,TRUE,"양식3";#N/A,#N/A,TRUE,"양식6";#N/A,#N/A,TRUE,"양식7";#N/A,#N/A,TRUE,"양식10";#N/A,#N/A,TRUE,"양식11";#N/A,#N/A,TRUE,"양식12";#N/A,#N/A,TRUE,"양식13_1_2";#N/A,#N/A,TRUE,"양식13_2_2";#N/A,#N/A,TRUE,"양식14"}</definedName>
    <definedName name="kkk_1_1" hidden="1">{#N/A,#N/A,TRUE,"양식5";#N/A,#N/A,TRUE,"양식1_2_2";#N/A,#N/A,TRUE,"양식1_1_2";#N/A,#N/A,TRUE,"양식2";#N/A,#N/A,TRUE,"양식4";#N/A,#N/A,TRUE,"양식3";#N/A,#N/A,TRUE,"양식6";#N/A,#N/A,TRUE,"양식7";#N/A,#N/A,TRUE,"양식10";#N/A,#N/A,TRUE,"양식11";#N/A,#N/A,TRUE,"양식12";#N/A,#N/A,TRUE,"양식13_1_2";#N/A,#N/A,TRUE,"양식13_2_2";#N/A,#N/A,TRUE,"양식14"}</definedName>
    <definedName name="kkk_2" hidden="1">{#N/A,#N/A,TRUE,"양식5";#N/A,#N/A,TRUE,"양식1_2_2";#N/A,#N/A,TRUE,"양식1_1_2";#N/A,#N/A,TRUE,"양식2";#N/A,#N/A,TRUE,"양식4";#N/A,#N/A,TRUE,"양식3";#N/A,#N/A,TRUE,"양식6";#N/A,#N/A,TRUE,"양식7";#N/A,#N/A,TRUE,"양식10";#N/A,#N/A,TRUE,"양식11";#N/A,#N/A,TRUE,"양식12";#N/A,#N/A,TRUE,"양식13_1_2";#N/A,#N/A,TRUE,"양식13_2_2";#N/A,#N/A,TRUE,"양식14"}</definedName>
    <definedName name="kkk_2_1" hidden="1">{#N/A,#N/A,TRUE,"양식5";#N/A,#N/A,TRUE,"양식1_2_2";#N/A,#N/A,TRUE,"양식1_1_2";#N/A,#N/A,TRUE,"양식2";#N/A,#N/A,TRUE,"양식4";#N/A,#N/A,TRUE,"양식3";#N/A,#N/A,TRUE,"양식6";#N/A,#N/A,TRUE,"양식7";#N/A,#N/A,TRUE,"양식10";#N/A,#N/A,TRUE,"양식11";#N/A,#N/A,TRUE,"양식12";#N/A,#N/A,TRUE,"양식13_1_2";#N/A,#N/A,TRUE,"양식13_2_2";#N/A,#N/A,TRUE,"양식14"}</definedName>
    <definedName name="kkk_3" hidden="1">{#N/A,#N/A,TRUE,"양식5";#N/A,#N/A,TRUE,"양식1_2_2";#N/A,#N/A,TRUE,"양식1_1_2";#N/A,#N/A,TRUE,"양식2";#N/A,#N/A,TRUE,"양식4";#N/A,#N/A,TRUE,"양식3";#N/A,#N/A,TRUE,"양식6";#N/A,#N/A,TRUE,"양식7";#N/A,#N/A,TRUE,"양식10";#N/A,#N/A,TRUE,"양식11";#N/A,#N/A,TRUE,"양식12";#N/A,#N/A,TRUE,"양식13_1_2";#N/A,#N/A,TRUE,"양식13_2_2";#N/A,#N/A,TRUE,"양식14"}</definedName>
    <definedName name="kkk_3_1" hidden="1">{#N/A,#N/A,TRUE,"양식5";#N/A,#N/A,TRUE,"양식1_2_2";#N/A,#N/A,TRUE,"양식1_1_2";#N/A,#N/A,TRUE,"양식2";#N/A,#N/A,TRUE,"양식4";#N/A,#N/A,TRUE,"양식3";#N/A,#N/A,TRUE,"양식6";#N/A,#N/A,TRUE,"양식7";#N/A,#N/A,TRUE,"양식10";#N/A,#N/A,TRUE,"양식11";#N/A,#N/A,TRUE,"양식12";#N/A,#N/A,TRUE,"양식13_1_2";#N/A,#N/A,TRUE,"양식13_2_2";#N/A,#N/A,TRUE,"양식14"}</definedName>
    <definedName name="kkk_4" hidden="1">{#N/A,#N/A,TRUE,"양식5";#N/A,#N/A,TRUE,"양식1_2_2";#N/A,#N/A,TRUE,"양식1_1_2";#N/A,#N/A,TRUE,"양식2";#N/A,#N/A,TRUE,"양식4";#N/A,#N/A,TRUE,"양식3";#N/A,#N/A,TRUE,"양식6";#N/A,#N/A,TRUE,"양식7";#N/A,#N/A,TRUE,"양식10";#N/A,#N/A,TRUE,"양식11";#N/A,#N/A,TRUE,"양식12";#N/A,#N/A,TRUE,"양식13_1_2";#N/A,#N/A,TRUE,"양식13_2_2";#N/A,#N/A,TRUE,"양식14"}</definedName>
    <definedName name="kkk_4_1" hidden="1">{#N/A,#N/A,TRUE,"양식5";#N/A,#N/A,TRUE,"양식1_2_2";#N/A,#N/A,TRUE,"양식1_1_2";#N/A,#N/A,TRUE,"양식2";#N/A,#N/A,TRUE,"양식4";#N/A,#N/A,TRUE,"양식3";#N/A,#N/A,TRUE,"양식6";#N/A,#N/A,TRUE,"양식7";#N/A,#N/A,TRUE,"양식10";#N/A,#N/A,TRUE,"양식11";#N/A,#N/A,TRUE,"양식12";#N/A,#N/A,TRUE,"양식13_1_2";#N/A,#N/A,TRUE,"양식13_2_2";#N/A,#N/A,TRUE,"양식14"}</definedName>
    <definedName name="kkk_5" hidden="1">{#N/A,#N/A,TRUE,"양식5";#N/A,#N/A,TRUE,"양식1_2_2";#N/A,#N/A,TRUE,"양식1_1_2";#N/A,#N/A,TRUE,"양식2";#N/A,#N/A,TRUE,"양식4";#N/A,#N/A,TRUE,"양식3";#N/A,#N/A,TRUE,"양식6";#N/A,#N/A,TRUE,"양식7";#N/A,#N/A,TRUE,"양식10";#N/A,#N/A,TRUE,"양식11";#N/A,#N/A,TRUE,"양식12";#N/A,#N/A,TRUE,"양식13_1_2";#N/A,#N/A,TRUE,"양식13_2_2";#N/A,#N/A,TRUE,"양식14"}</definedName>
    <definedName name="kkk_5_1" hidden="1">{#N/A,#N/A,TRUE,"양식5";#N/A,#N/A,TRUE,"양식1_2_2";#N/A,#N/A,TRUE,"양식1_1_2";#N/A,#N/A,TRUE,"양식2";#N/A,#N/A,TRUE,"양식4";#N/A,#N/A,TRUE,"양식3";#N/A,#N/A,TRUE,"양식6";#N/A,#N/A,TRUE,"양식7";#N/A,#N/A,TRUE,"양식10";#N/A,#N/A,TRUE,"양식11";#N/A,#N/A,TRUE,"양식12";#N/A,#N/A,TRUE,"양식13_1_2";#N/A,#N/A,TRUE,"양식13_2_2";#N/A,#N/A,TRUE,"양식14"}</definedName>
    <definedName name="KKKK" hidden="1">{#N/A,#N/A,FALSE,"96 3월물량표";#N/A,#N/A,FALSE,"96 4월물량표";#N/A,#N/A,FALSE,"96 5월물량표"}</definedName>
    <definedName name="kkkkk" hidden="1">{#N/A,#N/A,FALSE,"단축1";#N/A,#N/A,FALSE,"단축2";#N/A,#N/A,FALSE,"단축3";#N/A,#N/A,FALSE,"장축";#N/A,#N/A,FALSE,"4WD"}</definedName>
    <definedName name="kkkkkk" hidden="1">{#N/A,#N/A,TRUE,"Y생산";#N/A,#N/A,TRUE,"Y판매";#N/A,#N/A,TRUE,"Y총물량";#N/A,#N/A,TRUE,"Y능력";#N/A,#N/A,TRUE,"YKD"}</definedName>
    <definedName name="kmc매출" hidden="1">{#N/A,#N/A,FALSE,"ROW DATA"}</definedName>
    <definedName name="KMC매출1" hidden="1">{#N/A,#N/A,FALSE,"ROW DATA"}</definedName>
    <definedName name="Kopie" hidden="1">{"Presentation",#N/A,FALSE,"Feb96 - ALL"}</definedName>
    <definedName name="Kopie_1" hidden="1">{"Presentation",#N/A,FALSE,"Feb96 - ALL"}</definedName>
    <definedName name="Kopie_2" hidden="1">{"Presentation",#N/A,FALSE,"Feb96 - ALL"}</definedName>
    <definedName name="Kopie_2_1" hidden="1">{"Presentation",#N/A,FALSE,"Feb96 - ALL"}</definedName>
    <definedName name="Kopie_3" hidden="1">{"Presentation",#N/A,FALSE,"Feb96 - ALL"}</definedName>
    <definedName name="Kopie_3_1" hidden="1">{"Presentation",#N/A,FALSE,"Feb96 - ALL"}</definedName>
    <definedName name="Kopie_4" hidden="1">{"Presentation",#N/A,FALSE,"Feb96 - ALL"}</definedName>
    <definedName name="kosa" hidden="1">{#N/A,#N/A,FALSE,"title";#N/A,#N/A,FALSE,"AVE VEH";#N/A,#N/A,FALSE,"METRICS";#N/A,#N/A,FALSE,"Prod Cost";#N/A,#N/A,FALSE,"CMTOTCST";#N/A,#N/A,FALSE,"Roadmap";#N/A,#N/A,FALSE,"Road Text";#N/A,#N/A,FALSE,"VAVE";#N/A,#N/A,FALSE,"Warranty #1";#N/A,#N/A,FALSE,"Warranty #2";#N/A,#N/A,FALSE,"Purchasing"}</definedName>
    <definedName name="kosa_1" hidden="1">{#N/A,#N/A,FALSE,"title";#N/A,#N/A,FALSE,"AVE VEH";#N/A,#N/A,FALSE,"METRICS";#N/A,#N/A,FALSE,"Prod Cost";#N/A,#N/A,FALSE,"CMTOTCST";#N/A,#N/A,FALSE,"Roadmap";#N/A,#N/A,FALSE,"Road Text";#N/A,#N/A,FALSE,"VAVE";#N/A,#N/A,FALSE,"Warranty #1";#N/A,#N/A,FALSE,"Warranty #2";#N/A,#N/A,FALSE,"Purchasing"}</definedName>
    <definedName name="KP" hidden="1">{"pep204a",#N/A,FALSE,"tpepsum4a";"pep205a",#N/A,FALSE,"tpepsum4a";"wpep204a",#N/A,FALSE,"tpepsum4a";"wpep205a",#N/A,FALSE,"tpepsum4a"}</definedName>
    <definedName name="KPC" hidden="1">{#N/A,#N/A,FALSE,"단축1";#N/A,#N/A,FALSE,"단축2";#N/A,#N/A,FALSE,"단축3";#N/A,#N/A,FALSE,"장축";#N/A,#N/A,FALSE,"4WD"}</definedName>
    <definedName name="KPC전개방향" hidden="1">{#N/A,#N/A,FALSE,"단축1";#N/A,#N/A,FALSE,"단축2";#N/A,#N/A,FALSE,"단축3";#N/A,#N/A,FALSE,"장축";#N/A,#N/A,FALSE,"4WD"}</definedName>
    <definedName name="kslkjkjlkjd" hidden="1">{#N/A,#N/A,FALSE,"REPORT"}</definedName>
    <definedName name="KTO_BILGUV_1" hidden="1">#REF!,#REF!,#REF!,#REF!,#REF!,#REF!,#REF!,#REF!,#REF!,#REF!,#REF!,#REF!,#REF!,#REF!,#REF!,#REF!,#REF!,#REF!,#REF!,#REF!,#REF!,#REF!,#REF!,#REF!,#REF!,#REF!,#REF!,#REF!,#REF!,#REF!</definedName>
    <definedName name="KTO_BILGUV_2" hidden="1">#REF!,#REF!,#REF!,#REF!,#REF!,#REF!,#REF!,#REF!,#REF!,#REF!,#REF!,#REF!,#REF!,#REF!,#REF!,#REF!,#REF!,#REF!,#REF!,#REF!,#REF!,#REF!,#REF!,#REF!,#REF!,#REF!,#REF!,#REF!,#REF!,#REF!,#REF!,#REF!</definedName>
    <definedName name="KTO_BILGUV_3" hidden="1">#REF!,#REF!,#REF!,#REF!,#REF!,#REF!,#REF!,#REF!,#REF!,#REF!,#REF!,#REF!,#REF!,#REF!,#REF!,#REF!,#REF!,#REF!,#REF!,#REF!,#REF!,#REF!,#REF!,#REF!,#REF!,#REF!,#REF!</definedName>
    <definedName name="KTO_BILGUV_4" hidden="1">#REF!,#REF!,#REF!,#REF!</definedName>
    <definedName name="KTO_H" hidden="1">#REF!,#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KTO_S" hidden="1">#REF!,#REF!,#REF!,#REF!,#REF!,#REF!,#REF!,#REF!,#REF!,#REF!,#REF!,#REF!,#REF!,#REF!,#REF!,#REF!,#REF!,#REF!,#REF!,#REF!,#REF!,#REF!,#REF!,#REF!,#REF!,#REF!,#REF!,#REF!,#REF!,#REF!,#REF!,#REF!,#REF!,#REF!,#REF!,#REF!,#REF!,#REF!,#REF!,#REF!,#REF!,#REF!,#REF!,#REF!,#REF!,#REF!,#REF!,#REF!,#REF!,#REF!,#REF!,#REF!,#REF!,#REF!,#REF!,#REF!,#REF!,#REF!,#REF!</definedName>
    <definedName name="KTY" hidden="1">{#N/A,#N/A,FALSE,"단축1";#N/A,#N/A,FALSE,"단축2";#N/A,#N/A,FALSE,"단축3";#N/A,#N/A,FALSE,"장축";#N/A,#N/A,FALSE,"4WD"}</definedName>
    <definedName name="KU" hidden="1">{#N/A,#N/A,TRUE,"Y생산";#N/A,#N/A,TRUE,"Y판매";#N/A,#N/A,TRUE,"Y총물량";#N/A,#N/A,TRUE,"Y능력";#N/A,#N/A,TRUE,"YKD"}</definedName>
    <definedName name="l" hidden="1">{#N/A,#N/A,TRUE,"Erfassungsbogen";#N/A,#N/A,TRUE,"Auswertung PA";#N/A,#N/A,TRUE,"Auswertung BB";#N/A,#N/A,TRUE,"Auswertung BE";#N/A,#N/A,TRUE,"Auswertung DSR";#N/A,#N/A,TRUE,"Auswertung KS";#N/A,#N/A,TRUE,"Auswertung CS";#N/A,#N/A,TRUE,"Auswertung Gesamt";#N/A,#N/A,TRUE,"Proz.v. Ges.ums-aufw-ertrag";#N/A,#N/A,TRUE,"Leistungen pro Mitarbeiter"}</definedName>
    <definedName name="l_1" hidden="1">{#N/A,#N/A,TRUE,"Erfassungsbogen";#N/A,#N/A,TRUE,"Auswertung PA";#N/A,#N/A,TRUE,"Auswertung BB";#N/A,#N/A,TRUE,"Auswertung BE";#N/A,#N/A,TRUE,"Auswertung DSR";#N/A,#N/A,TRUE,"Auswertung KS";#N/A,#N/A,TRUE,"Auswertung CS";#N/A,#N/A,TRUE,"Auswertung Gesamt";#N/A,#N/A,TRUE,"Proz.v. Ges.ums-aufw-ertrag";#N/A,#N/A,TRUE,"Leistungen pro Mitarbeiter"}</definedName>
    <definedName name="l_2" hidden="1">{#N/A,#N/A,TRUE,"Erfassungsbogen";#N/A,#N/A,TRUE,"Auswertung PA";#N/A,#N/A,TRUE,"Auswertung BB";#N/A,#N/A,TRUE,"Auswertung BE";#N/A,#N/A,TRUE,"Auswertung DSR";#N/A,#N/A,TRUE,"Auswertung KS";#N/A,#N/A,TRUE,"Auswertung CS";#N/A,#N/A,TRUE,"Auswertung Gesamt";#N/A,#N/A,TRUE,"Proz.v. Ges.ums-aufw-ertrag";#N/A,#N/A,TRUE,"Leistungen pro Mitarbeiter"}</definedName>
    <definedName name="L3Date">#REF!</definedName>
    <definedName name="L4Date">#REF!</definedName>
    <definedName name="ldkdkl" hidden="1">{#N/A,#N/A,FALSE,"단축1";#N/A,#N/A,FALSE,"단축2";#N/A,#N/A,FALSE,"단축3";#N/A,#N/A,FALSE,"장축";#N/A,#N/A,FALSE,"4WD"}</definedName>
    <definedName name="LHKJG" hidden="1">{#N/A,#N/A,FALSE,"단축1";#N/A,#N/A,FALSE,"단축2";#N/A,#N/A,FALSE,"단축3";#N/A,#N/A,FALSE,"장축";#N/A,#N/A,FALSE,"4WD"}</definedName>
    <definedName name="limcount" hidden="1">1</definedName>
    <definedName name="LINE검토2" hidden="1">{#N/A,#N/A,TRUE,"Y생산";#N/A,#N/A,TRUE,"Y판매";#N/A,#N/A,TRUE,"Y총물량";#N/A,#N/A,TRUE,"Y능력";#N/A,#N/A,TRUE,"YKD"}</definedName>
    <definedName name="lkdjsfl" hidden="1">{"'표지'!$B$5"}</definedName>
    <definedName name="LKHGFDF" hidden="1">{#N/A,#N/A,TRUE,"Y생산";#N/A,#N/A,TRUE,"Y판매";#N/A,#N/A,TRUE,"Y총물량";#N/A,#N/A,TRUE,"Y능력";#N/A,#N/A,TRUE,"YKD"}</definedName>
    <definedName name="lkj" hidden="1">{#N/A,#N/A,FALSE,"Gruppe Gesamt 1. Änderung";#N/A,#N/A,FALSE,"ZWN 1. Änderung";#N/A,#N/A,FALSE,"GETRAG LB Ursprung";#N/A,#N/A,FALSE,"GETRAG Rosenbg. Ursprung ";#N/A,#N/A,FALSE,"GST  Ursprung";#N/A,#N/A,FALSE,"FZ 1. Änderung"}</definedName>
    <definedName name="lkj_1" hidden="1">{#N/A,#N/A,FALSE,"Gruppe Gesamt 1. Änderung";#N/A,#N/A,FALSE,"ZWN 1. Änderung";#N/A,#N/A,FALSE,"GETRAG LB Ursprung";#N/A,#N/A,FALSE,"GETRAG Rosenbg. Ursprung ";#N/A,#N/A,FALSE,"GST  Ursprung";#N/A,#N/A,FALSE,"FZ 1. Änderung"}</definedName>
    <definedName name="lklklklk" hidden="1">{"Presentation",#N/A,FALSE,"Feb96 - ALL"}</definedName>
    <definedName name="lklklklk_1" hidden="1">{"Presentation",#N/A,FALSE,"Feb96 - ALL"}</definedName>
    <definedName name="lklklklk_2" hidden="1">{"Presentation",#N/A,FALSE,"Feb96 - ALL"}</definedName>
    <definedName name="lklklklk_2_1" hidden="1">{"Presentation",#N/A,FALSE,"Feb96 - ALL"}</definedName>
    <definedName name="lklklklk_3" hidden="1">{"Presentation",#N/A,FALSE,"Feb96 - ALL"}</definedName>
    <definedName name="lklklklk_3_1" hidden="1">{"Presentation",#N/A,FALSE,"Feb96 - ALL"}</definedName>
    <definedName name="lklklklk_4" hidden="1">{"Presentation",#N/A,FALSE,"Feb96 - ALL"}</definedName>
    <definedName name="lkutiz" hidden="1">#REF!</definedName>
    <definedName name="lll" hidden="1">{#N/A,#N/A,FALSE,"단축1";#N/A,#N/A,FALSE,"단축2";#N/A,#N/A,FALSE,"단축3";#N/A,#N/A,FALSE,"장축";#N/A,#N/A,FALSE,"4WD"}</definedName>
    <definedName name="LMG" hidden="1">{#N/A,#N/A,TRUE,"Y생산";#N/A,#N/A,TRUE,"Y판매";#N/A,#N/A,TRUE,"Y총물량";#N/A,#N/A,TRUE,"Y능력";#N/A,#N/A,TRUE,"YKD"}</definedName>
    <definedName name="lo" hidden="1">{#N/A,#N/A,FALSE,"SUMMARY REPORT"}</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e" hidden="1">{"'5'!$A$1:$BB$147"}</definedName>
    <definedName name="loesch" hidden="1">{#N/A,#N/A,FALSE,"Cover Sheet";#N/A,#N/A,FALSE,"Ave_Trans_Shp_Abs";#N/A,#N/A,FALSE,"Det_Shp_Abs";#N/A,#N/A,FALSE,"Ave_Trans_Inst_Abs";#N/A,#N/A,FALSE,"Det_Ins_Abs";#N/A,#N/A,FALSE,"Ave_Trans_Tot_ABS";#N/A,#N/A,FALSE,"Det_Total_ABS"}</definedName>
    <definedName name="LOPM" hidden="1">{#N/A,#N/A,FALSE,"정공"}</definedName>
    <definedName name="LOSS" hidden="1">{#N/A,#N/A,FALSE,"KMC최종회의(7월) 자료"}</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LUP" hidden="1">#REF!</definedName>
    <definedName name="m" hidden="1">{"Presentation",#N/A,FALSE,"Feb96 - ALL"}</definedName>
    <definedName name="m_1" hidden="1">{"Presentation",#N/A,FALSE,"Feb96 - ALL"}</definedName>
    <definedName name="m_2" hidden="1">{"Presentation",#N/A,FALSE,"Feb96 - ALL"}</definedName>
    <definedName name="m_2_1" hidden="1">{"Presentation",#N/A,FALSE,"Feb96 - ALL"}</definedName>
    <definedName name="m_3" hidden="1">{"Presentation",#N/A,FALSE,"Feb96 - ALL"}</definedName>
    <definedName name="m_3_1" hidden="1">{"Presentation",#N/A,FALSE,"Feb96 - ALL"}</definedName>
    <definedName name="m_4" hidden="1">{"Presentation",#N/A,FALSE,"Feb96 - ALL"}</definedName>
    <definedName name="Mapping" hidden="1">{"Presentation",#N/A,FALSE,"Feb96 - ALL"}</definedName>
    <definedName name="marty" hidden="1">{#N/A,#N/A,TRUE,"Engine";#N/A,#N/A,TRUE,"Trans 5R55N";#N/A,#N/A,TRUE,"Manual Trans";#N/A,#N/A,TRUE,"DS and Axle";#N/A,#N/A,TRUE,"PTSSE";#N/A,#N/A,TRUE,"Summary"}</definedName>
    <definedName name="mb_inputLocation" hidden="1">#REF!</definedName>
    <definedName name="MCV.WEEKLY" hidden="1">{#N/A,#N/A,FALSE,"SUMMARY REPORT"}</definedName>
    <definedName name="mfgmfg" hidden="1">{"PANEL1",#N/A,FALSE,"-2+14"}</definedName>
    <definedName name="MH향상" hidden="1">{#N/A,#N/A,TRUE,"Y생산";#N/A,#N/A,TRUE,"Y판매";#N/A,#N/A,TRUE,"Y총물량";#N/A,#N/A,TRUE,"Y능력";#N/A,#N/A,TRUE,"YKD"}</definedName>
    <definedName name="Michael" hidden="1">{#N/A,#N/A,FALSE,"Profit Status";#N/A,#N/A,FALSE,"Invest";#N/A,#N/A,FALSE,"Revenue";#N/A,#N/A,FALSE,"Variable Cost";#N/A,#N/A,FALSE,"Options &amp; Series"}</definedName>
    <definedName name="min" hidden="1">{#N/A,#N/A,FALSE,"REPORT"}</definedName>
    <definedName name="mina" hidden="1">{#N/A,#N/A,FALSE,"REPORT"}</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c" hidden="1">{#N/A,#N/A,TRUE,"Engine";#N/A,#N/A,TRUE,"Trans 5R55N";#N/A,#N/A,TRUE,"Manual Trans";#N/A,#N/A,TRUE,"DS and Axle";#N/A,#N/A,TRUE,"PTSSE";#N/A,#N/A,TRUE,"Summary"}</definedName>
    <definedName name="misc2" hidden="1">{#N/A,#N/A,TRUE,"Engine";#N/A,#N/A,TRUE,"Trans 5R55N";#N/A,#N/A,TRUE,"Manual Trans";#N/A,#N/A,TRUE,"DS and Axle";#N/A,#N/A,TRUE,"PTSSE";#N/A,#N/A,TRUE,"Summary"}</definedName>
    <definedName name="mito" hidden="1">{#N/A,#N/A,FALSE,"India - 3f";#N/A,#N/A,FALSE,"India - 3";#N/A,#N/A,FALSE,"India - 4f";#N/A,#N/A,FALSE,"India - 4";#N/A,#N/A,FALSE,"Retail Spider"}</definedName>
    <definedName name="miyazu비교" hidden="1">{#N/A,#N/A,FALSE,"신규dep";#N/A,#N/A,FALSE,"신규dep-금형상각후";#N/A,#N/A,FALSE,"신규dep-연구비상각후";#N/A,#N/A,FALSE,"신규dep-기계,공구상각후"}</definedName>
    <definedName name="mkk" hidden="1">{#N/A,#N/A,FALSE,"431"}</definedName>
    <definedName name="mlw" hidden="1">{#N/A,#N/A,FALSE,"Pharm";#N/A,#N/A,FALSE,"WWCM"}</definedName>
    <definedName name="mm" hidden="1">{"Presentation",#N/A,FALSE,"Feb96 - ALL"}</definedName>
    <definedName name="mm_1" hidden="1">{"Presentation",#N/A,FALSE,"Feb96 - ALL"}</definedName>
    <definedName name="mm_2" hidden="1">{"Presentation",#N/A,FALSE,"Feb96 - ALL"}</definedName>
    <definedName name="mm_2_1" hidden="1">{"Presentation",#N/A,FALSE,"Feb96 - ALL"}</definedName>
    <definedName name="mm_3" hidden="1">{"Presentation",#N/A,FALSE,"Feb96 - ALL"}</definedName>
    <definedName name="mm_3_1" hidden="1">{"Presentation",#N/A,FALSE,"Feb96 - ALL"}</definedName>
    <definedName name="mm_4" hidden="1">{"Presentation",#N/A,FALSE,"Feb96 - ALL"}</definedName>
    <definedName name="mmm" hidden="1">{#N/A,#N/A,FALSE,"431"}</definedName>
    <definedName name="mmmm" hidden="1">{#N/A,#N/A,FALSE,"431"}</definedName>
    <definedName name="mmmm_1" hidden="1">{#N/A,#N/A,FALSE,"431"}</definedName>
    <definedName name="MonatsAuwendungen" hidden="1">{#N/A,#N/A,FALSE,"Gruppe Gesamt 1. Änderung";#N/A,#N/A,FALSE,"ZWN 1. Änderung";#N/A,#N/A,FALSE,"GETRAG LB Ursprung";#N/A,#N/A,FALSE,"GETRAG Rosenbg. Ursprung ";#N/A,#N/A,FALSE,"GST  Ursprung";#N/A,#N/A,FALSE,"FZ 1. Änderung"}</definedName>
    <definedName name="MonatsAuwendungen_1" hidden="1">{#N/A,#N/A,FALSE,"Gruppe Gesamt 1. Änderung";#N/A,#N/A,FALSE,"ZWN 1. Änderung";#N/A,#N/A,FALSE,"GETRAG LB Ursprung";#N/A,#N/A,FALSE,"GETRAG Rosenbg. Ursprung ";#N/A,#N/A,FALSE,"GST  Ursprung";#N/A,#N/A,FALSE,"FZ 1. Änderung"}</definedName>
    <definedName name="MonatsAuwendungen_2" hidden="1">{#N/A,#N/A,FALSE,"Gruppe Gesamt 1. Änderung";#N/A,#N/A,FALSE,"ZWN 1. Änderung";#N/A,#N/A,FALSE,"GETRAG LB Ursprung";#N/A,#N/A,FALSE,"GETRAG Rosenbg. Ursprung ";#N/A,#N/A,FALSE,"GST  Ursprung";#N/A,#N/A,FALSE,"FZ 1. Änderung"}</definedName>
    <definedName name="MTG" hidden="1">{#N/A,#N/A,FALSE,"단축1";#N/A,#N/A,FALSE,"단축2";#N/A,#N/A,FALSE,"단축3";#N/A,#N/A,FALSE,"장축";#N/A,#N/A,FALSE,"4WD"}</definedName>
    <definedName name="MTX" hidden="1">{"Fiesta Facer Page",#N/A,FALSE,"Q_C_S";"Fiesta Main Page",#N/A,FALSE,"V_L";"Fiesta 95BP Struct",#N/A,FALSE,"StructBP";"Fiesta Post 95BP Struct",#N/A,FALSE,"AdjStructBP"}</definedName>
    <definedName name="MUDTEST" hidden="1">{#N/A,#N/A,FALSE,"단축1";#N/A,#N/A,FALSE,"단축2";#N/A,#N/A,FALSE,"단축3";#N/A,#N/A,FALSE,"장축";#N/A,#N/A,FALSE,"4WD"}</definedName>
    <definedName name="mw" hidden="1">{#N/A,#N/A,FALSE,"Pharm";#N/A,#N/A,FALSE,"WWCM"}</definedName>
    <definedName name="ñ" hidden="1">{#N/A,#N/A,FALSE,"Sheet3"}</definedName>
    <definedName name="ndndn" hidden="1">{#N/A,#N/A,FALSE,"431"}</definedName>
    <definedName name="ndnmzd" hidden="1">{"Fiesta Facer Page",#N/A,FALSE,"Q_C_S";"Fiesta Main Page",#N/A,FALSE,"V_L";"Fiesta 95BP Struct",#N/A,FALSE,"StructBP";"Fiesta Post 95BP Struct",#N/A,FALSE,"AdjStructBP"}</definedName>
    <definedName name="ndtv"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new" hidden="1">{"Fiesta Facer Page",#N/A,FALSE,"Q_C_S";"Fiesta Main Page",#N/A,FALSE,"V_L";"Fiesta 95BP Struct",#N/A,FALSE,"StructBP";"Fiesta Post 95BP Struct",#N/A,FALSE,"AdjStructBP"}</definedName>
    <definedName name="new_1" hidden="1">{"Fiesta Facer Page",#N/A,FALSE,"Q_C_S";"Fiesta Main Page",#N/A,FALSE,"V_L";"Fiesta 95BP Struct",#N/A,FALSE,"StructBP";"Fiesta Post 95BP Struct",#N/A,FALSE,"AdjStructBP"}</definedName>
    <definedName name="new_2" hidden="1">{"Fiesta Facer Page",#N/A,FALSE,"Q_C_S";"Fiesta Main Page",#N/A,FALSE,"V_L";"Fiesta 95BP Struct",#N/A,FALSE,"StructBP";"Fiesta Post 95BP Struct",#N/A,FALSE,"AdjStructBP"}</definedName>
    <definedName name="new_2_1" hidden="1">{"Fiesta Facer Page",#N/A,FALSE,"Q_C_S";"Fiesta Main Page",#N/A,FALSE,"V_L";"Fiesta 95BP Struct",#N/A,FALSE,"StructBP";"Fiesta Post 95BP Struct",#N/A,FALSE,"AdjStructBP"}</definedName>
    <definedName name="new_3" hidden="1">{"Fiesta Facer Page",#N/A,FALSE,"Q_C_S";"Fiesta Main Page",#N/A,FALSE,"V_L";"Fiesta 95BP Struct",#N/A,FALSE,"StructBP";"Fiesta Post 95BP Struct",#N/A,FALSE,"AdjStructBP"}</definedName>
    <definedName name="new_3_1" hidden="1">{"Fiesta Facer Page",#N/A,FALSE,"Q_C_S";"Fiesta Main Page",#N/A,FALSE,"V_L";"Fiesta 95BP Struct",#N/A,FALSE,"StructBP";"Fiesta Post 95BP Struct",#N/A,FALSE,"AdjStructBP"}</definedName>
    <definedName name="new_4" hidden="1">{"Fiesta Facer Page",#N/A,FALSE,"Q_C_S";"Fiesta Main Page",#N/A,FALSE,"V_L";"Fiesta 95BP Struct",#N/A,FALSE,"StructBP";"Fiesta Post 95BP Struct",#N/A,FALSE,"AdjStructBP"}</definedName>
    <definedName name="NEW_4Q" hidden="1">{"'0808_월별 (2)'!$A$2:$T$28"}</definedName>
    <definedName name="newname" hidden="1">0</definedName>
    <definedName name="newnewnew" hidden="1">{#N/A,#N/A,FALSE,"Pharm";#N/A,#N/A,FALSE,"WWCM"}</definedName>
    <definedName name="ngndn" hidden="1">{"Fiesta Facer Page",#N/A,FALSE,"Q_C_S";"Fiesta Main Page",#N/A,FALSE,"V_L";"Fiesta 95BP Struct",#N/A,FALSE,"StructBP";"Fiesta Post 95BP Struct",#N/A,FALSE,"AdjStructBP"}</definedName>
    <definedName name="nhihihih" hidden="1">{#N/A,#N/A,FALSE,"Cover";#N/A,#N/A,FALSE,"Profits";#N/A,#N/A,FALSE,"ABS";#N/A,#N/A,FALSE,"TFLE Detail";#N/A,#N/A,FALSE,"TFLE Walk";#N/A,#N/A,FALSE,"Variable Cost";#N/A,#N/A,FALSE,"V.C. Walk"}</definedName>
    <definedName name="nm" hidden="1">{#N/A,#N/A,TRUE,"Y생산";#N/A,#N/A,TRUE,"Y판매";#N/A,#N/A,TRUE,"Y총물량";#N/A,#N/A,TRUE,"Y능력";#N/A,#N/A,TRUE,"YKD"}</definedName>
    <definedName name="NMBK" hidden="1">{#N/A,#N/A,FALSE,"단축1";#N/A,#N/A,FALSE,"단축2";#N/A,#N/A,FALSE,"단축3";#N/A,#N/A,FALSE,"장축";#N/A,#N/A,FALSE,"4WD"}</definedName>
    <definedName name="nmkljmkl" hidden="1">{#N/A,#N/A,FALSE,"India - 3f";#N/A,#N/A,FALSE,"India - 3";#N/A,#N/A,FALSE,"India - 4f";#N/A,#N/A,FALSE,"India - 4";#N/A,#N/A,FALSE,"Retail Spider"}</definedName>
    <definedName name="nn" hidden="1">{#N/A,#N/A,TRUE,"Erfassungsbogen";#N/A,#N/A,TRUE,"Auswertung PA";#N/A,#N/A,TRUE,"Auswertung BB";#N/A,#N/A,TRUE,"Auswertung BE";#N/A,#N/A,TRUE,"Auswertung DSR";#N/A,#N/A,TRUE,"Auswertung KS";#N/A,#N/A,TRUE,"Auswertung CS";#N/A,#N/A,TRUE,"Auswertung Gesamt";#N/A,#N/A,TRUE,"Proz.v. Ges.ums-aufw-ertrag";#N/A,#N/A,TRUE,"Leistungen pro Mitarbeiter"}</definedName>
    <definedName name="nn_1" hidden="1">{#N/A,#N/A,TRUE,"Erfassungsbogen";#N/A,#N/A,TRUE,"Auswertung PA";#N/A,#N/A,TRUE,"Auswertung BB";#N/A,#N/A,TRUE,"Auswertung BE";#N/A,#N/A,TRUE,"Auswertung DSR";#N/A,#N/A,TRUE,"Auswertung KS";#N/A,#N/A,TRUE,"Auswertung CS";#N/A,#N/A,TRUE,"Auswertung Gesamt";#N/A,#N/A,TRUE,"Proz.v. Ges.ums-aufw-ertrag";#N/A,#N/A,TRUE,"Leistungen pro Mitarbeiter"}</definedName>
    <definedName name="nn_2" hidden="1">{#N/A,#N/A,TRUE,"Erfassungsbogen";#N/A,#N/A,TRUE,"Auswertung PA";#N/A,#N/A,TRUE,"Auswertung BB";#N/A,#N/A,TRUE,"Auswertung BE";#N/A,#N/A,TRUE,"Auswertung DSR";#N/A,#N/A,TRUE,"Auswertung KS";#N/A,#N/A,TRUE,"Auswertung CS";#N/A,#N/A,TRUE,"Auswertung Gesamt";#N/A,#N/A,TRUE,"Proz.v. Ges.ums-aufw-ertrag";#N/A,#N/A,TRUE,"Leistungen pro Mitarbeiter"}</definedName>
    <definedName name="NNL" hidden="1">{#N/A,#N/A,FALSE,"단축1";#N/A,#N/A,FALSE,"단축2";#N/A,#N/A,FALSE,"단축3";#N/A,#N/A,FALSE,"장축";#N/A,#N/A,FALSE,"4WD"}</definedName>
    <definedName name="nnmt" hidden="1">{"Fiesta Facer Page",#N/A,FALSE,"Q_C_S";"Fiesta Main Page",#N/A,FALSE,"V_L";"Fiesta 95BP Struct",#N/A,FALSE,"StructBP";"Fiesta Post 95BP Struct",#N/A,FALSE,"AdjStructBP"}</definedName>
    <definedName name="nnnn" hidden="1">#REF!</definedName>
    <definedName name="NNNNNNN" hidden="1">{#N/A,#N/A,FALSE,"단축1";#N/A,#N/A,FALSE,"단축2";#N/A,#N/A,FALSE,"단축3";#N/A,#N/A,FALSE,"장축";#N/A,#N/A,FALSE,"4WD"}</definedName>
    <definedName name="nouv" hidden="1">{#N/A,#N/A,FALSE,"Pharm";#N/A,#N/A,FALSE,"WWCM"}</definedName>
    <definedName name="NR" hidden="1">{#N/A,#N/A,TRUE,"Y생산";#N/A,#N/A,TRUE,"Y판매";#N/A,#N/A,TRUE,"Y총물량";#N/A,#N/A,TRUE,"Y능력";#N/A,#N/A,TRUE,"YKD"}</definedName>
    <definedName name="ntntz" hidden="1">{"Fiesta Facer Page",#N/A,FALSE,"Q_C_S";"Fiesta Main Page",#N/A,FALSE,"V_L";"Fiesta 95BP Struct",#N/A,FALSE,"StructBP";"Fiesta Post 95BP Struct",#N/A,FALSE,"AdjStructBP"}</definedName>
    <definedName name="NW" hidden="1">{#N/A,#N/A,FALSE,"단축1";#N/A,#N/A,FALSE,"단축2";#N/A,#N/A,FALSE,"단축3";#N/A,#N/A,FALSE,"장축";#N/A,#N/A,FALSE,"4WD"}</definedName>
    <definedName name="ö" hidden="1">{"Fiesta Facer Page",#N/A,FALSE,"Q_C_S";"Fiesta Main Page",#N/A,FALSE,"V_L";"Fiesta 95BP Struct",#N/A,FALSE,"StructBP";"Fiesta Post 95BP Struct",#N/A,FALSE,"AdjStructBP"}</definedName>
    <definedName name="ö_1" hidden="1">{"Fiesta Facer Page",#N/A,FALSE,"Q_C_S";"Fiesta Main Page",#N/A,FALSE,"V_L";"Fiesta 95BP Struct",#N/A,FALSE,"StructBP";"Fiesta Post 95BP Struct",#N/A,FALSE,"AdjStructBP"}</definedName>
    <definedName name="ö_2" hidden="1">{"Fiesta Facer Page",#N/A,FALSE,"Q_C_S";"Fiesta Main Page",#N/A,FALSE,"V_L";"Fiesta 95BP Struct",#N/A,FALSE,"StructBP";"Fiesta Post 95BP Struct",#N/A,FALSE,"AdjStructBP"}</definedName>
    <definedName name="oaafff" hidden="1">{"Fiesta Facer Page",#N/A,FALSE,"Q_C_S";"Fiesta Main Page",#N/A,FALSE,"V_L";"Fiesta 95BP Struct",#N/A,FALSE,"StructBP";"Fiesta Post 95BP Struct",#N/A,FALSE,"AdjStructBP"}</definedName>
    <definedName name="oabbb" hidden="1">{"Fiesta Facer Page",#N/A,FALSE,"Q_C_S";"Fiesta Main Page",#N/A,FALSE,"V_L";"Fiesta 95BP Struct",#N/A,FALSE,"StructBP";"Fiesta Post 95BP Struct",#N/A,FALSE,"AdjStructBP"}</definedName>
    <definedName name="oadf" hidden="1">{"Fiesta Facer Page",#N/A,FALSE,"Q_C_S";"Fiesta Main Page",#N/A,FALSE,"V_L";"Fiesta 95BP Struct",#N/A,FALSE,"StructBP";"Fiesta Post 95BP Struct",#N/A,FALSE,"AdjStructBP"}</definedName>
    <definedName name="oakfodl" hidden="1">{"Presentation",#N/A,FALSE,"Feb96 - ALL"}</definedName>
    <definedName name="oakfodl_1" hidden="1">{"Presentation",#N/A,FALSE,"Feb96 - ALL"}</definedName>
    <definedName name="oakfodl_2" hidden="1">{"Presentation",#N/A,FALSE,"Feb96 - ALL"}</definedName>
    <definedName name="oakfodl_3" hidden="1">{"Presentation",#N/A,FALSE,"Feb96 - ALL"}</definedName>
    <definedName name="oas" hidden="1">{"Fiesta Facer Page",#N/A,FALSE,"Q_C_S";"Fiesta Main Page",#N/A,FALSE,"V_L";"Fiesta 95BP Struct",#N/A,FALSE,"StructBP";"Fiesta Post 95BP Struct",#N/A,FALSE,"AdjStructBP"}</definedName>
    <definedName name="oattm_abc" hidden="1">{"Presentation",#N/A,FALSE,"Feb96 - ALL"}</definedName>
    <definedName name="ob" hidden="1">{"Fiesta Facer Page",#N/A,FALSE,"Q_C_S";"Fiesta Main Page",#N/A,FALSE,"V_L";"Fiesta 95BP Struct",#N/A,FALSE,"StructBP";"Fiesta Post 95BP Struct",#N/A,FALSE,"AdjStructBP"}</definedName>
    <definedName name="obb" hidden="1">{"Fiesta Facer Page",#N/A,FALSE,"Q_C_S";"Fiesta Main Page",#N/A,FALSE,"V_L";"Fiesta 95BP Struct",#N/A,FALSE,"StructBP";"Fiesta Post 95BP Struct",#N/A,FALSE,"AdjStructBP"}</definedName>
    <definedName name="obbb" hidden="1">{"Fiesta Facer Page",#N/A,FALSE,"Q_C_S";"Fiesta Main Page",#N/A,FALSE,"V_L";"Fiesta 95BP Struct",#N/A,FALSE,"StructBP";"Fiesta Post 95BP Struct",#N/A,FALSE,"AdjStructBP"}</definedName>
    <definedName name="obbbbb" hidden="1">{"Presentation",#N/A,FALSE,"Feb96 - ALL"}</definedName>
    <definedName name="oblatt" hidden="1">{"Presentation",#N/A,FALSE,"Feb96 - ALL"}</definedName>
    <definedName name="oc" hidden="1">{"Fiesta Facer Page",#N/A,FALSE,"Q_C_S";"Fiesta Main Page",#N/A,FALSE,"V_L";"Fiesta 95BP Struct",#N/A,FALSE,"StructBP";"Fiesta Post 95BP Struct",#N/A,FALSE,"AdjStructBP"}</definedName>
    <definedName name="occ" hidden="1">{"Fiesta Facer Page",#N/A,FALSE,"Q_C_S";"Fiesta Main Page",#N/A,FALSE,"V_L";"Fiesta 95BP Struct",#N/A,FALSE,"StructBP";"Fiesta Post 95BP Struct",#N/A,FALSE,"AdjStructBP"}</definedName>
    <definedName name="oe" hidden="1">{"Fiesta Facer Page",#N/A,FALSE,"Q_C_S";"Fiesta Main Page",#N/A,FALSE,"V_L";"Fiesta 95BP Struct",#N/A,FALSE,"StructBP";"Fiesta Post 95BP Struct",#N/A,FALSE,"AdjStructBP"}</definedName>
    <definedName name="oexit" hidden="1">{"Presentation",#N/A,FALSE,"Feb96 - ALL"}</definedName>
    <definedName name="of" hidden="1">{"Fiesta Facer Page",#N/A,FALSE,"Q_C_S";"Fiesta Main Page",#N/A,FALSE,"V_L";"Fiesta 95BP Struct",#N/A,FALSE,"StructBP";"Fiesta Post 95BP Struct",#N/A,FALSE,"AdjStructBP"}</definedName>
    <definedName name="offfff" hidden="1">{"Presentation",#N/A,FALSE,"Feb96 - ALL"}</definedName>
    <definedName name="ofgddf" hidden="1">{"Presentation",#N/A,FALSE,"Feb96 - ALL"}</definedName>
    <definedName name="oHalewood" hidden="1">{"Fiesta Facer Page",#N/A,FALSE,"Q_C_S";"Fiesta Main Page",#N/A,FALSE,"V_L";"Fiesta 95BP Struct",#N/A,FALSE,"StructBP";"Fiesta Post 95BP Struct",#N/A,FALSE,"AdjStructBP"}</definedName>
    <definedName name="oi" hidden="1">{#N/A,#N/A,FALSE,"Profit Status";#N/A,#N/A,FALSE,"Invest";#N/A,#N/A,FALSE,"Revenue";#N/A,#N/A,FALSE,"Variable Cost";#N/A,#N/A,FALSE,"Options &amp; Series"}</definedName>
    <definedName name="ölälöä" hidden="1">{"Fiesta Facer Page",#N/A,FALSE,"Q_C_S";"Fiesta Main Page",#N/A,FALSE,"V_L";"Fiesta 95BP Struct",#N/A,FALSE,"StructBP";"Fiesta Post 95BP Struct",#N/A,FALSE,"AdjStructBP"}</definedName>
    <definedName name="Old" hidden="1">{"PAGE_1",#N/A,FALSE,"FINANCIALS";"PAGE_2",#N/A,FALSE,"FINANCIALS";"PAGE_3",#N/A,FALSE,"FINANCIALS";"PAGE_4",#N/A,FALSE,"FINANCIALS";"PAGE_5",#N/A,FALSE,"FINANCIALS";"PAGE_6",#N/A,FALSE,"FINANCIALS";"PAGE_7",#N/A,FALSE,"FINANCIALS";"PAGE_8",#N/A,FALSE,"FINANCIALS"}</definedName>
    <definedName name="oo" hidden="1">#REF!</definedName>
    <definedName name="OOO" hidden="1">{#N/A,#N/A,FALSE,"Assumptions";#N/A,#N/A,FALSE,"Volumes";#N/A,#N/A,FALSE,"Pricing";#N/A,#N/A,FALSE,"Variable Cost";#N/A,#N/A,FALSE,"Investment";#N/A,#N/A,FALSE,"Profitability";#N/A,#N/A,FALSE,"Business Comparison"}</definedName>
    <definedName name="OOOO" hidden="1">{#N/A,#N/A,FALSE,"Cover";#N/A,#N/A,FALSE,"Assumptions";#N/A,#N/A,FALSE,"Volumes";#N/A,#N/A,FALSE,"Pricing";#N/A,#N/A,FALSE,"TFLE Walk";#N/A,#N/A,FALSE,"Variable Cost";#N/A,#N/A,FALSE,"Sensitivity";#N/A,#N/A,FALSE,"Investment";#N/A,#N/A,FALSE,"Profitability"}</definedName>
    <definedName name="OOOOO" hidden="1">{#N/A,#N/A,FALSE,"Cover";#N/A,#N/A,FALSE,"Profits";#N/A,#N/A,FALSE,"ABS";#N/A,#N/A,FALSE,"TFLE Detail";#N/A,#N/A,FALSE,"TFLE Walk";#N/A,#N/A,FALSE,"Variable Cost";#N/A,#N/A,FALSE,"V.C. Walk"}</definedName>
    <definedName name="OOOOOO" hidden="1">{#N/A,#N/A,FALSE,"Cover";#N/A,#N/A,FALSE,"Assumptions";#N/A,#N/A,FALSE,"Volumes";#N/A,#N/A,FALSE,"Pricing";#N/A,#N/A,FALSE,"TFLE Walk";#N/A,#N/A,FALSE,"Variable Cost";#N/A,#N/A,FALSE,"Sensitivity";#N/A,#N/A,FALSE,"Investment";#N/A,#N/A,FALSE,"Profitability"}</definedName>
    <definedName name="OOOO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p" hidden="1">{"LES",#N/A,FALSE,"PRINT";"TFI",#N/A,FALSE,"PRINT"}</definedName>
    <definedName name="Order2" hidden="1">255</definedName>
    <definedName name="OrderTable" hidden="1">#REF!</definedName>
    <definedName name="ORIGINAL2" hidden="1">{#N/A,#N/A,FALSE,"DATA SHEET"}</definedName>
    <definedName name="orsa" hidden="1">{"GEA",#N/A,FALSE,"11";"BGGEA",#N/A,FALSE,"BAL-96";"ERGEA",#N/A,FALSE,"RES-96";"UNGEA",#N/A,FALSE,"UT-NETA";"ANOPPROM",#N/A,FALSE,"ANOP";"UORDITRIM",#N/A,FALSE,"ORIdI";"CTOCAP",#N/A,FALSE,"CTO-CAPITAL";"GEA",#N/A,FALSE,"GEA";"AF",#N/A,FALSE,"AFIJO-REEM"}</definedName>
    <definedName name="Oswa" hidden="1">{#N/A,#N/A,FALSE,"Sheet3"}</definedName>
    <definedName name="other33" hidden="1">{#N/A,#N/A,FALSE,"Pharm";#N/A,#N/A,FALSE,"WWCM"}</definedName>
    <definedName name="othermar" hidden="1">{#N/A,#N/A,FALSE,"Pharm";#N/A,#N/A,FALSE,"WWCM"}</definedName>
    <definedName name="Owner">#REF!</definedName>
    <definedName name="Ownership" hidden="1">OFFSET(#REF!,1,0)</definedName>
    <definedName name="p." hidden="1">{#N/A,#N/A,TRUE,"dew_x200";#N/A,#N/A,TRUE,"cvgm_twncr_must";#N/A,#N/A,TRUE,"x100_x300_falcn";#N/A,#N/A,TRUE,"t_mark_scorp";#N/A,#N/A,TRUE,"VC3GRAF"}</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ACKAGE3" hidden="1">{#N/A,#N/A,FALSE,"단축1";#N/A,#N/A,FALSE,"단축2";#N/A,#N/A,FALSE,"단축3";#N/A,#N/A,FALSE,"장축";#N/A,#N/A,FALSE,"4WD"}</definedName>
    <definedName name="PAGE4" hidden="1">{#N/A,#N/A,FALSE,"단축1";#N/A,#N/A,FALSE,"단축2";#N/A,#N/A,FALSE,"단축3";#N/A,#N/A,FALSE,"장축";#N/A,#N/A,FALSE,"4WD"}</definedName>
    <definedName name="pagegarde" hidden="1">{#N/A,#N/A,FALSE,"Feuil3"}</definedName>
    <definedName name="papa" hidden="1">{#N/A,#N/A,FALSE,"Profit Status";#N/A,#N/A,FALSE,"Invest";#N/A,#N/A,FALSE,"Revenue";#N/A,#N/A,FALSE,"Variable Cost";#N/A,#N/A,FALSE,"Options &amp; Series"}</definedName>
    <definedName name="PCEAR" hidden="1">{#N/A,#N/A,FALSE,"Sheet3"}</definedName>
    <definedName name="pep" hidden="1">{#N/A,#N/A,FALSE,"Cover";#N/A,#N/A,FALSE,"Assumptions";#N/A,#N/A,FALSE,"Volumes";#N/A,#N/A,FALSE,"Pricing";#N/A,#N/A,FALSE,"TFLE Walk";#N/A,#N/A,FALSE,"Variable Cost";#N/A,#N/A,FALSE,"Sensitivity";#N/A,#N/A,FALSE,"Investment";#N/A,#N/A,FALSE,"Profitability"}</definedName>
    <definedName name="pepe" hidden="1">{#N/A,#N/A,FALSE,"Pharm";#N/A,#N/A,FALSE,"WWCM"}</definedName>
    <definedName name="PEPE4" hidden="1">{#N/A,#N/A,FALSE,"Pharm";#N/A,#N/A,FALSE,"WWCM"}</definedName>
    <definedName name="PEPE5" hidden="1">{#N/A,#N/A,FALSE,"Pharm";#N/A,#N/A,FALSE,"WWCM"}</definedName>
    <definedName name="PER">"PERIOD#"</definedName>
    <definedName name="Pet" hidden="1">{#N/A,#N/A,FALSE,"Sheet3"}</definedName>
    <definedName name="pharma" hidden="1">{#N/A,#N/A,FALSE,"Sales Graph";#N/A,#N/A,FALSE,"PSBM";#N/A,#N/A,FALSE,"BUC Graph";#N/A,#N/A,FALSE,"P&amp;L - YTD"}</definedName>
    <definedName name="pil" hidden="1">{#N/A,#N/A,FALSE,"Cover";#N/A,#N/A,FALSE,"Assumptions";#N/A,#N/A,FALSE,"Volumes";#N/A,#N/A,FALSE,"Pricing";#N/A,#N/A,FALSE,"TFLE Walk";#N/A,#N/A,FALSE,"Variable Cost";#N/A,#N/A,FALSE,"Sensitivity";#N/A,#N/A,FALSE,"Investment";#N/A,#N/A,FALSE,"Profitability"}</definedName>
    <definedName name="PILOT" hidden="1">{#N/A,#N/A,FALSE,"단축1";#N/A,#N/A,FALSE,"단축2";#N/A,#N/A,FALSE,"단축3";#N/A,#N/A,FALSE,"장축";#N/A,#N/A,FALSE,"4WD"}</definedName>
    <definedName name="pippo" hidden="1">{#N/A,#N/A,FALSE,"afa linear";#N/A,#N/A,FALSE,"mit 10% zuschuss";#N/A,#N/A,FALSE,"mit 25% zuschuss"}</definedName>
    <definedName name="pippo_1" hidden="1">{#N/A,#N/A,FALSE,"afa linear";#N/A,#N/A,FALSE,"mit 10% zuschuss";#N/A,#N/A,FALSE,"mit 25% zuschuss"}</definedName>
    <definedName name="pippo_2" hidden="1">{#N/A,#N/A,FALSE,"afa linear";#N/A,#N/A,FALSE,"mit 10% zuschuss";#N/A,#N/A,FALSE,"mit 25% zuschuss"}</definedName>
    <definedName name="pippo1" hidden="1">{#N/A,#N/A,FALSE,"afa linear";#N/A,#N/A,FALSE,"mit 10% zuschuss";#N/A,#N/A,FALSE,"mit 25% zuschuss"}</definedName>
    <definedName name="pippo2" hidden="1">{#N/A,#N/A,FALSE,"afa linear";#N/A,#N/A,FALSE,"mit 10% zuschuss";#N/A,#N/A,FALSE,"mit 25% zuschuss"}</definedName>
    <definedName name="PIVOT_SUM_CAPEX_RAT_CURRENT_cot" hidden="1">#REF!</definedName>
    <definedName name="PKK" hidden="1">{#N/A,#N/A,TRUE,"Y생산";#N/A,#N/A,TRUE,"Y판매";#N/A,#N/A,TRUE,"Y총물량";#N/A,#N/A,TRUE,"Y능력";#N/A,#N/A,TRUE,"YKD"}</definedName>
    <definedName name="pl" hidden="1">{#N/A,#N/A,FALSE,"REPORT"}</definedName>
    <definedName name="PLCepi" hidden="1">{#N/A,#N/A,FALSE,"REPORT"}</definedName>
    <definedName name="plis" hidden="1">#REF!</definedName>
    <definedName name="PLProcef" hidden="1">{#N/A,#N/A,FALSE,"REPORT"}</definedName>
    <definedName name="PLTaxol" hidden="1">{#N/A,#N/A,FALSE,"REPORT"}</definedName>
    <definedName name="pmm" hidden="1">{#N/A,#N/A,FALSE,"Cover Sheet";#N/A,#N/A,FALSE,"BE 13 Fiesta";#N/A,#N/A,FALSE,"New Fiesta";#N/A,#N/A,FALSE,"Escort";#N/A,#N/A,FALSE,"Mondeo";#N/A,#N/A,FALSE,"Scorpio";#N/A,#N/A,FALSE,"Probe";#N/A,#N/A,FALSE,"Maverick";#N/A,#N/A,FALSE,"Galaxy";#N/A,#N/A,FALSE,"Light vans";#N/A,#N/A,FALSE,"Transit"}</definedName>
    <definedName name="po" hidden="1">{"salaried",#N/A,FALSE,"VLD View (2)"}</definedName>
    <definedName name="POIL" hidden="1">{#N/A,#N/A,FALSE,"단축1";#N/A,#N/A,FALSE,"단축2";#N/A,#N/A,FALSE,"단축3";#N/A,#N/A,FALSE,"장축";#N/A,#N/A,FALSE,"4WD"}</definedName>
    <definedName name="pooo" hidden="1">#REF!</definedName>
    <definedName name="por" hidden="1">#REF!</definedName>
    <definedName name="port29" hidden="1">{#N/A,#N/A,FALSE,"Pharm";#N/A,#N/A,FALSE,"WWCM"}</definedName>
    <definedName name="pp" hidden="1">#REF!</definedName>
    <definedName name="PPK" hidden="1">{#N/A,#N/A,FALSE,"96 3월물량표";#N/A,#N/A,FALSE,"96 4월물량표";#N/A,#N/A,FALSE,"96 5월물량표"}</definedName>
    <definedName name="ppp" hidden="1">{"Presentation",#N/A,FALSE,"Feb96 - ALL"}</definedName>
    <definedName name="ppp_1" hidden="1">{"Presentation",#N/A,FALSE,"Feb96 - ALL"}</definedName>
    <definedName name="ppp_2" hidden="1">{"Presentation",#N/A,FALSE,"Feb96 - ALL"}</definedName>
    <definedName name="ppp_2_1" hidden="1">{"Presentation",#N/A,FALSE,"Feb96 - ALL"}</definedName>
    <definedName name="ppp_3" hidden="1">{"Presentation",#N/A,FALSE,"Feb96 - ALL"}</definedName>
    <definedName name="ppp_3_1" hidden="1">{"Presentation",#N/A,FALSE,"Feb96 - ALL"}</definedName>
    <definedName name="ppp_4" hidden="1">{"Presentation",#N/A,FALSE,"Feb96 - ALL"}</definedName>
    <definedName name="PPPP" hidden="1">{#N/A,#N/A,FALSE,"KMC최종회의(7월) 자료"}</definedName>
    <definedName name="PPPPP" hidden="1">{#N/A,#N/A,TRUE,"Y생산";#N/A,#N/A,TRUE,"Y판매";#N/A,#N/A,TRUE,"Y총물량";#N/A,#N/A,TRUE,"Y능력";#N/A,#N/A,TRUE,"YKD"}</definedName>
    <definedName name="pppppp" hidden="1">{"Title_Page",#N/A,FALSE,"Title Page";"II_Facer",#N/A,FALSE,"(1f)-Issue-to-Issue";"Fcst_II",#N/A,FALSE,"(1)-PROFIT SUM.";"II_Facer",#N/A,FALSE,"(2f)-R&amp;OFacer";"Risk_Adj._Fcst.",#N/A,FALSE,"(2)-Risk Adj. Fcst.";"Fcst._to_Budget",#N/A,FALSE,"(3)-Fcst. to Bdgt.";"Yr._O_Yr",#N/A,FALSE,"(4)-Yr.-O-Yr."}</definedName>
    <definedName name="pppppppppp" hidden="1">#REF!</definedName>
    <definedName name="pppppppppppppppp" hidden="1">{#N/A,#N/A,TRUE,"Y생산";#N/A,#N/A,TRUE,"Y판매";#N/A,#N/A,TRUE,"Y총물량";#N/A,#N/A,TRUE,"Y능력";#N/A,#N/A,TRUE,"YKD"}</definedName>
    <definedName name="PPTO.2001" hidden="1">{#N/A,#N/A,FALSE,"Sheet3"}</definedName>
    <definedName name="PPTO.2001CFV" hidden="1">{#N/A,#N/A,FALSE,"Sheet3"}</definedName>
    <definedName name="PPTO1" hidden="1">{#N/A,#N/A,FALSE,"Sheet3"}</definedName>
    <definedName name="ppto2010" hidden="1">{#N/A,#N/A,FALSE,"Sheet3"}</definedName>
    <definedName name="Presstabell" hidden="1">#REF!</definedName>
    <definedName name="Procef" hidden="1">{#N/A,#N/A,FALSE,"Pharm";#N/A,#N/A,FALSE,"WWCM"}</definedName>
    <definedName name="Processing" hidden="1">#REF!</definedName>
    <definedName name="ProdForm" hidden="1">#REF!</definedName>
    <definedName name="Product" hidden="1">#REF!</definedName>
    <definedName name="Program_Sales">OFFSET([2]Action_input!#REF!,0,0,COUNTIF([2]Action_input!#REF!,"&gt;0")+1)</definedName>
    <definedName name="PROTO2" hidden="1">{#N/A,#N/A,FALSE,"단축1";#N/A,#N/A,FALSE,"단축2";#N/A,#N/A,FALSE,"단축3";#N/A,#N/A,FALSE,"장축";#N/A,#N/A,FALSE,"4WD"}</definedName>
    <definedName name="PROTO3" hidden="1">{#N/A,#N/A,FALSE,"단축1";#N/A,#N/A,FALSE,"단축2";#N/A,#N/A,FALSE,"단축3";#N/A,#N/A,FALSE,"장축";#N/A,#N/A,FALSE,"4WD"}</definedName>
    <definedName name="PUMP" hidden="1">{#N/A,#N/A,FALSE,"MASTER";#N/A,#N/A,FALSE,"매출1";#N/A,#N/A,FALSE,"매출2";#N/A,#N/A,FALSE,"투자5";#N/A,#N/A,FALSE,"손익(사업)";#N/A,#N/A,FALSE,"제조원가"}</definedName>
    <definedName name="Q0" hidden="1">{#N/A,#N/A,FALSE,"KMC최종회의(7월) 자료"}</definedName>
    <definedName name="QAW" hidden="1">{#N/A,#N/A,FALSE,"을지 (4)";#N/A,#N/A,FALSE,"을지 (5)";#N/A,#N/A,FALSE,"을지 (6)"}</definedName>
    <definedName name="QAZ" hidden="1">{#N/A,#N/A,FALSE,"단축1";#N/A,#N/A,FALSE,"단축2";#N/A,#N/A,FALSE,"단축3";#N/A,#N/A,FALSE,"장축";#N/A,#N/A,FALSE,"4WD"}</definedName>
    <definedName name="QCOST" hidden="1">{#N/A,#N/A,FALSE,"KMC최종회의(7월) 자료"}</definedName>
    <definedName name="QEQ" hidden="1">{#N/A,#N/A,FALSE,"KMC최종회의(7월) 자료"}</definedName>
    <definedName name="qer" hidden="1">{"Fiesta Facer Page",#N/A,FALSE,"Q_C_S";"Fiesta Main Page",#N/A,FALSE,"V_L";"Fiesta 95BP Struct",#N/A,FALSE,"StructBP";"Fiesta Post 95BP Struct",#N/A,FALSE,"AdjStructBP"}</definedName>
    <definedName name="qer_1" hidden="1">{"Fiesta Facer Page",#N/A,FALSE,"Q_C_S";"Fiesta Main Page",#N/A,FALSE,"V_L";"Fiesta 95BP Struct",#N/A,FALSE,"StructBP";"Fiesta Post 95BP Struct",#N/A,FALSE,"AdjStructBP"}</definedName>
    <definedName name="qer_2" hidden="1">{"Fiesta Facer Page",#N/A,FALSE,"Q_C_S";"Fiesta Main Page",#N/A,FALSE,"V_L";"Fiesta 95BP Struct",#N/A,FALSE,"StructBP";"Fiesta Post 95BP Struct",#N/A,FALSE,"AdjStructBP"}</definedName>
    <definedName name="qer_3" hidden="1">{"Fiesta Facer Page",#N/A,FALSE,"Q_C_S";"Fiesta Main Page",#N/A,FALSE,"V_L";"Fiesta 95BP Struct",#N/A,FALSE,"StructBP";"Fiesta Post 95BP Struct",#N/A,FALSE,"AdjStructBP"}</definedName>
    <definedName name="qerbg" hidden="1">{"Fiesta Facer Page",#N/A,FALSE,"Q_C_S";"Fiesta Main Page",#N/A,FALSE,"V_L";"Fiesta 95BP Struct",#N/A,FALSE,"StructBP";"Fiesta Post 95BP Struct",#N/A,FALSE,"AdjStructBP"}</definedName>
    <definedName name="qerbg_1" hidden="1">{"Fiesta Facer Page",#N/A,FALSE,"Q_C_S";"Fiesta Main Page",#N/A,FALSE,"V_L";"Fiesta 95BP Struct",#N/A,FALSE,"StructBP";"Fiesta Post 95BP Struct",#N/A,FALSE,"AdjStructBP"}</definedName>
    <definedName name="qerbg_2" hidden="1">{"Fiesta Facer Page",#N/A,FALSE,"Q_C_S";"Fiesta Main Page",#N/A,FALSE,"V_L";"Fiesta 95BP Struct",#N/A,FALSE,"StructBP";"Fiesta Post 95BP Struct",#N/A,FALSE,"AdjStructBP"}</definedName>
    <definedName name="qerbg_3" hidden="1">{"Fiesta Facer Page",#N/A,FALSE,"Q_C_S";"Fiesta Main Page",#N/A,FALSE,"V_L";"Fiesta 95BP Struct",#N/A,FALSE,"StructBP";"Fiesta Post 95BP Struct",#N/A,FALSE,"AdjStructBP"}</definedName>
    <definedName name="QER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ertweyu" hidden="1">{#N/A,#N/A,FALSE,"REPORT"}</definedName>
    <definedName name="qerwtr" hidden="1">{"Wholesale",#N/A,FALSE,"1+11";"wholesale Mix",#N/A,FALSE,"1+11"}</definedName>
    <definedName name="qet" hidden="1">{#N/A,#N/A,TRUE,"Y생산";#N/A,#N/A,TRUE,"Y판매";#N/A,#N/A,TRUE,"Y총물량";#N/A,#N/A,TRUE,"Y능력";#N/A,#N/A,TRUE,"YKD"}</definedName>
    <definedName name="QETQ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etryywt" hidden="1">{#N/A,#N/A,FALSE,"REPORT"}</definedName>
    <definedName name="qew" hidden="1">{"Fiesta Facer Page",#N/A,FALSE,"Q_C_S";"Fiesta Main Page",#N/A,FALSE,"V_L";"Fiesta 95BP Struct",#N/A,FALSE,"StructBP";"Fiesta Post 95BP Struct",#N/A,FALSE,"AdjStructBP"}</definedName>
    <definedName name="QKWL" hidden="1">{#N/A,#N/A,FALSE,"단축1";#N/A,#N/A,FALSE,"단축2";#N/A,#N/A,FALSE,"단축3";#N/A,#N/A,FALSE,"장축";#N/A,#N/A,FALSE,"4WD"}</definedName>
    <definedName name="qltm" hidden="1">{#N/A,#N/A,TRUE,"Y생산";#N/A,#N/A,TRUE,"Y판매";#N/A,#N/A,TRUE,"Y총물량";#N/A,#N/A,TRUE,"Y능력";#N/A,#N/A,TRUE,"YKD"}</definedName>
    <definedName name="qlty" hidden="1">{#N/A,#N/A,TRUE,"Y생산";#N/A,#N/A,TRUE,"Y판매";#N/A,#N/A,TRUE,"Y총물량";#N/A,#N/A,TRUE,"Y능력";#N/A,#N/A,TRUE,"YKD"}</definedName>
    <definedName name="QOIEJ" hidden="1">#REF!</definedName>
    <definedName name="QPLE" hidden="1">#REF!</definedName>
    <definedName name="QQQAAASSS" hidden="1">{#N/A,#N/A,TRUE,"Y생산";#N/A,#N/A,TRUE,"Y판매";#N/A,#N/A,TRUE,"Y총물량";#N/A,#N/A,TRUE,"Y능력";#N/A,#N/A,TRUE,"YKD"}</definedName>
    <definedName name="qqqq" hidden="1">{"'Sheet1'!$A$211:$M$235"}</definedName>
    <definedName name="QQQQQ" hidden="1">{#N/A,#N/A,FALSE,"96 3월물량표";#N/A,#N/A,FALSE,"96 4월물량표";#N/A,#N/A,FALSE,"96 5월물량표"}</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{#N/A,#N/A,TRUE,"Y생산";#N/A,#N/A,TRUE,"Y판매";#N/A,#N/A,TRUE,"Y총물량";#N/A,#N/A,TRUE,"Y능력";#N/A,#N/A,TRUE,"YKD"}</definedName>
    <definedName name="QQQQQQQQQQQQQ" hidden="1">{#N/A,#N/A,FALSE,"KMC최종회의(7월) 자료"}</definedName>
    <definedName name="qqwtweryey" hidden="1">{#N/A,#N/A,FALSE,"REPORT"}</definedName>
    <definedName name="QSqsQSqs" hidden="1">{"EXPORT",#N/A,FALSE,"A8CONTENT"}</definedName>
    <definedName name="qSqsS" hidden="1">{"EXPORT",#N/A,FALSE,"A8CONTENT"}</definedName>
    <definedName name="QSS" hidden="1">{#N/A,#N/A,FALSE,"을지 (4)";#N/A,#N/A,FALSE,"을지 (5)";#N/A,#N/A,FALSE,"을지 (6)"}</definedName>
    <definedName name="qufcjarmfnq2" hidden="1">{#N/A,#N/A,FALSE,"정공"}</definedName>
    <definedName name="ｑｗ" hidden="1">{#N/A,"VA",FALSE,"output";#N/A,"VB",FALSE,"output";#N/A,"VS",FALSE,"output";#N/A,"VC",FALSE,"output";#N/A,"VG",FALSE,"output";#N/A,"J1",FALSE,"output";#N/A,"J2",FALSE,"output";#N/A,"PT",FALSE,"output"}</definedName>
    <definedName name="QWA" hidden="1">{#N/A,#N/A,FALSE,"을지 (4)";#N/A,#N/A,FALSE,"을지 (5)";#N/A,#N/A,FALSE,"을지 (6)"}</definedName>
    <definedName name="QWE" hidden="1">{#N/A,#N/A,TRUE,"일정"}</definedName>
    <definedName name="qwer" hidden="1">#REF!</definedName>
    <definedName name="qwertqry" hidden="1">{#N/A,#N/A,FALSE,"REPORT"}</definedName>
    <definedName name="qwet" hidden="1">{#N/A,#N/A,TRUE,"Y생산";#N/A,#N/A,TRUE,"Y판매";#N/A,#N/A,TRUE,"Y총물량";#N/A,#N/A,TRUE,"Y능력";#N/A,#N/A,TRUE,"YKD"}</definedName>
    <definedName name="qwetqryetytu" hidden="1">{#N/A,#N/A,FALSE,"Pharm";#N/A,#N/A,FALSE,"WWCM"}</definedName>
    <definedName name="QWETRF23T" hidden="1">{#N/A,#N/A,TRUE,"Y생산";#N/A,#N/A,TRUE,"Y판매";#N/A,#N/A,TRUE,"Y총물량";#N/A,#N/A,TRUE,"Y능력";#N/A,#N/A,TRUE,"YKD"}</definedName>
    <definedName name="qwr" hidden="1">{#N/A,#N/A,TRUE,"Y생산";#N/A,#N/A,TRUE,"Y판매";#N/A,#N/A,TRUE,"Y총물량";#N/A,#N/A,TRUE,"Y능력";#N/A,#N/A,TRUE,"YKD"}</definedName>
    <definedName name="qwrgfh" hidden="1">{#N/A,#N/A,FALSE,"96 3월물량표";#N/A,#N/A,FALSE,"96 4월물량표";#N/A,#N/A,FALSE,"96 5월물량표"}</definedName>
    <definedName name="QWR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YER" hidden="1">{#N/A,#N/A,FALSE,"인원";#N/A,#N/A,FALSE,"비용2";#N/A,#N/A,FALSE,"비용1";#N/A,#N/A,FALSE,"비용";#N/A,#N/A,FALSE,"보증2";#N/A,#N/A,FALSE,"보증1";#N/A,#N/A,FALSE,"보증";#N/A,#N/A,FALSE,"손익1";#N/A,#N/A,FALSE,"손익";#N/A,#N/A,FALSE,"부서별매출";#N/A,#N/A,FALSE,"매출"}</definedName>
    <definedName name="QYER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_COVER" hidden="1">{#N/A,#N/A,FALSE,"단축1";#N/A,#N/A,FALSE,"단축2";#N/A,#N/A,FALSE,"단축3";#N/A,#N/A,FALSE,"장축";#N/A,#N/A,FALSE,"4WD"}</definedName>
    <definedName name="R_SHOCK_WS" hidden="1">{#N/A,#N/A,FALSE,"Cost Card";#N/A,#N/A,FALSE,"CSTANS";#N/A,#N/A,FALSE,"INVEST"}</definedName>
    <definedName name="Ranger" hidden="1">{"employment",#N/A,FALSE,"Page1";"launch",#N/A,FALSE,"Page1";"overtime",#N/A,FALSE,"Page1";"total cost",#N/A,FALSE,"Page1";"volume",#N/A,FALSE,"Page1";"cost",#N/A,FALSE,"Page2";"health",#N/A,FALSE,"Page2";"inventory",#N/A,FALSE,"Page2";"quality",#N/A,FALSE,"Page2";"uptime",#N/A,FALSE,"Page2"}</definedName>
    <definedName name="RAPL1" hidden="1">#REF!</definedName>
    <definedName name="RCArea" hidden="1">#REF!</definedName>
    <definedName name="rdfdbbbdgbgbgfbgfbgfbgf" hidden="1">{#N/A,#N/A,FALSE,"KMC최종회의(7월) 자료"}</definedName>
    <definedName name="RDG" hidden="1">{#N/A,#N/A,FALSE,"단축1";#N/A,#N/A,FALSE,"단축2";#N/A,#N/A,FALSE,"단축3";#N/A,#N/A,FALSE,"장축";#N/A,#N/A,FALSE,"4WD"}</definedName>
    <definedName name="rdk" hidden="1">{"LES",#N/A,FALSE,"PRINT";"TFI",#N/A,FALSE,"PRINT"}</definedName>
    <definedName name="rdk_2" hidden="1">{"LES",#N/A,FALSE,"PRINT";"TFI",#N/A,FALSE,"PRINT"}</definedName>
    <definedName name="rdk_3" hidden="1">{"LES",#N/A,FALSE,"PRINT";"TFI",#N/A,FALSE,"PRINT"}</definedName>
    <definedName name="rdk_4" hidden="1">{"LES",#N/A,FALSE,"PRINT";"TFI",#N/A,FALSE,"PRINT"}</definedName>
    <definedName name="rdk_5" hidden="1">{"LES",#N/A,FALSE,"PRINT";"TFI",#N/A,FALSE,"PRINT"}</definedName>
    <definedName name="RE" hidden="1">{#N/A,#N/A,FALSE,"초도품";#N/A,#N/A,FALSE,"초도품 (2)";#N/A,#N/A,FALSE,"초도품 (3)";#N/A,#N/A,FALSE,"초도품 (4)";#N/A,#N/A,FALSE,"초도품 (5)";#N/A,#N/A,FALSE,"초도품 (6)"}</definedName>
    <definedName name="REal" hidden="1">{#N/A,#N/A,TRUE,"Engine";#N/A,#N/A,TRUE,"Trans 5R55N";#N/A,#N/A,TRUE,"Manual Trans";#N/A,#N/A,TRUE,"DS and Axle";#N/A,#N/A,TRUE,"PTSSE";#N/A,#N/A,TRUE,"Summary"}</definedName>
    <definedName name="REAR" hidden="1">{#N/A,#N/A,FALSE,"단축1";#N/A,#N/A,FALSE,"단축2";#N/A,#N/A,FALSE,"단축3";#N/A,#N/A,FALSE,"장축";#N/A,#N/A,FALSE,"4WD"}</definedName>
    <definedName name="reer" hidden="1">{#N/A,#N/A,TRUE,"Erfassungsbogen";#N/A,#N/A,TRUE,"Auswertung PA";#N/A,#N/A,TRUE,"Auswertung BB";#N/A,#N/A,TRUE,"Auswertung BE";#N/A,#N/A,TRUE,"Auswertung DSR";#N/A,#N/A,TRUE,"Auswertung KS";#N/A,#N/A,TRUE,"Auswertung CS";#N/A,#N/A,TRUE,"Auswertung Gesamt";#N/A,#N/A,TRUE,"Proz.v. Ges.ums-aufw-ertrag";#N/A,#N/A,TRUE,"Leistungen pro Mitarbeiter"}</definedName>
    <definedName name="reggie" hidden="1">{#N/A,#N/A,FALSE,"Pharm";#N/A,#N/A,FALSE,"WWCM"}</definedName>
    <definedName name="rehagh" hidden="1">{#N/A,#N/A,FALSE,"96 3월물량표";#N/A,#N/A,FALSE,"96 4월물량표";#N/A,#N/A,FALSE,"96 5월물량표"}</definedName>
    <definedName name="Reporting_Calenderisation" hidden="1">{#N/A,#N/A,FALSE,"title";#N/A,#N/A,FALSE,"AVE VEH";#N/A,#N/A,FALSE,"METRICS";#N/A,#N/A,FALSE,"Prod Cost";#N/A,#N/A,FALSE,"CMTOTCST";#N/A,#N/A,FALSE,"Roadmap";#N/A,#N/A,FALSE,"Road Text";#N/A,#N/A,FALSE,"VAVE";#N/A,#N/A,FALSE,"Warranty #1";#N/A,#N/A,FALSE,"Warranty #2";#N/A,#N/A,FALSE,"Purchasing"}</definedName>
    <definedName name="Reporting_Calenderisation_1" hidden="1">{#N/A,#N/A,FALSE,"title";#N/A,#N/A,FALSE,"AVE VEH";#N/A,#N/A,FALSE,"METRICS";#N/A,#N/A,FALSE,"Prod Cost";#N/A,#N/A,FALSE,"CMTOTCST";#N/A,#N/A,FALSE,"Roadmap";#N/A,#N/A,FALSE,"Road Text";#N/A,#N/A,FALSE,"VAVE";#N/A,#N/A,FALSE,"Warranty #1";#N/A,#N/A,FALSE,"Warranty #2";#N/A,#N/A,FALSE,"Purchasing"}</definedName>
    <definedName name="Reporting_Calenderisation_2" hidden="1">{#N/A,#N/A,FALSE,"title";#N/A,#N/A,FALSE,"AVE VEH";#N/A,#N/A,FALSE,"METRICS";#N/A,#N/A,FALSE,"Prod Cost";#N/A,#N/A,FALSE,"CMTOTCST";#N/A,#N/A,FALSE,"Roadmap";#N/A,#N/A,FALSE,"Road Text";#N/A,#N/A,FALSE,"VAVE";#N/A,#N/A,FALSE,"Warranty #1";#N/A,#N/A,FALSE,"Warranty #2";#N/A,#N/A,FALSE,"Purchasing"}</definedName>
    <definedName name="Reporting_Calenderisation_2_1" hidden="1">{#N/A,#N/A,FALSE,"title";#N/A,#N/A,FALSE,"AVE VEH";#N/A,#N/A,FALSE,"METRICS";#N/A,#N/A,FALSE,"Prod Cost";#N/A,#N/A,FALSE,"CMTOTCST";#N/A,#N/A,FALSE,"Roadmap";#N/A,#N/A,FALSE,"Road Text";#N/A,#N/A,FALSE,"VAVE";#N/A,#N/A,FALSE,"Warranty #1";#N/A,#N/A,FALSE,"Warranty #2";#N/A,#N/A,FALSE,"Purchasing"}</definedName>
    <definedName name="Reporting_Calenderisation_3" hidden="1">{#N/A,#N/A,FALSE,"title";#N/A,#N/A,FALSE,"AVE VEH";#N/A,#N/A,FALSE,"METRICS";#N/A,#N/A,FALSE,"Prod Cost";#N/A,#N/A,FALSE,"CMTOTCST";#N/A,#N/A,FALSE,"Roadmap";#N/A,#N/A,FALSE,"Road Text";#N/A,#N/A,FALSE,"VAVE";#N/A,#N/A,FALSE,"Warranty #1";#N/A,#N/A,FALSE,"Warranty #2";#N/A,#N/A,FALSE,"Purchasing"}</definedName>
    <definedName name="Reporting_Calenderisation_3_1" hidden="1">{#N/A,#N/A,FALSE,"title";#N/A,#N/A,FALSE,"AVE VEH";#N/A,#N/A,FALSE,"METRICS";#N/A,#N/A,FALSE,"Prod Cost";#N/A,#N/A,FALSE,"CMTOTCST";#N/A,#N/A,FALSE,"Roadmap";#N/A,#N/A,FALSE,"Road Text";#N/A,#N/A,FALSE,"VAVE";#N/A,#N/A,FALSE,"Warranty #1";#N/A,#N/A,FALSE,"Warranty #2";#N/A,#N/A,FALSE,"Purchasing"}</definedName>
    <definedName name="Reporting_Calenderisation_4" hidden="1">{#N/A,#N/A,FALSE,"title";#N/A,#N/A,FALSE,"AVE VEH";#N/A,#N/A,FALSE,"METRICS";#N/A,#N/A,FALSE,"Prod Cost";#N/A,#N/A,FALSE,"CMTOTCST";#N/A,#N/A,FALSE,"Roadmap";#N/A,#N/A,FALSE,"Road Text";#N/A,#N/A,FALSE,"VAVE";#N/A,#N/A,FALSE,"Warranty #1";#N/A,#N/A,FALSE,"Warranty #2";#N/A,#N/A,FALSE,"Purchasing"}</definedName>
    <definedName name="rer" hidden="1">#REF!</definedName>
    <definedName name="resp." hidden="1">{#N/A,#N/A,FALSE,"Pharm";#N/A,#N/A,FALSE,"WWCM"}</definedName>
    <definedName name="RETG" hidden="1">{#N/A,#N/A,FALSE,"단축1";#N/A,#N/A,FALSE,"단축2";#N/A,#N/A,FALSE,"단축3";#N/A,#N/A,FALSE,"장축";#N/A,#N/A,FALSE,"4WD"}</definedName>
    <definedName name="Revenue" hidden="1">{#N/A,#N/A,FALSE,"Assumptions";#N/A,#N/A,FALSE,"Volumes";#N/A,#N/A,FALSE,"Pricing";#N/A,#N/A,FALSE,"Variable Cost";#N/A,#N/A,FALSE,"Investment";#N/A,#N/A,FALSE,"Profitability";#N/A,#N/A,FALSE,"Business Comparison"}</definedName>
    <definedName name="rewr" hidden="1">{#N/A,#N/A,FALSE,"이력서&amp;자기소개서"}</definedName>
    <definedName name="rf2e" hidden="1">{#N/A,#N/A,FALSE,"Pharm";#N/A,#N/A,FALSE,"WWCM"}</definedName>
    <definedName name="rfrew" hidden="1">{#N/A,#N/A,FALSE,"Cover";#N/A,#N/A,FALSE,"Assumptions";#N/A,#N/A,FALSE,"Volumes";#N/A,#N/A,FALSE,"Pricing";#N/A,#N/A,FALSE,"TFLE Walk";#N/A,#N/A,FALSE,"Variable Cost";#N/A,#N/A,FALSE,"Sensitivity";#N/A,#N/A,FALSE,"Investment";#N/A,#N/A,FALSE,"Profitability"}</definedName>
    <definedName name="RG" hidden="1">{#N/A,#N/A,FALSE,"단축1";#N/A,#N/A,FALSE,"단축2";#N/A,#N/A,FALSE,"단축3";#N/A,#N/A,FALSE,"장축";#N/A,#N/A,FALSE,"4WD"}</definedName>
    <definedName name="rgrg" hidden="1">{"profit statement",#N/A,FALSE,"P&amp;L STATEMENT"}</definedName>
    <definedName name="rgrsdg" hidden="1">{"manpower",#N/A,FALSE,"MANPOWER_PAYROLL"}</definedName>
    <definedName name="rgrsdgrsed" hidden="1">{"sga expense",#N/A,FALSE,"S,G&amp;A EXP"}</definedName>
    <definedName name="rgrsdgsr" hidden="1">{"sga expense",#N/A,FALSE,"S,G&amp;A EXP"}</definedName>
    <definedName name="rgrsegsre" hidden="1">{"capital",#N/A,FALSE,"CAPITAL_DEP'N"}</definedName>
    <definedName name="rgrsg" hidden="1">{"profit statement",#N/A,FALSE,"P&amp;L STATEMENT"}</definedName>
    <definedName name="rgrsgr" hidden="1">{"sga expense",#N/A,FALSE,"S,G&amp;A EXP"}</definedName>
    <definedName name="rgrsgrd" hidden="1">{"works expense",#N/A,FALSE,"WORKS EXPENSE"}</definedName>
    <definedName name="rgsdrg" hidden="1">{"sga expense",#N/A,FALSE,"S,G&amp;A EXP"}</definedName>
    <definedName name="rgsrdg" hidden="1">{"product cost",#N/A,FALSE,"P&amp;L STATEMENT"}</definedName>
    <definedName name="rgsredg" hidden="1">{"sga expense",#N/A,FALSE,"S,G&amp;A EXP"}</definedName>
    <definedName name="rgsrg" hidden="1">{"manpower",#N/A,FALSE,"MANPOWER_PAYROLL"}</definedName>
    <definedName name="rh" hidden="1">{#N/A,#N/A,FALSE,"KMC최종회의(7월) 자료"}</definedName>
    <definedName name="RHD" hidden="1">{#N/A,#N/A,FALSE,"단축1";#N/A,#N/A,FALSE,"단축2";#N/A,#N/A,FALSE,"단축3";#N/A,#N/A,FALSE,"장축";#N/A,#N/A,FALSE,"4WD"}</definedName>
    <definedName name="RHDDB" hidden="1">{#N/A,#N/A,FALSE,"KMC최종회의(7월) 자료"}</definedName>
    <definedName name="RHDTN" hidden="1">{#N/A,#N/A,FALSE,"KMC최종회의(7월) 자료"}</definedName>
    <definedName name="ri" hidden="1">{"Fiesta Facer Page",#N/A,FALSE,"Q_C_S";"Fiesta Main Page",#N/A,FALSE,"V_L";"Fiesta 95BP Struct",#N/A,FALSE,"StructBP";"Fiesta Post 95BP Struct",#N/A,FALSE,"AdjStructBP"}</definedName>
    <definedName name="ring" hidden="1">{#N/A,#N/A,FALSE,"Cash Flows";#N/A,#N/A,FALSE,"Fixed Assets";#N/A,#N/A,FALSE,"Balance Sheet";#N/A,#N/A,FALSE,"P &amp; L"}</definedName>
    <definedName name="river" hidden="1">{#N/A,#N/A,FALSE,"Cash Flows";#N/A,#N/A,FALSE,"Fixed Assets";#N/A,#N/A,FALSE,"Balance Sheet";#N/A,#N/A,FALSE,"P &amp; L"}</definedName>
    <definedName name="rjutzjt" hidden="1">{"Presentation",#N/A,FALSE,"Feb96 - ALL"}</definedName>
    <definedName name="RK" hidden="1">{#N/A,#N/A,TRUE,"Y생산";#N/A,#N/A,TRUE,"Y판매";#N/A,#N/A,TRUE,"Y총물량";#N/A,#N/A,TRUE,"Y능력";#N/A,#N/A,TRUE,"YKD"}</definedName>
    <definedName name="rkd" hidden="1">{#N/A,#N/A,FALSE,"단축1";#N/A,#N/A,FALSE,"단축2";#N/A,#N/A,FALSE,"단축3";#N/A,#N/A,FALSE,"장축";#N/A,#N/A,FALSE,"4WD"}</definedName>
    <definedName name="RKLLL"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kwk" hidden="1">{#N/A,#N/A,TRUE,"Y생산";#N/A,#N/A,TRUE,"Y판매";#N/A,#N/A,TRUE,"Y총물량";#N/A,#N/A,TRUE,"Y능력";#N/A,#N/A,TRUE,"YKD"}</definedName>
    <definedName name="rlacl" hidden="1">{#N/A,#N/A,FALSE,"KMC최종회의(7월) 자료"}</definedName>
    <definedName name="RLDK" hidden="1">{#N/A,#N/A,FALSE,"정공"}</definedName>
    <definedName name="RMC_XL_SYS">1</definedName>
    <definedName name="RNJS" hidden="1">{#N/A,#N/A,FALSE,"KMC최종회의(7월) 자료"}</definedName>
    <definedName name="rnjsdudrkq" hidden="1">{#N/A,#N/A,FALSE,"KMC최종회의(7월) 자료"}</definedName>
    <definedName name="RoCam" hidden="1">{#N/A,#N/A,FALSE,"Cover Sheet";#N/A,#N/A,FALSE,"Ave_Trans_Shp_Abs";#N/A,#N/A,FALSE,"Det_Shp_Abs";#N/A,#N/A,FALSE,"Ave_Trans_Inst_Abs";#N/A,#N/A,FALSE,"Det_Ins_Abs";#N/A,#N/A,FALSE,"Ave_Trans_Tot_ABS";#N/A,#N/A,FALSE,"Det_Total_ABS"}</definedName>
    <definedName name="rocam1" hidden="1">{#N/A,#N/A,FALSE,"Cover Sheet";#N/A,#N/A,FALSE,"Ave_Trans_Shp_Abs";#N/A,#N/A,FALSE,"Det_Shp_Abs";#N/A,#N/A,FALSE,"Ave_Trans_Inst_Abs";#N/A,#N/A,FALSE,"Det_Ins_Abs";#N/A,#N/A,FALSE,"Ave_Trans_Tot_ABS";#N/A,#N/A,FALSE,"Det_Total_ABS"}</definedName>
    <definedName name="roche" hidden="1">{"Rates_Summ",#N/A,TRUE,"Rates";"I_Poriginal",#N/A,TRUE,"I_P";"Pctgs_original",#N/A,TRUE,"Pctgs";"Rates_Main",#N/A,TRUE,"Rates"}</definedName>
    <definedName name="Roladora" hidden="1">{#N/A,#N/A,FALSE,"Sheet3"}</definedName>
    <definedName name="ROLL" hidden="1">{#N/A,#N/A,FALSE,"정공"}</definedName>
    <definedName name="ROTJSRHKWJD1" hidden="1">{#N/A,#N/A,FALSE,"단축1";#N/A,#N/A,FALSE,"단축2";#N/A,#N/A,FALSE,"단축3";#N/A,#N/A,FALSE,"장축";#N/A,#N/A,FALSE,"4WD"}</definedName>
    <definedName name="rr" hidden="1">{"Fiesta Facer Page",#N/A,FALSE,"Q_C_S";"Fiesta Main Page",#N/A,FALSE,"V_L";"Fiesta 95BP Struct",#N/A,FALSE,"StructBP";"Fiesta Post 95BP Struct",#N/A,FALSE,"AdjStructBP"}</definedName>
    <definedName name="RR.BRAKE" hidden="1">{#N/A,#N/A,FALSE,"단축1";#N/A,#N/A,FALSE,"단축2";#N/A,#N/A,FALSE,"단축3";#N/A,#N/A,FALSE,"장축";#N/A,#N/A,FALSE,"4WD"}</definedName>
    <definedName name="RR.BRK" hidden="1">{#N/A,#N/A,FALSE,"단축1";#N/A,#N/A,FALSE,"단축2";#N/A,#N/A,FALSE,"단축3";#N/A,#N/A,FALSE,"장축";#N/A,#N/A,FALSE,"4WD"}</definedName>
    <definedName name="RRGR" hidden="1">{#N/A,#N/A,FALSE,"단축1";#N/A,#N/A,FALSE,"단축2";#N/A,#N/A,FALSE,"단축3";#N/A,#N/A,FALSE,"장축";#N/A,#N/A,FALSE,"4WD"}</definedName>
    <definedName name="rrllrlrl" hidden="1">{#N/A,#N/A,FALSE,"단축1";#N/A,#N/A,FALSE,"단축2";#N/A,#N/A,FALSE,"단축3";#N/A,#N/A,FALSE,"장축";#N/A,#N/A,FALSE,"4WD"}</definedName>
    <definedName name="RRO" hidden="1">{#N/A,#N/A,FALSE,"Cover Sheet";#N/A,#N/A,FALSE,"Ave_Trans_Shp_Abs";#N/A,#N/A,FALSE,"Det_Shp_Abs";#N/A,#N/A,FALSE,"Ave_Trans_Inst_Abs";#N/A,#N/A,FALSE,"Det_Ins_Abs";#N/A,#N/A,FALSE,"Ave_Trans_Tot_ABS";#N/A,#N/A,FALSE,"Det_Total_ABS"}</definedName>
    <definedName name="RRR" hidden="1">{#N/A,#N/A,FALSE,"단축1";#N/A,#N/A,FALSE,"단축2";#N/A,#N/A,FALSE,"단축3";#N/A,#N/A,FALSE,"장축";#N/A,#N/A,FALSE,"4WD"}</definedName>
    <definedName name="rrrrr" hidden="1">{#N/A,#N/A,FALSE,"Pharm";#N/A,#N/A,FALSE,"WWCM"}</definedName>
    <definedName name="RRRRRRRR" hidden="1">#REF!</definedName>
    <definedName name="rt" hidden="1">{"Fiesta Facer Page",#N/A,FALSE,"Q_C_S";"Fiesta Main Page",#N/A,FALSE,"V_L";"Fiesta 95BP Struct",#N/A,FALSE,"StructBP";"Fiesta Post 95BP Struct",#N/A,FALSE,"AdjStructBP"}</definedName>
    <definedName name="rth" hidden="1">{"'표지'!$B$5"}</definedName>
    <definedName name="RTJTYM" hidden="1">{#N/A,#N/A,FALSE,"96 3월물량표";#N/A,#N/A,FALSE,"96 4월물량표";#N/A,#N/A,FALSE,"96 5월물량표"}</definedName>
    <definedName name="rtoihgf" hidden="1">{"Fiesta Facer Page",#N/A,FALSE,"Q_C_S";"Fiesta Main Page",#N/A,FALSE,"V_L";"Fiesta 95BP Struct",#N/A,FALSE,"StructBP";"Fiesta Post 95BP Struct",#N/A,FALSE,"AdjStructBP"}</definedName>
    <definedName name="rtu" hidden="1">{#N/A,#N/A,TRUE,"Y생산";#N/A,#N/A,TRUE,"Y판매";#N/A,#N/A,TRUE,"Y총물량";#N/A,#N/A,TRUE,"Y능력";#N/A,#N/A,TRUE,"YKD"}</definedName>
    <definedName name="RTYG" hidden="1">{#N/A,#N/A,FALSE,"단축1";#N/A,#N/A,FALSE,"단축2";#N/A,#N/A,FALSE,"단축3";#N/A,#N/A,FALSE,"장축";#N/A,#N/A,FALSE,"4WD"}</definedName>
    <definedName name="rwert" hidden="1">{#N/A,#N/A,FALSE,"Pharm";#N/A,#N/A,FALSE,"WWCM"}</definedName>
    <definedName name="rytet" hidden="1">{"Title_Page",#N/A,FALSE,"Title Page";"II_Facer",#N/A,FALSE,"(1f)-Issue-to-Issue";"Fcst_II",#N/A,FALSE,"(1)-PROFIT SUM.";"II_Facer",#N/A,FALSE,"(2f)-R&amp;OFacer";"Risk_Adj._Fcst.",#N/A,FALSE,"(2)-Risk Adj. Fcst.";"Fcst._to_Budget",#N/A,FALSE,"(3)-Fcst. to Bdgt.";"Yr._O_Yr",#N/A,FALSE,"(4)-Yr.-O-Yr."}</definedName>
    <definedName name="rz" hidden="1">{"Presentation",#N/A,FALSE,"Feb96 - ALL"}</definedName>
    <definedName name="ｓ" hidden="1">#REF!</definedName>
    <definedName name="s." hidden="1">{#N/A,#N/A,TRUE,"dew_x200";#N/A,#N/A,TRUE,"cvgm_twncr_must";#N/A,#N/A,TRUE,"x100_x300_falcn";#N/A,#N/A,TRUE,"t_mark_scorp";#N/A,#N/A,TRUE,"VC3GRAF"}</definedName>
    <definedName name="S0" hidden="1">{#N/A,#N/A,FALSE,"KMC최종회의(7월) 자료"}</definedName>
    <definedName name="saa" hidden="1">{#N/A,#N/A,FALSE,"미판매분"}</definedName>
    <definedName name="SAAA1" hidden="1">{#N/A,#N/A,FALSE,"단축1";#N/A,#N/A,FALSE,"단축2";#N/A,#N/A,FALSE,"단축3";#N/A,#N/A,FALSE,"장축";#N/A,#N/A,FALSE,"4WD"}</definedName>
    <definedName name="sad" hidden="1">{"Fiesta Facer Page",#N/A,FALSE,"Q_C_S";"Fiesta Main Page",#N/A,FALSE,"V_L";"Fiesta 95BP Struct",#N/A,FALSE,"StructBP";"Fiesta Post 95BP Struct",#N/A,FALSE,"AdjStructBP"}</definedName>
    <definedName name="sadfsafsa" hidden="1">{#N/A,#N/A,FALSE,"Profit Status";#N/A,#N/A,FALSE,"Invest";#N/A,#N/A,FALSE,"Revenue";#N/A,#N/A,FALSE,"Variable Cost";#N/A,#N/A,FALSE,"Options &amp; Series"}</definedName>
    <definedName name="saff" hidden="1">{#N/A,#N/A,FALSE,"KMC최종회의(7월) 자료"}</definedName>
    <definedName name="Sales_Current">OFFSET([2]Action_input!#REF!,0,0,COUNTIF([2]Action_input!#REF!,"&gt;0")+1)</definedName>
    <definedName name="Sales_LE">OFFSET([2]Action_input!#REF!,0,0,COUNTIF([2]Action_input!#REF!,"&gt;0")+1)</definedName>
    <definedName name="Sales_Product">OFFSET([2]Action_input!#REF!,0,0,COUNTIF([2]Action_input!#REF!,"&gt;0")+1)</definedName>
    <definedName name="sally" hidden="1">{#N/A,#N/A,FALSE,"Pharm";#N/A,#N/A,FALSE,"WWCM"}</definedName>
    <definedName name="SAPBEXdnldView" hidden="1">"4K3B9OL5ZFKO9J0GTW0V7UPSA"</definedName>
    <definedName name="SAPBEXhrIndnt" hidden="1">"Wide"</definedName>
    <definedName name="SAPBEXrevision" hidden="1">8</definedName>
    <definedName name="SAPBEXsysID" hidden="1">"MBP"</definedName>
    <definedName name="SAPBEXwbID" hidden="1">"7CTURTFU7M5Z7PSB9RFD64RO8"</definedName>
    <definedName name="SAPsysID" hidden="1">"708C5W7SBKP804JT78WJ0JNKI"</definedName>
    <definedName name="SAPwbID" hidden="1">"ARS"</definedName>
    <definedName name="sare" hidden="1">{"Title_Page",#N/A,FALSE,"Title Page";"II_Facer",#N/A,FALSE,"(1f)-Issue-to-Issue";"Fcst_II",#N/A,FALSE,"(1)-PROFIT SUM.";"II_Facer",#N/A,FALSE,"(2f)-R&amp;OFacer";"Risk_Adj._Fcst.",#N/A,FALSE,"(2)-Risk Adj. Fcst.";"Fcst._to_Budget",#N/A,FALSE,"(3)-Fcst. to Bdgt.";"Yr._O_Yr",#N/A,FALSE,"(4)-Yr.-O-Yr."}</definedName>
    <definedName name="SAS" hidden="1">{#N/A,#N/A,FALSE,"단축1";#N/A,#N/A,FALSE,"단축2";#N/A,#N/A,FALSE,"단축3";#N/A,#N/A,FALSE,"장축";#N/A,#N/A,FALSE,"4WD"}</definedName>
    <definedName name="sasd" hidden="1">{#N/A,#N/A,FALSE,"KMC최종회의(7월) 자료"}</definedName>
    <definedName name="sasdf" hidden="1">{#N/A,#N/A,FALSE,"KMC최종회의(7월) 자료"}</definedName>
    <definedName name="sasf" hidden="1">{#N/A,#N/A,FALSE,"KMC최종회의(7월) 자료"}</definedName>
    <definedName name="sawrhbAZ" hidden="1">{#N/A,#N/A,FALSE,"단축1";#N/A,#N/A,FALSE,"단축2";#N/A,#N/A,FALSE,"단축3";#N/A,#N/A,FALSE,"장축";#N/A,#N/A,FALSE,"4WD"}</definedName>
    <definedName name="sayang" hidden="1">{#N/A,#N/A,FALSE,"단축1";#N/A,#N/A,FALSE,"단축2";#N/A,#N/A,FALSE,"단축3";#N/A,#N/A,FALSE,"장축";#N/A,#N/A,FALSE,"4WD"}</definedName>
    <definedName name="sb" hidden="1">{"capital",#N/A,FALSE,"CAPITAL_DEP'N"}</definedName>
    <definedName name="SCE">"SCENARIO#"</definedName>
    <definedName name="scg" hidden="1">{"profit statement",#N/A,FALSE,"P&amp;L STATEMENT"}</definedName>
    <definedName name="screfea" hidden="1">{"Presentation",#N/A,FALSE,"Feb96 - ALL"}</definedName>
    <definedName name="SDA" hidden="1">{#N/A,#N/A,FALSE,"KMC최종회의(7월) 자료"}</definedName>
    <definedName name="SD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fgs" hidden="1">{#N/A,#N/A,FALSE,"Pharm";#N/A,#N/A,FALSE,"WWCM"}</definedName>
    <definedName name="sdagasdg" hidden="1">{#N/A,#N/A,FALSE,"96 3월물량표";#N/A,#N/A,FALSE,"96 4월물량표";#N/A,#N/A,FALSE,"96 5월물량표"}</definedName>
    <definedName name="sdasfd" hidden="1">{#N/A,#N/A,FALSE,"Feuil3"}</definedName>
    <definedName name="sdd" hidden="1">{"'5'!$A$1:$BB$147"}</definedName>
    <definedName name="SDDSD" hidden="1">{#N/A,#N/A,FALSE,"단축1";#N/A,#N/A,FALSE,"단축2";#N/A,#N/A,FALSE,"단축3";#N/A,#N/A,FALSE,"장축";#N/A,#N/A,FALSE,"4WD"}</definedName>
    <definedName name="sde" hidden="1">{#N/A,#N/A,FALSE,"Cover";#N/A,#N/A,FALSE,"Assumptions";#N/A,#N/A,FALSE,"Volumes";#N/A,#N/A,FALSE,"Pricing";#N/A,#N/A,FALSE,"TFLE Walk";#N/A,#N/A,FALSE,"Variable Cost";#N/A,#N/A,FALSE,"Sensitivity";#N/A,#N/A,FALSE,"Investment";#N/A,#N/A,FALSE,"Profitability"}</definedName>
    <definedName name="sdf" hidden="1">{#N/A,#N/A,FALSE,"Cover Sheet";#N/A,#N/A,FALSE,"Ave_Trans_Shp_Abs";#N/A,#N/A,FALSE,"Det_Shp_Abs";#N/A,#N/A,FALSE,"Ave_Trans_Inst_Abs";#N/A,#N/A,FALSE,"Det_Ins_Abs";#N/A,#N/A,FALSE,"Ave_Trans_Tot_ABS";#N/A,#N/A,FALSE,"Det_Total_ABS"}</definedName>
    <definedName name="ｓｄｆ" hidden="1">{#N/A,#N/A,FALSE,"Assumptions";#N/A,#N/A,FALSE,"Volumes";#N/A,#N/A,FALSE,"Pricing";#N/A,#N/A,FALSE,"Variable Cost";#N/A,#N/A,FALSE,"Investment";#N/A,#N/A,FALSE,"Profitability";#N/A,#N/A,FALSE,"Business Comparison"}</definedName>
    <definedName name="SDFAD" hidden="1">{#N/A,#N/A,FALSE,"단축1";#N/A,#N/A,FALSE,"단축2";#N/A,#N/A,FALSE,"단축3";#N/A,#N/A,FALSE,"장축";#N/A,#N/A,FALSE,"4WD"}</definedName>
    <definedName name="SDFBC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ds" hidden="1">{#N/A,#N/A,FALSE,"KMC최종회의(7월) 자료"}</definedName>
    <definedName name="ｓｄｆｇ" hidden="1">{#N/A,#N/A,FALSE,"Cover";#N/A,#N/A,FALSE,"Assumptions";#N/A,#N/A,FALSE,"Volumes";#N/A,#N/A,FALSE,"Pricing";#N/A,#N/A,FALSE,"TFLE Walk";#N/A,#N/A,FALSE,"Variable Cost";#N/A,#N/A,FALSE,"Sensitivity";#N/A,#N/A,FALSE,"Investment";#N/A,#N/A,FALSE,"Profitability"}</definedName>
    <definedName name="SDFGH" hidden="1">{#N/A,#N/A,FALSE,"단축1";#N/A,#N/A,FALSE,"단축2";#N/A,#N/A,FALSE,"단축3";#N/A,#N/A,FALSE,"장축";#N/A,#N/A,FALSE,"4WD"}</definedName>
    <definedName name="sdfgrg" hidden="1">{"profit statement",#N/A,FALSE,"P&amp;L STATEMENT"}</definedName>
    <definedName name="sdfgs5rtsdrgsdfgre" hidden="1">{"sga expense",#N/A,FALSE,"S,G&amp;A EXP"}</definedName>
    <definedName name="sdfgsdfg" hidden="1">{"profit statement",#N/A,FALSE,"P&amp;L STATEMENT"}</definedName>
    <definedName name="sdfgsdftrg" hidden="1">{"works expense",#N/A,FALSE,"WORKS EXPENSE"}</definedName>
    <definedName name="SDFGS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drg" hidden="1">{"capital",#N/A,FALSE,"CAPITAL_DEP'N"}</definedName>
    <definedName name="SDFGSE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dfgsf" hidden="1">{"works expense",#N/A,FALSE,"WORKS EXPENSE"}</definedName>
    <definedName name="SDFGS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rgr" hidden="1">{"profit statement",#N/A,FALSE,"P&amp;L STATEMENT"}</definedName>
    <definedName name="SDFH" hidden="1">{#N/A,#N/A,FALSE,"단축1";#N/A,#N/A,FALSE,"단축2";#N/A,#N/A,FALSE,"단축3";#N/A,#N/A,FALSE,"장축";#N/A,#N/A,FALSE,"4WD"}</definedName>
    <definedName name="sdfhwery" hidden="1">{#N/A,#N/A,TRUE,"Y생산";#N/A,#N/A,TRUE,"Y판매";#N/A,#N/A,TRUE,"Y총물량";#N/A,#N/A,TRUE,"Y능력";#N/A,#N/A,TRUE,"YKD"}</definedName>
    <definedName name="sdfrgd" hidden="1">{"EXPORT",#N/A,FALSE,"A8CONTENT"}</definedName>
    <definedName name="SDFS" hidden="1">{#N/A,#N/A,FALSE,"단축1";#N/A,#N/A,FALSE,"단축2";#N/A,#N/A,FALSE,"단축3";#N/A,#N/A,FALSE,"장축";#N/A,#N/A,FALSE,"4WD"}</definedName>
    <definedName name="sdfsa" hidden="1">{#N/A,#N/A,FALSE,"KMC최종회의(7월) 자료"}</definedName>
    <definedName name="sdfsdf" hidden="1">{#N/A,#N/A,FALSE,"Assumptions";#N/A,#N/A,FALSE,"Volumes";#N/A,#N/A,FALSE,"Pricing";#N/A,#N/A,FALSE,"Variable Cost";#N/A,#N/A,FALSE,"Investment";#N/A,#N/A,FALSE,"Profitability";#N/A,#N/A,FALSE,"Business Comparison"}</definedName>
    <definedName name="sdfsf" hidden="1">{#N/A,#N/A,FALSE,"UW152PPL"}</definedName>
    <definedName name="SDF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WG" hidden="1">{#N/A,#N/A,FALSE,"단축1";#N/A,#N/A,FALSE,"단축2";#N/A,#N/A,FALSE,"단축3";#N/A,#N/A,FALSE,"장축";#N/A,#N/A,FALSE,"4WD"}</definedName>
    <definedName name="SDFY" hidden="1">{#N/A,#N/A,FALSE,"인원";#N/A,#N/A,FALSE,"비용2";#N/A,#N/A,FALSE,"비용1";#N/A,#N/A,FALSE,"비용";#N/A,#N/A,FALSE,"보증2";#N/A,#N/A,FALSE,"보증1";#N/A,#N/A,FALSE,"보증";#N/A,#N/A,FALSE,"손익1";#N/A,#N/A,FALSE,"손익";#N/A,#N/A,FALSE,"부서별매출";#N/A,#N/A,FALSE,"매출"}</definedName>
    <definedName name="sdg" hidden="1">{"capital",#N/A,FALSE,"CAPITAL_DEP'N"}</definedName>
    <definedName name="ｓｄｇ" hidden="1">{#N/A,#N/A,FALSE,"Cover";#N/A,#N/A,FALSE,"Profits";#N/A,#N/A,FALSE,"ABS";#N/A,#N/A,FALSE,"TFLE Detail";#N/A,#N/A,FALSE,"TFLE Walk";#N/A,#N/A,FALSE,"Variable Cost";#N/A,#N/A,FALSE,"V.C. Walk"}</definedName>
    <definedName name="sdgagf" hidden="1">{#N/A,#N/A,FALSE,"Pharm";#N/A,#N/A,FALSE,"WWCM"}</definedName>
    <definedName name="sdgrf" hidden="1">{"works expense",#N/A,FALSE,"WORKS EXPENSE"}</definedName>
    <definedName name="sdgrgr" hidden="1">{"profit statement",#N/A,FALSE,"P&amp;L STATEMENT"}</definedName>
    <definedName name="sdgsd" hidden="1">{"Rates_Summ",#N/A,TRUE,"Rates";"I_Poriginal",#N/A,TRUE,"I_P";"Pctgs_original",#N/A,TRUE,"Pctgs";"Rates_Main",#N/A,TRUE,"Rates"}</definedName>
    <definedName name="SDGS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HSD" hidden="1">{#N/A,#N/A,FALSE,"단축1";#N/A,#N/A,FALSE,"단축2";#N/A,#N/A,FALSE,"단축3";#N/A,#N/A,FALSE,"장축";#N/A,#N/A,FALSE,"4WD"}</definedName>
    <definedName name="sdrgsrdgsr" hidden="1">{"profit statement",#N/A,FALSE,"P&amp;L STATEMENT"}</definedName>
    <definedName name="sdrgsrs" hidden="1">{"works expense",#N/A,FALSE,"WORKS EXPENSE"}</definedName>
    <definedName name="SDR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s" hidden="1">#REF!</definedName>
    <definedName name="sdsadasd" hidden="1">{#N/A,#N/A,FALSE,"Pharm";#N/A,#N/A,FALSE,"WWCM"}</definedName>
    <definedName name="SDSD" hidden="1">{#N/A,#N/A,FALSE,"단축1";#N/A,#N/A,FALSE,"단축2";#N/A,#N/A,FALSE,"단축3";#N/A,#N/A,FALSE,"장축";#N/A,#N/A,FALSE,"4WD"}</definedName>
    <definedName name="SDSS" hidden="1">{#N/A,#N/A,FALSE,"단축1";#N/A,#N/A,FALSE,"단축2";#N/A,#N/A,FALSE,"단축3";#N/A,#N/A,FALSE,"장축";#N/A,#N/A,FALSE,"4WD"}</definedName>
    <definedName name="SEGHRTH" hidden="1">{#N/A,#N/A,FALSE,"단축1";#N/A,#N/A,FALSE,"단축2";#N/A,#N/A,FALSE,"단축3";#N/A,#N/A,FALSE,"장축";#N/A,#N/A,FALSE,"4WD"}</definedName>
    <definedName name="seit" hidden="1">{#N/A,#N/A,TRUE,"Erfassungsbogen";#N/A,#N/A,TRUE,"Auswertung PA";#N/A,#N/A,TRUE,"Auswertung BB";#N/A,#N/A,TRUE,"Auswertung BE";#N/A,#N/A,TRUE,"Auswertung DSR";#N/A,#N/A,TRUE,"Auswertung KS";#N/A,#N/A,TRUE,"Auswertung CS";#N/A,#N/A,TRUE,"Auswertung Gesamt";#N/A,#N/A,TRUE,"Proz.v. Ges.ums-aufw-ertrag";#N/A,#N/A,TRUE,"Leistungen pro Mitarbeiter"}</definedName>
    <definedName name="seit_1" hidden="1">{#N/A,#N/A,TRUE,"Erfassungsbogen";#N/A,#N/A,TRUE,"Auswertung PA";#N/A,#N/A,TRUE,"Auswertung BB";#N/A,#N/A,TRUE,"Auswertung BE";#N/A,#N/A,TRUE,"Auswertung DSR";#N/A,#N/A,TRUE,"Auswertung KS";#N/A,#N/A,TRUE,"Auswertung CS";#N/A,#N/A,TRUE,"Auswertung Gesamt";#N/A,#N/A,TRUE,"Proz.v. Ges.ums-aufw-ertrag";#N/A,#N/A,TRUE,"Leistungen pro Mitarbeiter"}</definedName>
    <definedName name="seit_2" hidden="1">{#N/A,#N/A,TRUE,"Erfassungsbogen";#N/A,#N/A,TRUE,"Auswertung PA";#N/A,#N/A,TRUE,"Auswertung BB";#N/A,#N/A,TRUE,"Auswertung BE";#N/A,#N/A,TRUE,"Auswertung DSR";#N/A,#N/A,TRUE,"Auswertung KS";#N/A,#N/A,TRUE,"Auswertung CS";#N/A,#N/A,TRUE,"Auswertung Gesamt";#N/A,#N/A,TRUE,"Proz.v. Ges.ums-aufw-ertrag";#N/A,#N/A,TRUE,"Leistungen pro Mitarbeiter"}</definedName>
    <definedName name="SEJINBS" hidden="1">{#N/A,#N/A,FALSE,"정공"}</definedName>
    <definedName name="Semi" hidden="1">{"capital",#N/A,FALSE,"CAPITAL_DEP'N"}</definedName>
    <definedName name="sencount" hidden="1">1</definedName>
    <definedName name="SERGT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rh" hidden="1">{#N/A,#N/A,TRUE,"Y생산";#N/A,#N/A,TRUE,"Y판매";#N/A,#N/A,TRUE,"Y총물량";#N/A,#N/A,TRUE,"Y능력";#N/A,#N/A,TRUE,"YKD"}</definedName>
    <definedName name="seryhj" hidden="1">{#N/A,#N/A,TRUE,"Y생산";#N/A,#N/A,TRUE,"Y판매";#N/A,#N/A,TRUE,"Y총물량";#N/A,#N/A,TRUE,"Y능력";#N/A,#N/A,TRUE,"YKD"}</definedName>
    <definedName name="SES" hidden="1">#REF!</definedName>
    <definedName name="sf" hidden="1">{#N/A,#N/A,FALSE,"Sales Graph";#N/A,#N/A,FALSE,"BUC Graph";#N/A,#N/A,FALSE,"P&amp;L - YTD"}</definedName>
    <definedName name="sfd" hidden="1">{#N/A,#N/A,FALSE,"Cover";#N/A,#N/A,FALSE,"Profits";#N/A,#N/A,FALSE,"ABS";#N/A,#N/A,FALSE,"TFLE Detail";#N/A,#N/A,FALSE,"TFLE Walk";#N/A,#N/A,FALSE,"Variable Cost";#N/A,#N/A,FALSE,"V.C. Walk"}</definedName>
    <definedName name="sfdg" hidden="1">{"manpower",#N/A,FALSE,"MANPOWER_PAYROLL"}</definedName>
    <definedName name="SFDGHG" hidden="1">{#N/A,#N/A,FALSE,"단축1";#N/A,#N/A,FALSE,"단축2";#N/A,#N/A,FALSE,"단축3";#N/A,#N/A,FALSE,"장축";#N/A,#N/A,FALSE,"4WD"}</definedName>
    <definedName name="sfdirect" hidden="1">{#N/A,#N/A,FALSE,"REPORT"}</definedName>
    <definedName name="sfgf" hidden="1">{"product cost",#N/A,FALSE,"P&amp;L STATEMENT"}</definedName>
    <definedName name="sfgfds" hidden="1">{"product cost",#N/A,FALSE,"P&amp;L STATEMENT"}</definedName>
    <definedName name="SFGHJK" hidden="1">{#N/A,#N/A,FALSE,"단축1";#N/A,#N/A,FALSE,"단축2";#N/A,#N/A,FALSE,"단축3";#N/A,#N/A,FALSE,"장축";#N/A,#N/A,FALSE,"4WD"}</definedName>
    <definedName name="sfgr" hidden="1">{"profit statement",#N/A,FALSE,"P&amp;L STATEMENT"}</definedName>
    <definedName name="sfgs" hidden="1">{"manpower",#N/A,FALSE,"MANPOWER_PAYROLL"}</definedName>
    <definedName name="sfgsdfg" hidden="1">{"product cost",#N/A,FALSE,"P&amp;L STATEMENT"}</definedName>
    <definedName name="sfgsrdg" hidden="1">{"capital",#N/A,FALSE,"CAPITAL_DEP'N"}</definedName>
    <definedName name="sfh" hidden="1">#REF!</definedName>
    <definedName name="SFHDSG" hidden="1">{#N/A,#N/A,FALSE,"단축1";#N/A,#N/A,FALSE,"단축2";#N/A,#N/A,FALSE,"단축3";#N/A,#N/A,FALSE,"장축";#N/A,#N/A,FALSE,"4WD"}</definedName>
    <definedName name="SFJGH" hidden="1">{#N/A,#N/A,FALSE,"단축1";#N/A,#N/A,FALSE,"단축2";#N/A,#N/A,FALSE,"단축3";#N/A,#N/A,FALSE,"장축";#N/A,#N/A,FALSE,"4WD"}</definedName>
    <definedName name="sfs" hidden="1">{"Rates_Summ",#N/A,TRUE,"Rates";"I_Poriginal",#N/A,TRUE,"I_P";"Pctgs_original",#N/A,TRUE,"Pctgs";"Rates_Main",#N/A,TRUE,"Rates"}</definedName>
    <definedName name="sfsdfds" hidden="1">{"Rates_Summ",#N/A,TRUE,"Rates";"I_Poriginal",#N/A,TRUE,"I_P";"Pctgs_original",#N/A,TRUE,"Pctgs";"Rates_Main",#N/A,TRUE,"Rates"}</definedName>
    <definedName name="sfsdfgg" hidden="1">{"Production",#N/A,FALSE,"1+11";"Production Mix",#N/A,FALSE,"1+11"}</definedName>
    <definedName name="sfsdfsd" hidden="1">{"Rates_Summ",#N/A,TRUE,"Rates";"I_Poriginal",#N/A,TRUE,"I_P";"Pctgs_original",#N/A,TRUE,"Pctgs";"Rates_Main",#N/A,TRUE,"Rates"}</definedName>
    <definedName name="SFSFSFS" hidden="1">{#N/A,#N/A,FALSE,"단축1";#N/A,#N/A,FALSE,"단축2";#N/A,#N/A,FALSE,"단축3";#N/A,#N/A,FALSE,"장축";#N/A,#N/A,FALSE,"4WD"}</definedName>
    <definedName name="sfss" hidden="1">{#N/A,#N/A,FALSE,"KMC최종회의(7월) 자료"}</definedName>
    <definedName name="sfwfw" hidden="1">{"Fiesta Facer Page",#N/A,FALSE,"Q_C_S";"Fiesta Main Page",#N/A,FALSE,"V_L";"Fiesta 95BP Struct",#N/A,FALSE,"StructBP";"Fiesta Post 95BP Struct",#N/A,FALSE,"AdjStructBP"}</definedName>
    <definedName name="sg" hidden="1">{"capital",#N/A,FALSE,"CAPITAL_DEP'N"}</definedName>
    <definedName name="SGDFFH" hidden="1">{#N/A,#N/A,FALSE,"단축1";#N/A,#N/A,FALSE,"단축2";#N/A,#N/A,FALSE,"단축3";#N/A,#N/A,FALSE,"장축";#N/A,#N/A,FALSE,"4WD"}</definedName>
    <definedName name="sgdsfg" hidden="1">{"capital",#N/A,FALSE,"CAPITAL_DEP'N"}</definedName>
    <definedName name="SGFBN" hidden="1">{#N/A,#N/A,FALSE,"인원";#N/A,#N/A,FALSE,"비용2";#N/A,#N/A,FALSE,"비용1";#N/A,#N/A,FALSE,"비용";#N/A,#N/A,FALSE,"보증2";#N/A,#N/A,FALSE,"보증1";#N/A,#N/A,FALSE,"보증";#N/A,#N/A,FALSE,"손익1";#N/A,#N/A,FALSE,"손익";#N/A,#N/A,FALSE,"부서별매출";#N/A,#N/A,FALSE,"매출"}</definedName>
    <definedName name="sgfdhdg" hidden="1">#REF!</definedName>
    <definedName name="sgfsf" hidden="1">{"manpower",#N/A,FALSE,"MANPOWER_PAYROLL"}</definedName>
    <definedName name="sgggsg" hidden="1">#REF!</definedName>
    <definedName name="sggs" hidden="1">#REF!</definedName>
    <definedName name="sgsdfagasd" hidden="1">{"Title_Page",#N/A,FALSE,"Title Page";"II_Facer",#N/A,FALSE,"(1f)-Issue-to-Issue";"Fcst_II",#N/A,FALSE,"(1)-PROFIT SUM.";"II_Facer",#N/A,FALSE,"(2f)-R&amp;OFacer";"Risk_Adj._Fcst.",#N/A,FALSE,"(2)-Risk Adj. Fcst.";"Fcst._to_Budget",#N/A,FALSE,"(3)-Fcst. to Bdgt.";"Yr._O_Yr",#N/A,FALSE,"(4)-Yr.-O-Yr."}</definedName>
    <definedName name="sheet" hidden="1">{"product cost",#N/A,FALSE,"P&amp;L STATEMENT"}</definedName>
    <definedName name="SHEET10"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hj" hidden="1">{#N/A,#N/A,TRUE,"Y생산";#N/A,#N/A,TRUE,"Y판매";#N/A,#N/A,TRUE,"Y총물량";#N/A,#N/A,TRUE,"Y능력";#N/A,#N/A,TRUE,"YKD"}</definedName>
    <definedName name="Show.Acct.Update.Warning" hidden="1">#REF!</definedName>
    <definedName name="Show.MDB.Update.Warning" hidden="1">#REF!</definedName>
    <definedName name="SHS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DE" hidden="1">{#N/A,#N/A,FALSE,"단축1";#N/A,#N/A,FALSE,"단축2";#N/A,#N/A,FALSE,"단축3";#N/A,#N/A,FALSE,"장축";#N/A,#N/A,FALSE,"4WD"}</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te">#REF!</definedName>
    <definedName name="sjjf" hidden="1">{#N/A,#N/A,FALSE,"단축1";#N/A,#N/A,FALSE,"단축2";#N/A,#N/A,FALSE,"단축3";#N/A,#N/A,FALSE,"장축";#N/A,#N/A,FALSE,"4WD"}</definedName>
    <definedName name="sjk" hidden="1">{#N/A,#N/A,FALSE,"단축1";#N/A,#N/A,FALSE,"단축2";#N/A,#N/A,FALSE,"단축3";#N/A,#N/A,FALSE,"장축";#N/A,#N/A,FALSE,"4WD"}</definedName>
    <definedName name="skdjfh" hidden="1">{#N/A,#N/A,FALSE,"Assumptions";#N/A,#N/A,FALSE,"Volumes";#N/A,#N/A,FALSE,"Pricing";#N/A,#N/A,FALSE,"Variable Cost";#N/A,#N/A,FALSE,"Investment";#N/A,#N/A,FALSE,"Profitability";#N/A,#N/A,FALSE,"Business Comparison"}</definedName>
    <definedName name="skdjfh_1" hidden="1">{#N/A,#N/A,FALSE,"Assumptions";#N/A,#N/A,FALSE,"Volumes";#N/A,#N/A,FALSE,"Pricing";#N/A,#N/A,FALSE,"Variable Cost";#N/A,#N/A,FALSE,"Investment";#N/A,#N/A,FALSE,"Profitability";#N/A,#N/A,FALSE,"Business Comparison"}</definedName>
    <definedName name="skdjfh_2"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ks" hidden="1">{#N/A,#N/A,FALSE,"DAOCM 2차 검토"}</definedName>
    <definedName name="sks_1" hidden="1">{#N/A,#N/A,FALSE,"DAOCM 2차 검토"}</definedName>
    <definedName name="sks_1_1" hidden="1">{#N/A,#N/A,FALSE,"DAOCM 2차 검토"}</definedName>
    <definedName name="sks_2" hidden="1">{#N/A,#N/A,FALSE,"DAOCM 2차 검토"}</definedName>
    <definedName name="sks_2_1" hidden="1">{#N/A,#N/A,FALSE,"DAOCM 2차 검토"}</definedName>
    <definedName name="sks_3" hidden="1">{#N/A,#N/A,FALSE,"DAOCM 2차 검토"}</definedName>
    <definedName name="sks_3_1" hidden="1">{#N/A,#N/A,FALSE,"DAOCM 2차 검토"}</definedName>
    <definedName name="sks_4" hidden="1">{#N/A,#N/A,FALSE,"DAOCM 2차 검토"}</definedName>
    <definedName name="sks_4_1" hidden="1">{#N/A,#N/A,FALSE,"DAOCM 2차 검토"}</definedName>
    <definedName name="sks_5" hidden="1">{#N/A,#N/A,FALSE,"DAOCM 2차 검토"}</definedName>
    <definedName name="sks_5_1" hidden="1">{#N/A,#N/A,FALSE,"DAOCM 2차 검토"}</definedName>
    <definedName name="sksksksksksksksksksksksksksksksksksksksksksksksksks" hidden="1">{#N/A,#N/A,FALSE,"KMC최종회의(7월) 자료"}</definedName>
    <definedName name="SLEEVE" hidden="1">{#N/A,#N/A,FALSE,"KMC최종회의(7월) 자료"}</definedName>
    <definedName name="Slicer_Division">#N/A</definedName>
    <definedName name="Slicer_OEM">#N/A</definedName>
    <definedName name="Slicer_Program_Name">#N/A</definedName>
    <definedName name="SMS" hidden="1">{#N/A,#N/A,FALSE,"단축1";#N/A,#N/A,FALSE,"단축2";#N/A,#N/A,FALSE,"단축3";#N/A,#N/A,FALSE,"장축";#N/A,#N/A,FALSE,"4WD"}</definedName>
    <definedName name="SNGFSHD" hidden="1">{#N/A,#N/A,FALSE,"단축1";#N/A,#N/A,FALSE,"단축2";#N/A,#N/A,FALSE,"단축3";#N/A,#N/A,FALSE,"장축";#N/A,#N/A,FALSE,"4WD"}</definedName>
    <definedName name="solver_lin" hidden="1">0</definedName>
    <definedName name="solver_num" hidden="1">0</definedName>
    <definedName name="solver_opt" hidden="1">#REF!</definedName>
    <definedName name="solver_typ" hidden="1">3</definedName>
    <definedName name="solver_val" hidden="1">0</definedName>
    <definedName name="SONATA1" hidden="1">{#N/A,#N/A,FALSE,"해외크레임";#N/A,#N/A,FALSE,"ACCENT현황";#N/A,#N/A,FALSE,"AVANTE";#N/A,#N/A,FALSE,"SONATA(3)";#N/A,#N/A,FALSE,"국내크레임"}</definedName>
    <definedName name="SPEC2" hidden="1">{#N/A,#N/A,FALSE,"단축1";#N/A,#N/A,FALSE,"단축2";#N/A,#N/A,FALSE,"단축3";#N/A,#N/A,FALSE,"장축";#N/A,#N/A,FALSE,"4WD"}</definedName>
    <definedName name="SPEC22" hidden="1">{#N/A,#N/A,FALSE,"단축1";#N/A,#N/A,FALSE,"단축2";#N/A,#N/A,FALSE,"단축3";#N/A,#N/A,FALSE,"장축";#N/A,#N/A,FALSE,"4WD"}</definedName>
    <definedName name="SpecialPrice" hidden="1">#REF!</definedName>
    <definedName name="srdgsrdg" hidden="1">{"works expense",#N/A,FALSE,"WORKS EXPENSE"}</definedName>
    <definedName name="srhga" hidden="1">{#N/A,#N/A,FALSE,"96 3월물량표";#N/A,#N/A,FALSE,"96 4월물량표";#N/A,#N/A,FALSE,"96 5월물량표"}</definedName>
    <definedName name="srtgdrgr" hidden="1">{"sga expense",#N/A,FALSE,"S,G&amp;A EXP"}</definedName>
    <definedName name="SS" hidden="1">{"DOM",#N/A,FALSE,"A8CONTENT"}</definedName>
    <definedName name="SSD" hidden="1">{#N/A,#N/A,FALSE,"을지 (4)";#N/A,#N/A,FALSE,"을지 (5)";#N/A,#N/A,FALSE,"을지 (6)"}</definedName>
    <definedName name="sss" hidden="1">{#N/A,#N/A,FALSE,"Cover Sheet";#N/A,#N/A,FALSE,"Ave_Trans_Shp_Abs";#N/A,#N/A,FALSE,"Det_Shp_Abs";#N/A,#N/A,FALSE,"Ave_Trans_Inst_Abs";#N/A,#N/A,FALSE,"Det_Ins_Abs";#N/A,#N/A,FALSE,"Ave_Trans_Tot_ABS";#N/A,#N/A,FALSE,"Det_Total_ABS"}</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{#N/A,#N/A,FALSE,"LABOUR2001";#N/A,#N/A,FALSE,"LABOUR 2002";#N/A,#N/A,FALSE,"EXPENSE DETAIL";#N/A,#N/A,FALSE,"2001 FORECAST";#N/A,#N/A,FALSE,"2002 BUDGET"}</definedName>
    <definedName name="sssss" hidden="1">{#N/A,#N/A,FALSE,"afa linear";#N/A,#N/A,FALSE,"mit 10% zuschuss";#N/A,#N/A,FALSE,"mit 25% zuschuss"}</definedName>
    <definedName name="SSSSSS" hidden="1">{#N/A,#N/A,FALSE,"단축1";#N/A,#N/A,FALSE,"단축2";#N/A,#N/A,FALSE,"단축3";#N/A,#N/A,FALSE,"장축";#N/A,#N/A,FALSE,"4WD"}</definedName>
    <definedName name="SSSSSSS" hidden="1">{"LES",#N/A,FALSE,"PRINT";"TFI",#N/A,FALSE,"PRINT"}</definedName>
    <definedName name="stamping_base" hidden="1">#REF!</definedName>
    <definedName name="Staril" hidden="1">{#N/A,#N/A,FALSE,"REPORT"}</definedName>
    <definedName name="Startmakro" hidden="1">#REF!</definedName>
    <definedName name="Status">#REF!</definedName>
    <definedName name="STH" hidden="1">{#N/A,#N/A,FALSE,"단축1";#N/A,#N/A,FALSE,"단축2";#N/A,#N/A,FALSE,"단축3";#N/A,#N/A,FALSE,"장축";#N/A,#N/A,FALSE,"4WD"}</definedName>
    <definedName name="StratPlanAP" hidden="1">{#N/A,#N/A,FALSE,"Pharm";#N/A,#N/A,FALSE,"WWCM"}</definedName>
    <definedName name="Strawman3" hidden="1">{#N/A,#N/A,FALSE,"Cover";#N/A,#N/A,FALSE,"Profits";#N/A,#N/A,FALSE,"ABS";#N/A,#N/A,FALSE,"TFLE Detail";#N/A,#N/A,FALSE,"TFLE Walk";#N/A,#N/A,FALSE,"Variable Cost";#N/A,#N/A,FALSE,"V.C. Walk"}</definedName>
    <definedName name="strh" hidden="1">{#N/A,#N/A,TRUE,"Y생산";#N/A,#N/A,TRUE,"Y판매";#N/A,#N/A,TRUE,"Y총물량";#N/A,#N/A,TRUE,"Y능력";#N/A,#N/A,TRUE,"YKD"}</definedName>
    <definedName name="striker" hidden="1">{"EXPORT",#N/A,FALSE,"A8CONTENT"}</definedName>
    <definedName name="strTitle" hidden="1">"Budget-Bericht  Mittelfristplanung"</definedName>
    <definedName name="Subworkstream">#REF!</definedName>
    <definedName name="summary041122" hidden="1">{#N/A,#N/A,FALSE,"Assumptions";#N/A,#N/A,FALSE,"Volumes";#N/A,#N/A,FALSE,"Pricing";#N/A,#N/A,FALSE,"Variable Cost";#N/A,#N/A,FALSE,"Investment";#N/A,#N/A,FALSE,"Profitability";#N/A,#N/A,FALSE,"Business Comparison"}</definedName>
    <definedName name="SUMMARY10B" hidden="1">{#N/A,#N/A,FALSE,"SUMMARY REPORT"}</definedName>
    <definedName name="sung" hidden="1">{#N/A,#N/A,FALSE,"정공"}</definedName>
    <definedName name="svc" hidden="1">{#N/A,#N/A,FALSE,"Cover";#N/A,#N/A,FALSE,"Assumptions";#N/A,#N/A,FALSE,"Volumes";#N/A,#N/A,FALSE,"Pricing";#N/A,#N/A,FALSE,"TFLE Walk";#N/A,#N/A,FALSE,"Variable Cost";#N/A,#N/A,FALSE,"Sensitivity";#N/A,#N/A,FALSE,"Investment";#N/A,#N/A,FALSE,"Profitability"}</definedName>
    <definedName name="ＳＷＡＴ" hidden="1">{#N/A,"VA",FALSE,"output";#N/A,"VB",FALSE,"output";#N/A,"VS",FALSE,"output";#N/A,"VC",FALSE,"output";#N/A,"VG",FALSE,"output";#N/A,"J1",FALSE,"output";#N/A,"J2",FALSE,"output";#N/A,"PT",FALSE,"output"}</definedName>
    <definedName name="swfwef" hidden="1">{#N/A,#N/A,TRUE,"Y생산";#N/A,#N/A,TRUE,"Y판매";#N/A,#N/A,TRUE,"Y총물량";#N/A,#N/A,TRUE,"Y능력";#N/A,#N/A,TRUE,"YKD"}</definedName>
    <definedName name="SWWW" hidden="1">{"LES",#N/A,FALSE,"PRINT";"TFI",#N/A,FALSE,"PRINT"}</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ZDSA" hidden="1">{#N/A,#N/A,FALSE,"단축1";#N/A,#N/A,FALSE,"단축2";#N/A,#N/A,FALSE,"단축3";#N/A,#N/A,FALSE,"장축";#N/A,#N/A,FALSE,"4WD"}</definedName>
    <definedName name="t" hidden="1">{#N/A,#N/A,FALSE,"Profit Status";#N/A,#N/A,FALSE,"Invest";#N/A,#N/A,FALSE,"Revenue";#N/A,#N/A,FALSE,"Variable Cost";#N/A,#N/A,FALSE,"Options &amp; Series"}</definedName>
    <definedName name="tata" hidden="1">{#N/A,#N/A,TRUE,"Summary";#N/A,#N/A,TRUE,"Balance Sheet";#N/A,#N/A,TRUE,"P &amp; L";#N/A,#N/A,TRUE,"Fixed Assets";#N/A,#N/A,TRUE,"Cash Flows"}</definedName>
    <definedName name="taxol" hidden="1">{#N/A,#N/A,FALSE,"Pharm";#N/A,#N/A,FALSE,"WWCM"}</definedName>
    <definedName name="TB" hidden="1">{#N/A,#N/A,FALSE,"단축1";#N/A,#N/A,FALSE,"단축2";#N/A,#N/A,FALSE,"단축3";#N/A,#N/A,FALSE,"장축";#N/A,#N/A,FALSE,"4WD"}</definedName>
    <definedName name="TB_June" hidden="1">#REF!</definedName>
    <definedName name="TB1.1FW" hidden="1">{#N/A,#N/A,FALSE,"단축1";#N/A,#N/A,FALSE,"단축2";#N/A,#N/A,FALSE,"단축3";#N/A,#N/A,FALSE,"장축";#N/A,#N/A,FALSE,"4WD"}</definedName>
    <definedName name="tbgv" hidden="1">{"Presentation",#N/A,FALSE,"Feb96 - ALL"}</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em" hidden="1">{#N/A,#N/A,FALSE,"Pharm";#N/A,#N/A,FALSE,"WWCM"}</definedName>
    <definedName name="Temp1" hidden="1">{#N/A,#N/A,FALSE,"Cost Card";#N/A,#N/A,FALSE,"CSTANS";#N/A,#N/A,FALSE,"INVEST"}</definedName>
    <definedName name="Temp3" hidden="1">{#N/A,#N/A,FALSE,"Cost Card";#N/A,#N/A,FALSE,"CSTANS";#N/A,#N/A,FALSE,"INVEST"}</definedName>
    <definedName name="Temp4" hidden="1">{#N/A,#N/A,FALSE,"Cost Card";#N/A,#N/A,FALSE,"CSTANS";#N/A,#N/A,FALSE,"INVEST"}</definedName>
    <definedName name="tempr" hidden="1">#REF!</definedName>
    <definedName name="teq" hidden="1">{#N/A,#N/A,FALSE,"Pharm";#N/A,#N/A,FALSE,"WWCM"}</definedName>
    <definedName name="Tequin" hidden="1">{#N/A,#N/A,FALSE,"Pharm";#N/A,#N/A,FALSE,"WWCM"}</definedName>
    <definedName name="tequinol" hidden="1">{#N/A,#N/A,FALSE,"REPORT"}</definedName>
    <definedName name="Terminplan" hidden="1">{#N/A,#N/A,FALSE,"CshFlow"}</definedName>
    <definedName name="tesrt4" hidden="1">{#N/A,#N/A,FALSE,"Profit Status";#N/A,#N/A,FALSE,"Invest";#N/A,#N/A,FALSE,"Revenue";#N/A,#N/A,FALSE,"Variable Cost";#N/A,#N/A,FALSE,"Options &amp; Series"}</definedName>
    <definedName name="tEST" hidden="1">{#N/A,#N/A,TRUE,"dew_x200";#N/A,#N/A,TRUE,"cvgm_twncr_must";#N/A,#N/A,TRUE,"x100_x300_falcn";#N/A,#N/A,TRUE,"t_mark_scorp";#N/A,#N/A,TRUE,"VC3GRAF"}</definedName>
    <definedName name="test_fleet" hidden="1">#REF!</definedName>
    <definedName name="test10" hidden="1">{#N/A,#N/A,FALSE,"Profit Status";#N/A,#N/A,FALSE,"Invest";#N/A,#N/A,FALSE,"Revenue";#N/A,#N/A,FALSE,"Variable Cost";#N/A,#N/A,FALSE,"Options &amp; Series"}</definedName>
    <definedName name="test2" hidden="1">{"COMPARISON",#N/A,FALSE,"Sheet1"}</definedName>
    <definedName name="test3" hidden="1">{#N/A,#N/A,FALSE,"Profit Status";#N/A,#N/A,FALSE,"Invest";#N/A,#N/A,FALSE,"Revenue";#N/A,#N/A,FALSE,"Variable Cost";#N/A,#N/A,FALSE,"Options &amp; Series"}</definedName>
    <definedName name="test3_1" hidden="1">{#N/A,#N/A,FALSE,"Profit Status";#N/A,#N/A,FALSE,"Invest";#N/A,#N/A,FALSE,"Revenue";#N/A,#N/A,FALSE,"Variable Cost";#N/A,#N/A,FALSE,"Options &amp; Series"}</definedName>
    <definedName name="test3_2" hidden="1">{#N/A,#N/A,FALSE,"Profit Status";#N/A,#N/A,FALSE,"Invest";#N/A,#N/A,FALSE,"Revenue";#N/A,#N/A,FALSE,"Variable Cost";#N/A,#N/A,FALSE,"Options &amp; Series"}</definedName>
    <definedName name="test4" hidden="1">{#N/A,#N/A,FALSE,"Cover";#N/A,#N/A,FALSE,"Assumptions";#N/A,#N/A,FALSE,"Volumes";#N/A,#N/A,FALSE,"Pricing";#N/A,#N/A,FALSE,"TFLE Walk";#N/A,#N/A,FALSE,"Variable Cost";#N/A,#N/A,FALSE,"Sensitivity";#N/A,#N/A,FALSE,"Investment";#N/A,#N/A,FALSE,"Profitability"}</definedName>
    <definedName name="test4_1" hidden="1">{#N/A,#N/A,FALSE,"Cover";#N/A,#N/A,FALSE,"Assumptions";#N/A,#N/A,FALSE,"Volumes";#N/A,#N/A,FALSE,"Pricing";#N/A,#N/A,FALSE,"TFLE Walk";#N/A,#N/A,FALSE,"Variable Cost";#N/A,#N/A,FALSE,"Sensitivity";#N/A,#N/A,FALSE,"Investment";#N/A,#N/A,FALSE,"Profitability"}</definedName>
    <definedName name="test4_2"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cot" hidden="1">#REF!</definedName>
    <definedName name="TEWR" hidden="1">{#N/A,#N/A,TRUE,"Y생산";#N/A,#N/A,TRUE,"Y판매";#N/A,#N/A,TRUE,"Y총물량";#N/A,#N/A,TRUE,"Y능력";#N/A,#N/A,TRUE,"YKD"}</definedName>
    <definedName name="tg" hidden="1">{#N/A,#N/A,FALSE,"KMC최종회의(7월) 자료"}</definedName>
    <definedName name="TH" hidden="1">{#N/A,#N/A,FALSE,"단축1";#N/A,#N/A,FALSE,"단축2";#N/A,#N/A,FALSE,"단축3";#N/A,#N/A,FALSE,"장축";#N/A,#N/A,FALSE,"4WD"}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J" hidden="1">{#N/A,#N/A,TRUE,"Y생산";#N/A,#N/A,TRUE,"Y판매";#N/A,#N/A,TRUE,"Y총물량";#N/A,#N/A,TRUE,"Y능력";#N/A,#N/A,TRUE,"YKD"}</definedName>
    <definedName name="TJAUDLWS" hidden="1">{#N/A,#N/A,TRUE,"Y생산";#N/A,#N/A,TRUE,"Y판매";#N/A,#N/A,TRUE,"Y총물량";#N/A,#N/A,TRUE,"Y능력";#N/A,#N/A,TRUE,"YKD"}</definedName>
    <definedName name="tjtjtj" hidden="1">{"Presentation",#N/A,FALSE,"Feb96 - ALL"}</definedName>
    <definedName name="tjtsz" hidden="1">{"Fiesta Facer Page",#N/A,FALSE,"Q_C_S";"Fiesta Main Page",#N/A,FALSE,"V_L";"Fiesta 95BP Struct",#N/A,FALSE,"StructBP";"Fiesta Post 95BP Struct",#N/A,FALSE,"AdjStructBP"}</definedName>
    <definedName name="TL" hidden="1">{#N/A,#N/A,TRUE,"Y생산";#N/A,#N/A,TRUE,"Y판매";#N/A,#N/A,TRUE,"Y총물량";#N/A,#N/A,TRUE,"Y능력";#N/A,#N/A,TRUE,"YKD"}</definedName>
    <definedName name="TLS" hidden="1">{#N/A,#N/A,FALSE,"단축1";#N/A,#N/A,FALSE,"단축2";#N/A,#N/A,FALSE,"단축3";#N/A,#N/A,FALSE,"장축";#N/A,#N/A,FALSE,"4WD"}</definedName>
    <definedName name="TM" hidden="1">{#N/A,#N/A,FALSE,"단축1";#N/A,#N/A,FALSE,"단축2";#N/A,#N/A,FALSE,"단축3";#N/A,#N/A,FALSE,"장축";#N/A,#N/A,FALSE,"4WD"}</definedName>
    <definedName name="TM래틀음" hidden="1">{#N/A,#N/A,FALSE,"단축1";#N/A,#N/A,FALSE,"단축2";#N/A,#N/A,FALSE,"단축3";#N/A,#N/A,FALSE,"장축";#N/A,#N/A,FALSE,"4WD"}</definedName>
    <definedName name="tnssr" hidden="1">{#N/A,#N/A,FALSE,"Cover";#N/A,#N/A,FALSE,"Assumptions";#N/A,#N/A,FALSE,"Volumes";#N/A,#N/A,FALSE,"Pricing";#N/A,#N/A,FALSE,"TFLE Walk";#N/A,#N/A,FALSE,"Variable Cost";#N/A,#N/A,FALSE,"Sensitivity";#N/A,#N/A,FALSE,"Investment";#N/A,#N/A,FALSE,"Profitability"}</definedName>
    <definedName name="tnszntz" hidden="1">{"Fiesta Facer Page",#N/A,FALSE,"Q_C_S";"Fiesta Main Page",#N/A,FALSE,"V_L";"Fiesta 95BP Struct",#N/A,FALSE,"StructBP";"Fiesta Post 95BP Struct",#N/A,FALSE,"AdjStructBP"}</definedName>
    <definedName name="tntn" hidden="1">{#N/A,#N/A,FALSE,"italien97+98";#N/A,#N/A,FALSE,"italien 99+2000"}</definedName>
    <definedName name="Tools" hidden="1">{"EXPORT",#N/A,FALSE,"A8CONTENT"}</definedName>
    <definedName name="Tools_2" hidden="1">{"EXPORT",#N/A,FALSE,"A8CONTENT"}</definedName>
    <definedName name="Tools_3" hidden="1">{"EXPORT",#N/A,FALSE,"A8CONTENT"}</definedName>
    <definedName name="Tools_4" hidden="1">{"EXPORT",#N/A,FALSE,"A8CONTENT"}</definedName>
    <definedName name="Tools_5" hidden="1">{"EXPORT",#N/A,FALSE,"A8CONTENT"}</definedName>
    <definedName name="tools1" hidden="1">{"EXPORT",#N/A,FALSE,"A8CONTENT"}</definedName>
    <definedName name="tools1_2" hidden="1">{"EXPORT",#N/A,FALSE,"A8CONTENT"}</definedName>
    <definedName name="tools1_3" hidden="1">{"EXPORT",#N/A,FALSE,"A8CONTENT"}</definedName>
    <definedName name="tools1_4" hidden="1">{"EXPORT",#N/A,FALSE,"A8CONTENT"}</definedName>
    <definedName name="tools1_5" hidden="1">{"EXPORT",#N/A,FALSE,"A8CONTENT"}</definedName>
    <definedName name="tools1y" hidden="1">{"EXPORT",#N/A,FALSE,"A8CONTENT"}</definedName>
    <definedName name="Tools2" hidden="1">{"EXPORT",#N/A,FALSE,"A8CONTENT"}</definedName>
    <definedName name="tooly" hidden="1">{"EXPORT",#N/A,FALSE,"A8CONTENT"}</definedName>
    <definedName name="top20_1" hidden="1">{"Fiesta Facer Page",#N/A,FALSE,"Q_C_S";"Fiesta Main Page",#N/A,FALSE,"V_L";"Fiesta 95BP Struct",#N/A,FALSE,"StructBP";"Fiesta Post 95BP Struct",#N/A,FALSE,"AdjStructBP"}</definedName>
    <definedName name="TORSION" hidden="1">{#N/A,#N/A,FALSE,"단축1";#N/A,#N/A,FALSE,"단축2";#N/A,#N/A,FALSE,"단축3";#N/A,#N/A,FALSE,"장축";#N/A,#N/A,FALSE,"4WD"}</definedName>
    <definedName name="TOWNER" hidden="1">{#N/A,#N/A,FALSE,"단축1";#N/A,#N/A,FALSE,"단축2";#N/A,#N/A,FALSE,"단축3";#N/A,#N/A,FALSE,"장축";#N/A,#N/A,FALSE,"4WD"}</definedName>
    <definedName name="TQ" hidden="1">{#N/A,#N/A,TRUE,"smooth ride";#N/A,#N/A,TRUE,"rough ride";#N/A,#N/A,TRUE,"parking";#N/A,#N/A,TRUE,"straight Control";#N/A,#N/A,TRUE,"corn control";#N/A,#N/A,TRUE,"Steer disturbance";#N/A,#N/A,TRUE,"Straight stab.";#N/A,#N/A,TRUE,"cornering stab.";#N/A,#N/A,TRUE,"braking";#N/A,#N/A,TRUE,"braking dist"}</definedName>
    <definedName name="TQ要望Graf" hidden="1">{#N/A,#N/A,TRUE,"smooth ride";#N/A,#N/A,TRUE,"rough ride";#N/A,#N/A,TRUE,"parking";#N/A,#N/A,TRUE,"straight Control";#N/A,#N/A,TRUE,"corn control";#N/A,#N/A,TRUE,"Steer disturbance";#N/A,#N/A,TRUE,"Straight stab.";#N/A,#N/A,TRUE,"cornering stab.";#N/A,#N/A,TRUE,"braking";#N/A,#N/A,TRUE,"braking dist"}</definedName>
    <definedName name="trans" hidden="1">{#N/A,#N/A,FALSE,"Summary Page";#N/A,#N/A,FALSE,"Backup Factory Order Request";#N/A,#N/A,FALSE,"Mix Updated to Include V227";#N/A,#N/A,FALSE,"2000 Bus Plan Status"}</definedName>
    <definedName name="trergtergt" hidden="1">{"Presentation",#N/A,FALSE,"Feb96 - ALL"}</definedName>
    <definedName name="trhrth" hidden="1">{"Presentation",#N/A,FALSE,"Feb96 - ALL"}</definedName>
    <definedName name="TRHTRNGNMHNM" hidden="1">{#N/A,#N/A,FALSE,"96 3월물량표";#N/A,#N/A,FALSE,"96 4월물량표";#N/A,#N/A,FALSE,"96 5월물량표"}</definedName>
    <definedName name="trhy" hidden="1">{#N/A,#N/A,TRUE,"Y생산";#N/A,#N/A,TRUE,"Y판매";#N/A,#N/A,TRUE,"Y총물량";#N/A,#N/A,TRUE,"Y능력";#N/A,#N/A,TRUE,"YKD"}</definedName>
    <definedName name="TRIM별COST2" hidden="1">{#N/A,#N/A,FALSE,"단축1";#N/A,#N/A,FALSE,"단축2";#N/A,#N/A,FALSE,"단축3";#N/A,#N/A,FALSE,"장축";#N/A,#N/A,FALSE,"4WD"}</definedName>
    <definedName name="trrt" hidden="1">{#N/A,#N/A,FALSE,"afa linear";#N/A,#N/A,FALSE,"mit 10% zuschuss";#N/A,#N/A,FALSE,"mit 25% zuschuss"}</definedName>
    <definedName name="TR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ryeuyit" hidden="1">{#N/A,#N/A,FALSE,"Pharm";#N/A,#N/A,FALSE,"WWCM"}</definedName>
    <definedName name="TRYU" hidden="1">{#N/A,#N/A,FALSE,"단축1";#N/A,#N/A,FALSE,"단축2";#N/A,#N/A,FALSE,"단축3";#N/A,#N/A,FALSE,"장축";#N/A,#N/A,FALSE,"4WD"}</definedName>
    <definedName name="trzrthhj" hidden="1">{"Fiesta Facer Page",#N/A,FALSE,"Q_C_S";"Fiesta Main Page",#N/A,FALSE,"V_L";"Fiesta 95BP Struct",#N/A,FALSE,"StructBP";"Fiesta Post 95BP Struct",#N/A,FALSE,"AdjStructBP"}</definedName>
    <definedName name="tszjszj" hidden="1">{"Presentation",#N/A,FALSE,"Feb96 - ALL"}</definedName>
    <definedName name="tt" hidden="1">{"works expense",#N/A,FALSE,"WORKS EXPENSE"}</definedName>
    <definedName name="ttesst" hidden="1">{#N/A,#N/A,FALSE,"Cover";#N/A,#N/A,FALSE,"Profits";#N/A,#N/A,FALSE,"ABS";#N/A,#N/A,FALSE,"TFLE Detail";#N/A,#N/A,FALSE,"TFLE Walk";#N/A,#N/A,FALSE,"Variable Cost";#N/A,#N/A,FALSE,"V.C. Walk"}</definedName>
    <definedName name="TTH" hidden="1">{#N/A,#N/A,FALSE,"신규dep";#N/A,#N/A,FALSE,"신규dep-금형상각후";#N/A,#N/A,FALSE,"신규dep-연구비상각후";#N/A,#N/A,FALSE,"신규dep-기계,공구상각후"}</definedName>
    <definedName name="TTT" hidden="1">{#N/A,#N/A,FALSE,"Sheet3"}</definedName>
    <definedName name="TTTTT" hidden="1">{#N/A,#N/A,TRUE,"일정"}</definedName>
    <definedName name="TY" hidden="1">{#N/A,#N/A,FALSE,"단축1";#N/A,#N/A,FALSE,"단축2";#N/A,#N/A,FALSE,"단축3";#N/A,#N/A,FALSE,"장축";#N/A,#N/A,FALSE,"4WD"}</definedName>
    <definedName name="tyjk" hidden="1">{#N/A,#N/A,TRUE,"Y생산";#N/A,#N/A,TRUE,"Y판매";#N/A,#N/A,TRUE,"Y총물량";#N/A,#N/A,TRUE,"Y능력";#N/A,#N/A,TRUE,"YKD"}</definedName>
    <definedName name="type" hidden="1">#REF!</definedName>
    <definedName name="TYRUI" hidden="1">{#N/A,#N/A,FALSE,"단축1";#N/A,#N/A,FALSE,"단축2";#N/A,#N/A,FALSE,"단축3";#N/A,#N/A,FALSE,"장축";#N/A,#N/A,FALSE,"4WD"}</definedName>
    <definedName name="tyty" hidden="1">{#N/A,#N/A,FALSE,"Feuil3"}</definedName>
    <definedName name="tyui" hidden="1">{#N/A,#N/A,FALSE,"단축1";#N/A,#N/A,FALSE,"단축2";#N/A,#N/A,FALSE,"단축3";#N/A,#N/A,FALSE,"장축";#N/A,#N/A,FALSE,"4WD"}</definedName>
    <definedName name="tyutytyi" hidden="1">{#N/A,#N/A,FALSE,"Pharm";#N/A,#N/A,FALSE,"WWCM"}</definedName>
    <definedName name="tyyufkjkhjd" hidden="1">{#N/A,#N/A,FALSE,"Pharm";#N/A,#N/A,FALSE,"WWCM"}</definedName>
    <definedName name="tzjj" hidden="1">{"Fiesta Facer Page",#N/A,FALSE,"Q_C_S";"Fiesta Main Page",#N/A,FALSE,"V_L";"Fiesta 95BP Struct",#N/A,FALSE,"StructBP";"Fiesta Post 95BP Struct",#N/A,FALSE,"AdjStructBP"}</definedName>
    <definedName name="tznt" hidden="1">{#N/A,#N/A,FALSE,"title";#N/A,#N/A,FALSE,"AVE VEH";#N/A,#N/A,FALSE,"METRICS";#N/A,#N/A,FALSE,"Prod Cost";#N/A,#N/A,FALSE,"CMTOTCST";#N/A,#N/A,FALSE,"Roadmap";#N/A,#N/A,FALSE,"Road Text";#N/A,#N/A,FALSE,"VAVE";#N/A,#N/A,FALSE,"Warranty #1";#N/A,#N/A,FALSE,"Warranty #2";#N/A,#N/A,FALSE,"Purchasing"}</definedName>
    <definedName name="tzntn" hidden="1">{"Presentation",#N/A,FALSE,"Feb96 - ALL"}</definedName>
    <definedName name="tzntz" hidden="1">{#N/A,#N/A,FALSE,"Profit Status";#N/A,#N/A,FALSE,"Invest";#N/A,#N/A,FALSE,"Revenue";#N/A,#N/A,FALSE,"Variable Cost";#N/A,#N/A,FALSE,"Options &amp; Series"}</definedName>
    <definedName name="tztr" hidden="1">{"Fiesta Facer Page",#N/A,FALSE,"Q_C_S";"Fiesta Main Page",#N/A,FALSE,"V_L";"Fiesta 95BP Struct",#N/A,FALSE,"StructBP";"Fiesta Post 95BP Struct",#N/A,FALSE,"AdjStructBP"}</definedName>
    <definedName name="tzzt" hidden="1">{#N/A,#N/A,FALSE,"Cover";#N/A,#N/A,FALSE,"Profits";#N/A,#N/A,FALSE,"ABS";#N/A,#N/A,FALSE,"TFLE Detail";#N/A,#N/A,FALSE,"TFLE Walk";#N/A,#N/A,FALSE,"Variable Cost";#N/A,#N/A,FALSE,"V.C. Walk"}</definedName>
    <definedName name="UB" hidden="1">#REF!</definedName>
    <definedName name="UIP" hidden="1">{#N/A,#N/A,FALSE,"단축1";#N/A,#N/A,FALSE,"단축2";#N/A,#N/A,FALSE,"단축3";#N/A,#N/A,FALSE,"장축";#N/A,#N/A,FALSE,"4WD"}</definedName>
    <definedName name="UJKHMN" hidden="1">#REF!</definedName>
    <definedName name="UJYTM"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oiho" hidden="1">{"Fiesta Facer Page",#N/A,FALSE,"Q_C_S";"Fiesta Main Page",#N/A,FALSE,"V_L";"Fiesta 95BP Struct",#N/A,FALSE,"StructBP";"Fiesta Post 95BP Struct",#N/A,FALSE,"AdjStructBP"}</definedName>
    <definedName name="uoiho_1" hidden="1">{"Fiesta Facer Page",#N/A,FALSE,"Q_C_S";"Fiesta Main Page",#N/A,FALSE,"V_L";"Fiesta 95BP Struct",#N/A,FALSE,"StructBP";"Fiesta Post 95BP Struct",#N/A,FALSE,"AdjStructBP"}</definedName>
    <definedName name="uoiho_2" hidden="1">{"Fiesta Facer Page",#N/A,FALSE,"Q_C_S";"Fiesta Main Page",#N/A,FALSE,"V_L";"Fiesta 95BP Struct",#N/A,FALSE,"StructBP";"Fiesta Post 95BP Struct",#N/A,FALSE,"AdjStructBP"}</definedName>
    <definedName name="uoiho_2_1" hidden="1">{"Fiesta Facer Page",#N/A,FALSE,"Q_C_S";"Fiesta Main Page",#N/A,FALSE,"V_L";"Fiesta 95BP Struct",#N/A,FALSE,"StructBP";"Fiesta Post 95BP Struct",#N/A,FALSE,"AdjStructBP"}</definedName>
    <definedName name="uoiho_3" hidden="1">{"Fiesta Facer Page",#N/A,FALSE,"Q_C_S";"Fiesta Main Page",#N/A,FALSE,"V_L";"Fiesta 95BP Struct",#N/A,FALSE,"StructBP";"Fiesta Post 95BP Struct",#N/A,FALSE,"AdjStructBP"}</definedName>
    <definedName name="uoiho_3_1" hidden="1">{"Fiesta Facer Page",#N/A,FALSE,"Q_C_S";"Fiesta Main Page",#N/A,FALSE,"V_L";"Fiesta 95BP Struct",#N/A,FALSE,"StructBP";"Fiesta Post 95BP Struct",#N/A,FALSE,"AdjStructBP"}</definedName>
    <definedName name="uoiho_4" hidden="1">{"Fiesta Facer Page",#N/A,FALSE,"Q_C_S";"Fiesta Main Page",#N/A,FALSE,"V_L";"Fiesta 95BP Struct",#N/A,FALSE,"StructBP";"Fiesta Post 95BP Struct",#N/A,FALSE,"AdjStructBP"}</definedName>
    <definedName name="UP" hidden="1">{"'Sheet1'!$A$211:$M$235"}</definedName>
    <definedName name="Update" hidden="1">{#N/A,#N/A,FALSE,"Cover";#N/A,#N/A,FALSE,"Profits";#N/A,#N/A,FALSE,"ABS";#N/A,#N/A,FALSE,"TFLE Detail";#N/A,#N/A,FALSE,"TFLE Walk";#N/A,#N/A,FALSE,"Variable Cost";#N/A,#N/A,FALSE,"V.C. Walk"}</definedName>
    <definedName name="URTY" hidden="1">{#N/A,#N/A,FALSE,"단축1";#N/A,#N/A,FALSE,"단축2";#N/A,#N/A,FALSE,"단축3";#N/A,#N/A,FALSE,"장축";#N/A,#N/A,FALSE,"4WD"}</definedName>
    <definedName name="üü" hidden="1">#REF!</definedName>
    <definedName name="uuu" hidden="1">#REF!</definedName>
    <definedName name="UUUUUU" hidden="1">{#N/A,#N/A,FALSE,"인원";#N/A,#N/A,FALSE,"비용2";#N/A,#N/A,FALSE,"비용1";#N/A,#N/A,FALSE,"비용";#N/A,#N/A,FALSE,"보증2";#N/A,#N/A,FALSE,"보증1";#N/A,#N/A,FALSE,"보증";#N/A,#N/A,FALSE,"손익1";#N/A,#N/A,FALSE,"손익";#N/A,#N/A,FALSE,"부서별매출";#N/A,#N/A,FALSE,"매출"}</definedName>
    <definedName name="UUUUUUU" hidden="1">{#N/A,#N/A,TRUE,"Y생산";#N/A,#N/A,TRUE,"Y판매";#N/A,#N/A,TRUE,"Y총물량";#N/A,#N/A,TRUE,"Y능력";#N/A,#N/A,TRUE,"YKD"}</definedName>
    <definedName name="UWTDGS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UYGHFJ" hidden="1">{#N/A,#N/A,FALSE,"단축1";#N/A,#N/A,FALSE,"단축2";#N/A,#N/A,FALSE,"단축3";#N/A,#N/A,FALSE,"장축";#N/A,#N/A,FALSE,"4WD"}</definedName>
    <definedName name="UYKHJ" hidden="1">#REF!</definedName>
    <definedName name="uykl" hidden="1">{#N/A,#N/A,FALSE,"96 3월물량표";#N/A,#N/A,FALSE,"96 4월물량표";#N/A,#N/A,FALSE,"96 5월물량표"}</definedName>
    <definedName name="UYL" hidden="1">{#N/A,#N/A,FALSE,"단축1";#N/A,#N/A,FALSE,"단축2";#N/A,#N/A,FALSE,"단축3";#N/A,#N/A,FALSE,"장축";#N/A,#N/A,FALSE,"4WD"}</definedName>
    <definedName name="UYR" hidden="1">{#N/A,#N/A,FALSE,"단축1";#N/A,#N/A,FALSE,"단축2";#N/A,#N/A,FALSE,"단축3";#N/A,#N/A,FALSE,"장축";#N/A,#N/A,FALSE,"4WD"}</definedName>
    <definedName name="v" hidden="1">{"Presentation",#N/A,FALSE,"Feb96 - ALL"}</definedName>
    <definedName name="v_1" hidden="1">{"Presentation",#N/A,FALSE,"Feb96 - ALL"}</definedName>
    <definedName name="v_2" hidden="1">{"Presentation",#N/A,FALSE,"Feb96 - ALL"}</definedName>
    <definedName name="v_2_1" hidden="1">{"Presentation",#N/A,FALSE,"Feb96 - ALL"}</definedName>
    <definedName name="v_3" hidden="1">{"Presentation",#N/A,FALSE,"Feb96 - ALL"}</definedName>
    <definedName name="v_3_1" hidden="1">{"Presentation",#N/A,FALSE,"Feb96 - ALL"}</definedName>
    <definedName name="v_4" hidden="1">{"Presentation",#N/A,FALSE,"Feb96 - ALL"}</definedName>
    <definedName name="vafva" hidden="1">{"Fiesta Facer Page",#N/A,FALSE,"Q_C_S";"Fiesta Main Page",#N/A,FALSE,"V_L";"Fiesta 95BP Struct",#N/A,FALSE,"StructBP";"Fiesta Post 95BP Struct",#N/A,FALSE,"AdjStructBP"}</definedName>
    <definedName name="VAL">"VALUE#"</definedName>
    <definedName name="vaveav" hidden="1">{"Fiesta Facer Page",#N/A,FALSE,"Q_C_S";"Fiesta Main Page",#N/A,FALSE,"V_L";"Fiesta 95BP Struct",#N/A,FALSE,"StructBP";"Fiesta Post 95BP Struct",#N/A,FALSE,"AdjStructBP"}</definedName>
    <definedName name="vavteav" hidden="1">{"Fiesta Facer Page",#N/A,FALSE,"Q_C_S";"Fiesta Main Page",#N/A,FALSE,"V_L";"Fiesta 95BP Struct",#N/A,FALSE,"StructBP";"Fiesta Post 95BP Struct",#N/A,FALSE,"AdjStructBP"}</definedName>
    <definedName name="VBFGHJ" hidden="1">{#N/A,#N/A,FALSE,"단축1";#N/A,#N/A,FALSE,"단축2";#N/A,#N/A,FALSE,"단축3";#N/A,#N/A,FALSE,"장축";#N/A,#N/A,FALSE,"4WD"}</definedName>
    <definedName name="VB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BNVB" hidden="1">{#N/A,#N/A,FALSE,"단축1";#N/A,#N/A,FALSE,"단축2";#N/A,#N/A,FALSE,"단축3";#N/A,#N/A,FALSE,"장축";#N/A,#N/A,FALSE,"4WD"}</definedName>
    <definedName name="VBXC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CC" hidden="1">#REF!</definedName>
    <definedName name="vcxv" hidden="1">{"Fiesta Facer Page",#N/A,FALSE,"Q_C_S";"Fiesta Main Page",#N/A,FALSE,"V_L";"Fiesta 95BP Struct",#N/A,FALSE,"StructBP";"Fiesta Post 95BP Struct",#N/A,FALSE,"AdjStructBP"}</definedName>
    <definedName name="veavaetv" hidden="1">{"Fiesta Facer Page",#N/A,FALSE,"Q_C_S";"Fiesta Main Page",#N/A,FALSE,"V_L";"Fiesta 95BP Struct",#N/A,FALSE,"StructBP";"Fiesta Post 95BP Struct",#N/A,FALSE,"AdjStructBP"}</definedName>
    <definedName name="VELHO" hidden="1">{#N/A,#N/A,FALSE,"Assumptions";#N/A,#N/A,FALSE,"Volumes";#N/A,#N/A,FALSE,"Pricing";#N/A,#N/A,FALSE,"Variable Cost";#N/A,#N/A,FALSE,"Investment";#N/A,#N/A,FALSE,"Profitability";#N/A,#N/A,FALSE,"Business Comparison"}</definedName>
    <definedName name="VEP" hidden="1">{#N/A,#N/A,FALSE,"Cover Sheet";#N/A,#N/A,FALSE,"Ave_Trans_Shp_Abs";#N/A,#N/A,FALSE,"Det_Shp_Abs";#N/A,#N/A,FALSE,"Ave_Trans_Inst_Abs";#N/A,#N/A,FALSE,"Det_Ins_Abs";#N/A,#N/A,FALSE,"Ave_Trans_Tot_ABS";#N/A,#N/A,FALSE,"Det_Total_ABS"}</definedName>
    <definedName name="vf" hidden="1">{"EXPORT",#N/A,FALSE,"A8CONTENT"}</definedName>
    <definedName name="vgrtvrt" hidden="1">{#N/A,#N/A,FALSE,"cie97+98";#N/A,#N/A,FALSE,"cie 99+2000 ";#N/A,#N/A,FALSE,"gesamt"}</definedName>
    <definedName name="vhfst" hidden="1">{"works expense",#N/A,FALSE,"WORKS EXPENSE"}</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JigTool" hidden="1">#REF!</definedName>
    <definedName name="VNADNL" hidden="1">{#N/A,#N/A,FALSE,"단축1";#N/A,#N/A,FALSE,"단축2";#N/A,#N/A,FALSE,"단축3";#N/A,#N/A,FALSE,"장축";#N/A,#N/A,FALSE,"4WD"}</definedName>
    <definedName name="VPDLSXM" hidden="1">{#N/A,#N/A,TRUE,"Y생산";#N/A,#N/A,TRUE,"Y판매";#N/A,#N/A,TRUE,"Y총물량";#N/A,#N/A,TRUE,"Y능력";#N/A,#N/A,TRUE,"YKD"}</definedName>
    <definedName name="vs_budget" hidden="1">{#N/A,#N/A,FALSE,"BalCash"}</definedName>
    <definedName name="VSP" hidden="1">{"Fiesta Facer Page",#N/A,FALSE,"Q_C_S";"Fiesta Main Page",#N/A,FALSE,"V_L";"Fiesta 95BP Struct",#N/A,FALSE,"StructBP";"Fiesta Post 95BP Struct",#N/A,FALSE,"AdjStructBP"}</definedName>
    <definedName name="vv" hidden="1">{"Fiesta Facer Page",#N/A,FALSE,"Q_C_S";"Fiesta Main Page",#N/A,FALSE,"V_L";"Fiesta 95BP Struct",#N/A,FALSE,"StructBP";"Fiesta Post 95BP Struct",#N/A,FALSE,"AdjStructBP"}</definedName>
    <definedName name="vv_1" hidden="1">{"Fiesta Facer Page",#N/A,FALSE,"Q_C_S";"Fiesta Main Page",#N/A,FALSE,"V_L";"Fiesta 95BP Struct",#N/A,FALSE,"StructBP";"Fiesta Post 95BP Struct",#N/A,FALSE,"AdjStructBP"}</definedName>
    <definedName name="vv_2" hidden="1">{"Fiesta Facer Page",#N/A,FALSE,"Q_C_S";"Fiesta Main Page",#N/A,FALSE,"V_L";"Fiesta 95BP Struct",#N/A,FALSE,"StructBP";"Fiesta Post 95BP Struct",#N/A,FALSE,"AdjStructBP"}</definedName>
    <definedName name="vv_2_1" hidden="1">{"Fiesta Facer Page",#N/A,FALSE,"Q_C_S";"Fiesta Main Page",#N/A,FALSE,"V_L";"Fiesta 95BP Struct",#N/A,FALSE,"StructBP";"Fiesta Post 95BP Struct",#N/A,FALSE,"AdjStructBP"}</definedName>
    <definedName name="vv_3" hidden="1">{"Fiesta Facer Page",#N/A,FALSE,"Q_C_S";"Fiesta Main Page",#N/A,FALSE,"V_L";"Fiesta 95BP Struct",#N/A,FALSE,"StructBP";"Fiesta Post 95BP Struct",#N/A,FALSE,"AdjStructBP"}</definedName>
    <definedName name="vv_3_1" hidden="1">{"Fiesta Facer Page",#N/A,FALSE,"Q_C_S";"Fiesta Main Page",#N/A,FALSE,"V_L";"Fiesta 95BP Struct",#N/A,FALSE,"StructBP";"Fiesta Post 95BP Struct",#N/A,FALSE,"AdjStructBP"}</definedName>
    <definedName name="vv_4" hidden="1">{"Fiesta Facer Page",#N/A,FALSE,"Q_C_S";"Fiesta Main Page",#N/A,FALSE,"V_L";"Fiesta 95BP Struct",#N/A,FALSE,"StructBP";"Fiesta Post 95BP Struct",#N/A,FALSE,"AdjStructBP"}</definedName>
    <definedName name="vvv" hidden="1">{#N/A,#N/A,FALSE,"title";#N/A,#N/A,FALSE,"AVE VEH";#N/A,#N/A,FALSE,"METRICS";#N/A,#N/A,FALSE,"Prod Cost";#N/A,#N/A,FALSE,"CMTOTCST";#N/A,#N/A,FALSE,"Roadmap";#N/A,#N/A,FALSE,"Road Text";#N/A,#N/A,FALSE,"VAVE";#N/A,#N/A,FALSE,"Warranty #1";#N/A,#N/A,FALSE,"Warranty #2";#N/A,#N/A,FALSE,"Purchasing"}</definedName>
    <definedName name="vvv_1" hidden="1">{#N/A,#N/A,FALSE,"title";#N/A,#N/A,FALSE,"AVE VEH";#N/A,#N/A,FALSE,"METRICS";#N/A,#N/A,FALSE,"Prod Cost";#N/A,#N/A,FALSE,"CMTOTCST";#N/A,#N/A,FALSE,"Roadmap";#N/A,#N/A,FALSE,"Road Text";#N/A,#N/A,FALSE,"VAVE";#N/A,#N/A,FALSE,"Warranty #1";#N/A,#N/A,FALSE,"Warranty #2";#N/A,#N/A,FALSE,"Purchasing"}</definedName>
    <definedName name="vvv_2" hidden="1">{#N/A,#N/A,FALSE,"title";#N/A,#N/A,FALSE,"AVE VEH";#N/A,#N/A,FALSE,"METRICS";#N/A,#N/A,FALSE,"Prod Cost";#N/A,#N/A,FALSE,"CMTOTCST";#N/A,#N/A,FALSE,"Roadmap";#N/A,#N/A,FALSE,"Road Text";#N/A,#N/A,FALSE,"VAVE";#N/A,#N/A,FALSE,"Warranty #1";#N/A,#N/A,FALSE,"Warranty #2";#N/A,#N/A,FALSE,"Purchasing"}</definedName>
    <definedName name="vvv_2_1" hidden="1">{#N/A,#N/A,FALSE,"title";#N/A,#N/A,FALSE,"AVE VEH";#N/A,#N/A,FALSE,"METRICS";#N/A,#N/A,FALSE,"Prod Cost";#N/A,#N/A,FALSE,"CMTOTCST";#N/A,#N/A,FALSE,"Roadmap";#N/A,#N/A,FALSE,"Road Text";#N/A,#N/A,FALSE,"VAVE";#N/A,#N/A,FALSE,"Warranty #1";#N/A,#N/A,FALSE,"Warranty #2";#N/A,#N/A,FALSE,"Purchasing"}</definedName>
    <definedName name="vvv_3" hidden="1">{#N/A,#N/A,FALSE,"title";#N/A,#N/A,FALSE,"AVE VEH";#N/A,#N/A,FALSE,"METRICS";#N/A,#N/A,FALSE,"Prod Cost";#N/A,#N/A,FALSE,"CMTOTCST";#N/A,#N/A,FALSE,"Roadmap";#N/A,#N/A,FALSE,"Road Text";#N/A,#N/A,FALSE,"VAVE";#N/A,#N/A,FALSE,"Warranty #1";#N/A,#N/A,FALSE,"Warranty #2";#N/A,#N/A,FALSE,"Purchasing"}</definedName>
    <definedName name="vvv_3_1" hidden="1">{#N/A,#N/A,FALSE,"title";#N/A,#N/A,FALSE,"AVE VEH";#N/A,#N/A,FALSE,"METRICS";#N/A,#N/A,FALSE,"Prod Cost";#N/A,#N/A,FALSE,"CMTOTCST";#N/A,#N/A,FALSE,"Roadmap";#N/A,#N/A,FALSE,"Road Text";#N/A,#N/A,FALSE,"VAVE";#N/A,#N/A,FALSE,"Warranty #1";#N/A,#N/A,FALSE,"Warranty #2";#N/A,#N/A,FALSE,"Purchasing"}</definedName>
    <definedName name="vvv_4" hidden="1">{#N/A,#N/A,FALSE,"title";#N/A,#N/A,FALSE,"AVE VEH";#N/A,#N/A,FALSE,"METRICS";#N/A,#N/A,FALSE,"Prod Cost";#N/A,#N/A,FALSE,"CMTOTCST";#N/A,#N/A,FALSE,"Roadmap";#N/A,#N/A,FALSE,"Road Text";#N/A,#N/A,FALSE,"VAVE";#N/A,#N/A,FALSE,"Warranty #1";#N/A,#N/A,FALSE,"Warranty #2";#N/A,#N/A,FALSE,"Purchasing"}</definedName>
    <definedName name="vvvvv" hidden="1">{#N/A,#N/A,FALSE,"KMC최종회의(7월) 자료"}</definedName>
    <definedName name="VW">"VIEW#"</definedName>
    <definedName name="VYVY" hidden="1">{#N/A,#N/A,FALSE,"단축1";#N/A,#N/A,FALSE,"단축2";#N/A,#N/A,FALSE,"단축3";#N/A,#N/A,FALSE,"장축";#N/A,#N/A,FALSE,"4WD"}</definedName>
    <definedName name="w" hidden="1">{"Fiesta Facer Page",#N/A,FALSE,"Q_C_S";"Fiesta Main Page",#N/A,FALSE,"V_L";"Fiesta 95BP Struct",#N/A,FALSE,"StructBP";"Fiesta Post 95BP Struct",#N/A,FALSE,"AdjStructBP"}</definedName>
    <definedName name="W0" hidden="1">{#N/A,#N/A,FALSE,"KMC최종회의(7월) 자료"}</definedName>
    <definedName name="Wä">"Euro"</definedName>
    <definedName name="waethgh" hidden="1">{#N/A,#N/A,FALSE,"96 3월물량표";#N/A,#N/A,FALSE,"96 4월물량표";#N/A,#N/A,FALSE,"96 5월물량표"}</definedName>
    <definedName name="walter2" hidden="1">{#N/A,#N/A,FALSE,"미판매분"}</definedName>
    <definedName name="WAQEFQ" hidden="1">{#N/A,#N/A,FALSE,"단축1";#N/A,#N/A,FALSE,"단축2";#N/A,#N/A,FALSE,"단축3";#N/A,#N/A,FALSE,"장축";#N/A,#N/A,FALSE,"4WD"}</definedName>
    <definedName name="was" hidden="1">{#N/A,#N/A,FALSE,"Sales Graph";#N/A,#N/A,FALSE,"BUC Graph";#N/A,#N/A,FALSE,"P&amp;L - YTD"}</definedName>
    <definedName name="wasd" hidden="1">{#N/A,#N/A,FALSE,"KMC최종회의(7월) 자료"}</definedName>
    <definedName name="wasdf" hidden="1">{#N/A,#N/A,FALSE,"KMC최종회의(7월) 자료"}</definedName>
    <definedName name="WaveID">#REF!</definedName>
    <definedName name="wawsss" hidden="1">{#N/A,#N/A,FALSE,"KMC최종회의(7월) 자료"}</definedName>
    <definedName name="wb" hidden="1">{#N/A,#N/A,FALSE,"Pharm";#N/A,#N/A,FALSE,"WWCM"}</definedName>
    <definedName name="WCM" hidden="1">{#N/A,#N/A,FALSE,"431"}</definedName>
    <definedName name="wcm3.ocm" hidden="1">{#N/A,#N/A,FALSE,"Cover Sheet";#N/A,#N/A,FALSE,"Ave_Trans_Shp_Abs";#N/A,#N/A,FALSE,"Det_Shp_Abs";#N/A,#N/A,FALSE,"Ave_Trans_Inst_Abs";#N/A,#N/A,FALSE,"Det_Ins_Abs";#N/A,#N/A,FALSE,"Ave_Trans_Tot_ABS";#N/A,#N/A,FALSE,"Det_Total_ABS"}</definedName>
    <definedName name="wcm3a" hidden="1">{#N/A,#N/A,FALSE,"Cover Sheet";#N/A,#N/A,FALSE,"Ave_Trans_Shp_Abs";#N/A,#N/A,FALSE,"Det_Shp_Abs";#N/A,#N/A,FALSE,"Ave_Trans_Inst_Abs";#N/A,#N/A,FALSE,"Det_Ins_Abs";#N/A,#N/A,FALSE,"Ave_Trans_Tot_ABS";#N/A,#N/A,FALSE,"Det_Total_ABS"}</definedName>
    <definedName name="wdq" hidden="1">{#N/A,#N/A,FALSE,"미판매분"}</definedName>
    <definedName name="WDS" hidden="1">{#N/A,#N/A,FALSE,"단축1";#N/A,#N/A,FALSE,"단축2";#N/A,#N/A,FALSE,"단축3";#N/A,#N/A,FALSE,"장축";#N/A,#N/A,FALSE,"4WD"}</definedName>
    <definedName name="WE" hidden="1">{#N/A,#N/A,FALSE,"을지 (4)";#N/A,#N/A,FALSE,"을지 (5)";#N/A,#N/A,FALSE,"을지 (6)"}</definedName>
    <definedName name="WE4TGH" hidden="1">{#N/A,#N/A,TRUE,"Y생산";#N/A,#N/A,TRUE,"Y판매";#N/A,#N/A,TRUE,"Y총물량";#N/A,#N/A,TRUE,"Y능력";#N/A,#N/A,TRUE,"YKD"}</definedName>
    <definedName name="WEAGTBG" hidden="1">{#N/A,#N/A,TRUE,"Y생산";#N/A,#N/A,TRUE,"Y판매";#N/A,#N/A,TRUE,"Y총물량";#N/A,#N/A,TRUE,"Y능력";#N/A,#N/A,TRUE,"YKD"}</definedName>
    <definedName name="WEARF" hidden="1">{#N/A,#N/A,TRUE,"Y생산";#N/A,#N/A,TRUE,"Y판매";#N/A,#N/A,TRUE,"Y총물량";#N/A,#N/A,TRUE,"Y능력";#N/A,#N/A,TRUE,"YKD"}</definedName>
    <definedName name="weas" hidden="1">{#N/A,#N/A,FALSE,"KMC최종회의(7월) 자료"}</definedName>
    <definedName name="web.cie" hidden="1">{#N/A,#N/A,FALSE,"cie97+98";#N/A,#N/A,FALSE,"cie 99+2000 ";#N/A,#N/A,FALSE,"gesamt"}</definedName>
    <definedName name="web.cie_1" hidden="1">{#N/A,#N/A,FALSE,"cie97+98";#N/A,#N/A,FALSE,"cie 99+2000 ";#N/A,#N/A,FALSE,"gesamt"}</definedName>
    <definedName name="WEE" hidden="1">{#N/A,#N/A,FALSE,"신규dep";#N/A,#N/A,FALSE,"신규dep-금형상각후";#N/A,#N/A,FALSE,"신규dep-연구비상각후";#N/A,#N/A,FALSE,"신규dep-기계,공구상각후"}</definedName>
    <definedName name="wefdf" hidden="1">{#N/A,#N/A,FALSE,"Cover Sheet";#N/A,#N/A,FALSE,"Ave_Trans_Shp_Abs";#N/A,#N/A,FALSE,"Det_Shp_Abs";#N/A,#N/A,FALSE,"Ave_Trans_Inst_Abs";#N/A,#N/A,FALSE,"Det_Ins_Abs";#N/A,#N/A,FALSE,"Ave_Trans_Tot_ABS";#N/A,#N/A,FALSE,"Det_Total_ABS"}</definedName>
    <definedName name="WEFRWE" hidden="1">{#N/A,#N/A,FALSE,"단축1";#N/A,#N/A,FALSE,"단축2";#N/A,#N/A,FALSE,"단축3";#N/A,#N/A,FALSE,"장축";#N/A,#N/A,FALSE,"4WD"}</definedName>
    <definedName name="WEG" hidden="1">{#N/A,#N/A,TRUE,"Y생산";#N/A,#N/A,TRUE,"Y판매";#N/A,#N/A,TRUE,"Y총물량";#N/A,#N/A,TRUE,"Y능력";#N/A,#N/A,TRUE,"YKD"}</definedName>
    <definedName name="WEGDFBV" hidden="1">{#N/A,#N/A,TRUE,"Y생산";#N/A,#N/A,TRUE,"Y판매";#N/A,#N/A,TRUE,"Y총물량";#N/A,#N/A,TRUE,"Y능력";#N/A,#N/A,TRUE,"YKD"}</definedName>
    <definedName name="WEGERHNT" hidden="1">{#N/A,#N/A,FALSE,"96 3월물량표";#N/A,#N/A,FALSE,"96 4월물량표";#N/A,#N/A,FALSE,"96 5월물량표"}</definedName>
    <definedName name="wegtgb" hidden="1">{#N/A,#N/A,TRUE,"Y생산";#N/A,#N/A,TRUE,"Y판매";#N/A,#N/A,TRUE,"Y총물량";#N/A,#N/A,TRUE,"Y능력";#N/A,#N/A,TRUE,"YKD"}</definedName>
    <definedName name="WEGTHN" hidden="1">{#N/A,#N/A,TRUE,"Y생산";#N/A,#N/A,TRUE,"Y판매";#N/A,#N/A,TRUE,"Y총물량";#N/A,#N/A,TRUE,"Y능력";#N/A,#N/A,TRUE,"YKD"}</definedName>
    <definedName name="wegvc" hidden="1">{#N/A,#N/A,TRUE,"Y생산";#N/A,#N/A,TRUE,"Y판매";#N/A,#N/A,TRUE,"Y총물량";#N/A,#N/A,TRUE,"Y능력";#N/A,#N/A,TRUE,"YKD"}</definedName>
    <definedName name="WEQ" hidden="1">{#N/A,#N/A,FALSE,"단축1";#N/A,#N/A,FALSE,"단축2";#N/A,#N/A,FALSE,"단축3";#N/A,#N/A,FALSE,"장축";#N/A,#N/A,FALSE,"4WD"}</definedName>
    <definedName name="were" hidden="1">{#N/A,#N/A,FALSE,"KMC최종회의(7월) 자료"}</definedName>
    <definedName name="werfew" hidden="1">{#N/A,#N/A,FALSE,"96 3월물량표";#N/A,#N/A,FALSE,"96 4월물량표";#N/A,#N/A,FALSE,"96 5월물량표"}</definedName>
    <definedName name="werrr" hidden="1">{#N/A,#N/A,FALSE,"Pharm";#N/A,#N/A,FALSE,"WWCM"}</definedName>
    <definedName name="wert" hidden="1">{#N/A,#N/A,FALSE,"Cover";#N/A,#N/A,FALSE,"Profits";#N/A,#N/A,FALSE,"ABS";#N/A,#N/A,FALSE,"TFLE Detail";#N/A,#N/A,FALSE,"TFLE Walk";#N/A,#N/A,FALSE,"Variable Cost";#N/A,#N/A,FALSE,"V.C. Walk"}</definedName>
    <definedName name="WERTY" hidden="1">{#N/A,#N/A,FALSE,"단축1";#N/A,#N/A,FALSE,"단축2";#N/A,#N/A,FALSE,"단축3";#N/A,#N/A,FALSE,"장축";#N/A,#N/A,FALSE,"4WD"}</definedName>
    <definedName name="weryh" hidden="1">{#N/A,#N/A,TRUE,"Y생산";#N/A,#N/A,TRUE,"Y판매";#N/A,#N/A,TRUE,"Y총물량";#N/A,#N/A,TRUE,"Y능력";#N/A,#N/A,TRUE,"YKD"}</definedName>
    <definedName name="wet" hidden="1">{#N/A,#N/A,FALSE,"96 3월물량표";#N/A,#N/A,FALSE,"96 4월물량표";#N/A,#N/A,FALSE,"96 5월물량표"}</definedName>
    <definedName name="WETTRHTRHJ" hidden="1">{#N/A,#N/A,TRUE,"Y생산";#N/A,#N/A,TRUE,"Y판매";#N/A,#N/A,TRUE,"Y총물량";#N/A,#N/A,TRUE,"Y능력";#N/A,#N/A,TRUE,"YKD"}</definedName>
    <definedName name="WETY" hidden="1">{#N/A,#N/A,FALSE,"단축1";#N/A,#N/A,FALSE,"단축2";#N/A,#N/A,FALSE,"단축3";#N/A,#N/A,FALSE,"장축";#N/A,#N/A,FALSE,"4WD"}</definedName>
    <definedName name="weygtrhj" hidden="1">{#N/A,#N/A,FALSE,"96 3월물량표";#N/A,#N/A,FALSE,"96 4월물량표";#N/A,#N/A,FALSE,"96 5월물량표"}</definedName>
    <definedName name="wfe" hidden="1">{#N/A,#N/A,FALSE,"afa linear";#N/A,#N/A,FALSE,"mit 10% zuschuss";#N/A,#N/A,FALSE,"mit 25% zuschuss"}</definedName>
    <definedName name="wfefsv" hidden="1">{"Fiesta Facer Page",#N/A,FALSE,"Q_C_S";"Fiesta Main Page",#N/A,FALSE,"V_L";"Fiesta 95BP Struct",#N/A,FALSE,"StructBP";"Fiesta Post 95BP Struct",#N/A,FALSE,"AdjStructBP"}</definedName>
    <definedName name="wfm.afa." hidden="1">{#N/A,#N/A,FALSE,"afa linear";#N/A,#N/A,FALSE,"mit 10% zuschuss";#N/A,#N/A,FALSE,"mit 25% zuschuss"}</definedName>
    <definedName name="wfm.afa._1" hidden="1">{#N/A,#N/A,FALSE,"afa linear";#N/A,#N/A,FALSE,"mit 10% zuschuss";#N/A,#N/A,FALSE,"mit 25% zuschuss"}</definedName>
    <definedName name="wg" hidden="1">{#N/A,#N/A,FALSE,"KMC최종회의(7월) 자료"}</definedName>
    <definedName name="wh" hidden="1">{#N/A,#N/A,TRUE,"Y생산";#N/A,#N/A,TRUE,"Y판매";#N/A,#N/A,TRUE,"Y총물량";#N/A,#N/A,TRUE,"Y능력";#N/A,#N/A,TRUE,"YKD"}</definedName>
    <definedName name="WHATISTHIS1" hidden="1">{#N/A,#N/A,FALSE,"431"}</definedName>
    <definedName name="WHATISTHIS1_1" hidden="1">{#N/A,#N/A,FALSE,"431"}</definedName>
    <definedName name="WHATISTHIS2" hidden="1">{#N/A,#N/A,FALSE,"431"}</definedName>
    <definedName name="WHATISTHIS2_1" hidden="1">{#N/A,#N/A,FALSE,"431"}</definedName>
    <definedName name="WHATISTHIS3" hidden="1">{#N/A,#N/A,FALSE,"431"}</definedName>
    <definedName name="WHATISTHIS3_1" hidden="1">{#N/A,#N/A,FALSE,"431"}</definedName>
    <definedName name="WHATISTHIS4" hidden="1">{#N/A,#N/A,FALSE,"431"}</definedName>
    <definedName name="WHATISTHIS4_1" hidden="1">{#N/A,#N/A,FALSE,"431"}</definedName>
    <definedName name="WHATISTHIS5" hidden="1">{#N/A,#N/A,FALSE,"431"}</definedName>
    <definedName name="WHATISTHIS5_1" hidden="1">{#N/A,#N/A,FALSE,"431"}</definedName>
    <definedName name="WHDGK" hidden="1">{#N/A,#N/A,FALSE,"KMC최종회의(7월) 자료"}</definedName>
    <definedName name="WHRL" hidden="1">{#N/A,#N/A,FALSE,"단축1";#N/A,#N/A,FALSE,"단축2";#N/A,#N/A,FALSE,"단축3";#N/A,#N/A,FALSE,"장축";#N/A,#N/A,FALSE,"4WD"}</definedName>
    <definedName name="WJD" hidden="1">{#N/A,#N/A,FALSE,"KMC최종회의(7월) 자료"}</definedName>
    <definedName name="WJDDYD" hidden="1">{#N/A,#N/A,FALSE,"단축1";#N/A,#N/A,FALSE,"단축2";#N/A,#N/A,FALSE,"단축3";#N/A,#N/A,FALSE,"장축";#N/A,#N/A,FALSE,"4WD"}</definedName>
    <definedName name="wkworhgk" hidden="1">{#N/A,#N/A,TRUE,"Y생산";#N/A,#N/A,TRUE,"Y판매";#N/A,#N/A,TRUE,"Y총물량";#N/A,#N/A,TRUE,"Y능력";#N/A,#N/A,TRUE,"YKD"}</definedName>
    <definedName name="wm.ocm" hidden="1">{#N/A,#N/A,FALSE,"Cover Sheet";#N/A,#N/A,FALSE,"Ave_Trans_Shp_Abs";#N/A,#N/A,FALSE,"Det_Shp_Abs";#N/A,#N/A,FALSE,"Ave_Trans_Inst_Abs";#N/A,#N/A,FALSE,"Det_Ins_Abs";#N/A,#N/A,FALSE,"Ave_Trans_Tot_ABS";#N/A,#N/A,FALSE,"Det_Total_ABS"}</definedName>
    <definedName name="wm1.ocm" hidden="1">{#N/A,#N/A,FALSE,"Cover Sheet";#N/A,#N/A,FALSE,"Ave_Trans_Shp_Abs";#N/A,#N/A,FALSE,"Det_Shp_Abs";#N/A,#N/A,FALSE,"Ave_Trans_Inst_Abs";#N/A,#N/A,FALSE,"Det_Ins_Abs";#N/A,#N/A,FALSE,"Ave_Trans_Tot_ABS";#N/A,#N/A,FALSE,"Det_Total_ABS"}</definedName>
    <definedName name="wm1a" hidden="1">{#N/A,#N/A,FALSE,"Cover Sheet";#N/A,#N/A,FALSE,"Ave_Trans_Shp_Abs";#N/A,#N/A,FALSE,"Det_Shp_Abs";#N/A,#N/A,FALSE,"Ave_Trans_Inst_Abs";#N/A,#N/A,FALSE,"Det_Ins_Abs";#N/A,#N/A,FALSE,"Ave_Trans_Tot_ABS";#N/A,#N/A,FALSE,"Det_Total_ABS"}</definedName>
    <definedName name="wm2.ocm" hidden="1">{#N/A,#N/A,FALSE,"Cover Sheet";#N/A,#N/A,FALSE,"Ave_Trans_Shp_Abs";#N/A,#N/A,FALSE,"Det_Shp_Abs";#N/A,#N/A,FALSE,"Ave_Trans_Inst_Abs";#N/A,#N/A,FALSE,"Det_Ins_Abs";#N/A,#N/A,FALSE,"Ave_Trans_Tot_ABS";#N/A,#N/A,FALSE,"Det_Total_ABS"}</definedName>
    <definedName name="wm2a" hidden="1">{#N/A,#N/A,FALSE,"Cover Sheet";#N/A,#N/A,FALSE,"Ave_Trans_Shp_Abs";#N/A,#N/A,FALSE,"Det_Shp_Abs";#N/A,#N/A,FALSE,"Ave_Trans_Inst_Abs";#N/A,#N/A,FALSE,"Det_Ins_Abs";#N/A,#N/A,FALSE,"Ave_Trans_Tot_ABS";#N/A,#N/A,FALSE,"Det_Total_ABS"}</definedName>
    <definedName name="wnd" hidden="1">{#N/A,#N/A,TRUE,"Y생산";#N/A,#N/A,TRUE,"Y판매";#N/A,#N/A,TRUE,"Y총물량";#N/A,#N/A,TRUE,"Y능력";#N/A,#N/A,TRUE,"YKD"}</definedName>
    <definedName name="working" hidden="1">{#N/A,#N/A,FALSE,"REPORT"}</definedName>
    <definedName name="wpwkrdlfwjd" hidden="1">{#N/A,#N/A,FALSE,"단축1";#N/A,#N/A,FALSE,"단축2";#N/A,#N/A,FALSE,"단축3";#N/A,#N/A,FALSE,"장축";#N/A,#N/A,FALSE,"4WD"}</definedName>
    <definedName name="WQ" hidden="1">{#N/A,#N/A,FALSE,"을지 (4)";#N/A,#N/A,FALSE,"을지 (5)";#N/A,#N/A,FALSE,"을지 (6)"}</definedName>
    <definedName name="wqasd" hidden="1">{#N/A,#N/A,FALSE,"KMC최종회의(7월) 자료"}</definedName>
    <definedName name="wqd" hidden="1">{#N/A,#N/A,FALSE,"미판매분"}</definedName>
    <definedName name="wqdqd" hidden="1">{#N/A,#N/A,FALSE,"미판매분"}</definedName>
    <definedName name="WR" hidden="1">{#N/A,#N/A,TRUE,"smooth ride";#N/A,#N/A,TRUE,"rough ride";#N/A,#N/A,TRUE,"parking";#N/A,#N/A,TRUE,"straight Control";#N/A,#N/A,TRUE,"corn control";#N/A,#N/A,TRUE,"Steer disturbance";#N/A,#N/A,TRUE,"Straight stab.";#N/A,#N/A,TRUE,"cornering stab.";#N/A,#N/A,TRUE,"braking";#N/A,#N/A,TRUE,"braking dist"}</definedName>
    <definedName name="wraeygfb" hidden="1">{#N/A,#N/A,FALSE,"96 3월물량표";#N/A,#N/A,FALSE,"96 4월물량표";#N/A,#N/A,FALSE,"96 5월물량표"}</definedName>
    <definedName name="WRE" hidden="1">{#N/A,#N/A,FALSE,"KMC최종회의(7월) 자료"}</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{#N/A,#N/A,FALSE,"2000";#N/A,#N/A,FALSE,"1999_1998"}</definedName>
    <definedName name="wrn.1_1" hidden="1">{#N/A,#N/A,FALSE,"2000";#N/A,#N/A,FALSE,"1999_1998"}</definedName>
    <definedName name="wrn.1_1_1" hidden="1">{#N/A,#N/A,FALSE,"2000";#N/A,#N/A,FALSE,"1999_1998"}</definedName>
    <definedName name="wrn.1_2" hidden="1">{#N/A,#N/A,FALSE,"2000";#N/A,#N/A,FALSE,"1999_1998"}</definedName>
    <definedName name="wrn.1_2_1" hidden="1">{#N/A,#N/A,FALSE,"2000";#N/A,#N/A,FALSE,"1999_1998"}</definedName>
    <definedName name="wrn.1_3" hidden="1">{#N/A,#N/A,FALSE,"2000";#N/A,#N/A,FALSE,"1999_1998"}</definedName>
    <definedName name="wrn.1_3_1" hidden="1">{#N/A,#N/A,FALSE,"2000";#N/A,#N/A,FALSE,"1999_1998"}</definedName>
    <definedName name="wrn.1_4" hidden="1">{#N/A,#N/A,FALSE,"2000";#N/A,#N/A,FALSE,"1999_1998"}</definedName>
    <definedName name="wrn.1_4_1" hidden="1">{#N/A,#N/A,FALSE,"2000";#N/A,#N/A,FALSE,"1999_1998"}</definedName>
    <definedName name="wrn.1_5" hidden="1">{#N/A,#N/A,FALSE,"2000";#N/A,#N/A,FALSE,"1999_1998"}</definedName>
    <definedName name="wrn.1_5_1" hidden="1">{#N/A,#N/A,FALSE,"2000";#N/A,#N/A,FALSE,"1999_1998"}</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111111" hidden="1">{#N/A,#N/A,FALSE,"Pharm";#N/A,#N/A,FALSE,"WWCM"}</definedName>
    <definedName name="wrn.12." hidden="1">{#N/A,#N/A,FALSE,"italien97+98";#N/A,#N/A,FALSE,"italien 99+2000"}</definedName>
    <definedName name="wrn.12._1" hidden="1">{#N/A,#N/A,FALSE,"italien97+98";#N/A,#N/A,FALSE,"italien 99+2000"}</definedName>
    <definedName name="wrn.12._2" hidden="1">{#N/A,#N/A,FALSE,"italien97+98";#N/A,#N/A,FALSE,"italien 99+2000"}</definedName>
    <definedName name="wrn.345." hidden="1">{#N/A,#N/A,FALSE,"96 3월물량표";#N/A,#N/A,FALSE,"96 4월물량표";#N/A,#N/A,FALSE,"96 5월물량표"}</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3" hidden="1">{#N/A,#N/A,TRUE,"양식5";#N/A,#N/A,TRUE,"양식1_2_2";#N/A,#N/A,TRUE,"양식1_1_2";#N/A,#N/A,TRUE,"양식2";#N/A,#N/A,TRUE,"양식4";#N/A,#N/A,TRUE,"양식3";#N/A,#N/A,TRUE,"양식6";#N/A,#N/A,TRUE,"양식7";#N/A,#N/A,TRUE,"양식10";#N/A,#N/A,TRUE,"양식11";#N/A,#N/A,TRUE,"양식12";#N/A,#N/A,TRUE,"양식13_1_2";#N/A,#N/A,TRUE,"양식13_2_2";#N/A,#N/A,TRUE,"양식14"}</definedName>
    <definedName name="wrn.96plan._3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4" hidden="1">{#N/A,#N/A,TRUE,"양식5";#N/A,#N/A,TRUE,"양식1_2_2";#N/A,#N/A,TRUE,"양식1_1_2";#N/A,#N/A,TRUE,"양식2";#N/A,#N/A,TRUE,"양식4";#N/A,#N/A,TRUE,"양식3";#N/A,#N/A,TRUE,"양식6";#N/A,#N/A,TRUE,"양식7";#N/A,#N/A,TRUE,"양식10";#N/A,#N/A,TRUE,"양식11";#N/A,#N/A,TRUE,"양식12";#N/A,#N/A,TRUE,"양식13_1_2";#N/A,#N/A,TRUE,"양식13_2_2";#N/A,#N/A,TRUE,"양식14"}</definedName>
    <definedName name="wrn.96plan._4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5" hidden="1">{#N/A,#N/A,TRUE,"양식5";#N/A,#N/A,TRUE,"양식1_2_2";#N/A,#N/A,TRUE,"양식1_1_2";#N/A,#N/A,TRUE,"양식2";#N/A,#N/A,TRUE,"양식4";#N/A,#N/A,TRUE,"양식3";#N/A,#N/A,TRUE,"양식6";#N/A,#N/A,TRUE,"양식7";#N/A,#N/A,TRUE,"양식10";#N/A,#N/A,TRUE,"양식11";#N/A,#N/A,TRUE,"양식12";#N/A,#N/A,TRUE,"양식13_1_2";#N/A,#N/A,TRUE,"양식13_2_2";#N/A,#N/A,TRUE,"양식14"}</definedName>
    <definedName name="wrn.96plan._5_1" hidden="1">{#N/A,#N/A,TRUE,"양식5";#N/A,#N/A,TRUE,"양식1_2_2";#N/A,#N/A,TRUE,"양식1_1_2";#N/A,#N/A,TRUE,"양식2";#N/A,#N/A,TRUE,"양식4";#N/A,#N/A,TRUE,"양식3";#N/A,#N/A,TRUE,"양식6";#N/A,#N/A,TRUE,"양식7";#N/A,#N/A,TRUE,"양식10";#N/A,#N/A,TRUE,"양식11";#N/A,#N/A,TRUE,"양식12";#N/A,#N/A,TRUE,"양식13_1_2";#N/A,#N/A,TRUE,"양식13_2_2";#N/A,#N/A,TRUE,"양식14"}</definedName>
    <definedName name="wrn.98._.VALUE._.ANALYSES." hidden="1">{#VALUE!,#N/A,FALSE,0;#N/A,#N/A,FALSE,0;#N/A,#N/A,FALSE,0;#N/A,#N/A,FALSE,0}</definedName>
    <definedName name="wrn.99999" hidden="1">{#N/A,#N/A,FALSE,"REPORT"}</definedName>
    <definedName name="wrn.A." hidden="1">{#N/A,#N/A,FALSE,"A"}</definedName>
    <definedName name="wrn.aaa" hidden="1">{#N/A,#N/A,FALSE,"Pharm";#N/A,#N/A,FALSE,"WWCM"}</definedName>
    <definedName name="wrn.AAAA." hidden="1">{#N/A,#N/A,FALSE,"1.참가신청";#N/A,#N/A,FALSE,"2.개발성과";#N/A,#N/A,FALSE,"3.활용현황";#N/A,#N/A,FALSE,"4.상호명";#N/A,#N/A,FALSE,"5.포상신청";#N/A,#N/A,FALSE,"산업재산권";#N/A,#N/A,FALSE,"산출내역";#N/A,#N/A,FALSE,"인적사항"}</definedName>
    <definedName name="wrn.aaaaaaa" hidden="1">{#N/A,#N/A,FALSE,"Pharm";#N/A,#N/A,FALSE,"WWCM"}</definedName>
    <definedName name="wrn.Accounts." hidden="1">{"turnover",#N/A,FALSE;"profits",#N/A,FALSE;"cash",#N/A,FALSE}</definedName>
    <definedName name="wrn.Acquisition_matrix." hidden="1">{"Acq_matrix",#N/A,FALSE,"Acquisition Matrix"}</definedName>
    <definedName name="wrn.adj95." hidden="1">{"adj95mult",#N/A,FALSE,"COMPCO";"adj95est",#N/A,FALSE,"COMPCO"}</definedName>
    <definedName name="wrn.Admin._.Allocation." hidden="1">{"Rates_Summ",#N/A,TRUE,"Rates";"I_Poriginal",#N/A,TRUE,"I_P";"Pctgs_original",#N/A,TRUE,"Pctgs";"Rates_Main",#N/A,TRUE,"Rates"}</definedName>
    <definedName name="wrn.afa." hidden="1">{#N/A,#N/A,FALSE,"afa linear";#N/A,#N/A,FALSE,"mit 10% zuschuss";#N/A,#N/A,FALSE,"mit 25% zuschuss"}</definedName>
    <definedName name="wrn.afa._1" hidden="1">{#N/A,#N/A,FALSE,"afa linear";#N/A,#N/A,FALSE,"mit 10% zuschuss";#N/A,#N/A,FALSE,"mit 25% zuschuss"}</definedName>
    <definedName name="wrn.afa._2" hidden="1">{#N/A,#N/A,FALSE,"afa linear";#N/A,#N/A,FALSE,"mit 10% zuschuss";#N/A,#N/A,FALSE,"mit 25% zuschuss"}</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3_1"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4_1"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_5_1" hidden="1">{#N/A,#N/A,FALSE,"Aging Summary";#N/A,#N/A,FALSE,"Ratio Analysis";#N/A,#N/A,FALSE,"Test 120 Day Accts";#N/A,#N/A,FALSE,"Tickmarks"}</definedName>
    <definedName name="wrn.All." hidden="1">{"Fiesta Facer Page",#N/A,FALSE,"Q_C_S";"Fiesta Main Page",#N/A,FALSE,"V_L";"Fiesta 95BP Struct",#N/A,FALSE,"StructBP";"Fiesta Post 95BP Struct",#N/A,FALSE,"AdjStructBP"}</definedName>
    <definedName name="wrn.All._.Pages." hidden="1">{#N/A,#N/A,TRUE,"dew_x200";#N/A,#N/A,TRUE,"cvgm_twncr_must";#N/A,#N/A,TRUE,"x100_x300_falcn";#N/A,#N/A,TRUE,"t_mark_scorp";#N/A,#N/A,TRUE,"VC3GRAF"}</definedName>
    <definedName name="wrn.All._.Pages\All._.Plants." hidden="1">{"All Pages",#N/A,FALSE,"Plant 1 Exp";"All Pages",#N/A,FALSE,"Plant 2 Exp";"All Pages",#N/A,FALSE,"Plant 3 Exp";"All Pages",#N/A,FALSE,"Plant 4 Exp";"All Pages",#N/A,FALSE,"Total Vehicle"}</definedName>
    <definedName name="wrn.All._1" hidden="1">{"Fiesta Facer Page",#N/A,FALSE,"Q_C_S";"Fiesta Main Page",#N/A,FALSE,"V_L";"Fiesta 95BP Struct",#N/A,FALSE,"StructBP";"Fiesta Post 95BP Struct",#N/A,FALSE,"AdjStructBP"}</definedName>
    <definedName name="wrn.All._2" hidden="1">{"Fiesta Facer Page",#N/A,FALSE,"Q_C_S";"Fiesta Main Page",#N/A,FALSE,"V_L";"Fiesta 95BP Struct",#N/A,FALSE,"StructBP";"Fiesta Post 95BP Struct",#N/A,FALSE,"AdjStructBP"}</definedName>
    <definedName name="wrn.All._2_1" hidden="1">{"Fiesta Facer Page",#N/A,FALSE,"Q_C_S";"Fiesta Main Page",#N/A,FALSE,"V_L";"Fiesta 95BP Struct",#N/A,FALSE,"StructBP";"Fiesta Post 95BP Struct",#N/A,FALSE,"AdjStructBP"}</definedName>
    <definedName name="wrn.All._3" hidden="1">{"Fiesta Facer Page",#N/A,FALSE,"Q_C_S";"Fiesta Main Page",#N/A,FALSE,"V_L";"Fiesta 95BP Struct",#N/A,FALSE,"StructBP";"Fiesta Post 95BP Struct",#N/A,FALSE,"AdjStructBP"}</definedName>
    <definedName name="wrn.All._3_1" hidden="1">{"Fiesta Facer Page",#N/A,FALSE,"Q_C_S";"Fiesta Main Page",#N/A,FALSE,"V_L";"Fiesta 95BP Struct",#N/A,FALSE,"StructBP";"Fiesta Post 95BP Struct",#N/A,FALSE,"AdjStructBP"}</definedName>
    <definedName name="wrn.All._4" hidden="1">{"Fiesta Facer Page",#N/A,FALSE,"Q_C_S";"Fiesta Main Page",#N/A,FALSE,"V_L";"Fiesta 95BP Struct",#N/A,FALSE,"StructBP";"Fiesta Post 95BP Struct",#N/A,FALSE,"AdjStructBP"}</definedName>
    <definedName name="wrn.ALL._5" hidden="1">{"LES",#N/A,FALSE,"PRINT";"TFI",#N/A,FALSE,"PRINT"}</definedName>
    <definedName name="wrn.ANO._.98._.A._.2002." hidden="1">{"ANO98A2002",#N/A,FALSE,"Plan1"}</definedName>
    <definedName name="wrn.ANO96." hidden="1">{"ANO96",#N/A,FALSE,"Plan1"}</definedName>
    <definedName name="wrn.ANO97." hidden="1">{"ANO97",#N/A,FALSE,"Plan1"}</definedName>
    <definedName name="wrn.ANSWER." hidden="1">{#N/A,#N/A,FALSE,"Cost Card";#N/A,#N/A,FALSE,"CSTANS";#N/A,#N/A,FALSE,"INVEST"}</definedName>
    <definedName name="wrn.AQUIROR._.DCF." hidden="1">{"AQUIRORDCF",#N/A,FALSE,"Merger consequences";"Acquirorassns",#N/A,FALSE,"Merger consequences"}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DI._.Invest." hidden="1">{#N/A,#N/A,FALSE,"Gruppe Gesamt 1. Änderung";#N/A,#N/A,FALSE,"ZWN 1. Änderung";#N/A,#N/A,FALSE,"GETRAG LB Ursprung";#N/A,#N/A,FALSE,"GETRAG Rosenbg. Ursprung ";#N/A,#N/A,FALSE,"GST  Ursprung";#N/A,#N/A,FALSE,"FZ 1. Änderung"}</definedName>
    <definedName name="wrn.AUDI._.Invest._1" hidden="1">{#N/A,#N/A,FALSE,"Gruppe Gesamt 1. Änderung";#N/A,#N/A,FALSE,"ZWN 1. Änderung";#N/A,#N/A,FALSE,"GETRAG LB Ursprung";#N/A,#N/A,FALSE,"GETRAG Rosenbg. Ursprung ";#N/A,#N/A,FALSE,"GST  Ursprung";#N/A,#N/A,FALSE,"FZ 1. Änderung"}</definedName>
    <definedName name="wrn.AUDI._.Invest._2" hidden="1">{#N/A,#N/A,FALSE,"Gruppe Gesamt 1. Änderung";#N/A,#N/A,FALSE,"ZWN 1. Änderung";#N/A,#N/A,FALSE,"GETRAG LB Ursprung";#N/A,#N/A,FALSE,"GETRAG Rosenbg. Ursprung ";#N/A,#N/A,FALSE,"GST  Ursprung";#N/A,#N/A,FALSE,"FZ 1. Änderung"}</definedName>
    <definedName name="wrn.AuºIAI¼a." hidden="1">{#N/A,#N/A,FALSE,"´UA";#N/A,#N/A,FALSE,"´UA";#N/A,#N/A,FALSE,"´UA";#N/A,#N/A,FALSE,"Aa";#N/A,#N/A,FALSE,"4WD"}</definedName>
    <definedName name="wrn.AUS._.Total._.Function." hidden="1">{"AUS",#N/A,FALSE,"Full Year By Funct"}</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vrev." hidden="1">{"avrev",#N/A,FALSE,"AVREV";"rates",#N/A,FALSE,"AVREV"}</definedName>
    <definedName name="wrn.balsheet." hidden="1">{#N/A,#N/A,FALSE,"BalCash"}</definedName>
    <definedName name="wrn.BBBB." hidden="1">{#N/A,#N/A,FALSE,"유첨1-1";#N/A,#N/A,FALSE,"1-2";#N/A,#N/A,FALSE,"1-3";#N/A,#N/A,FALSE,"1-4";#N/A,#N/A,FALSE,"1-5";#N/A,#N/A,FALSE,"1-6";#N/A,#N/A,FALSE,"1-7";#N/A,#N/A,FALSE,"1-8";#N/A,#N/A,FALSE,"1-9"}</definedName>
    <definedName name="wrn.besiness_case1." hidden="1">{"PAGE_1",#N/A,FALSE,"FINANCIALS";"PAGE_2",#N/A,FALSE,"FINANCIALS";"PAGE_3",#N/A,FALSE,"FINANCIALS";"PAGE_4",#N/A,FALSE,"FINANCIALS";"PAGE_5",#N/A,FALSE,"FINANCIALS";"PAGE_6",#N/A,FALSE,"FINANCIALS";"PAGE_7",#N/A,FALSE,"FINANCIALS";"PAGE_8",#N/A,FALSE,"FINANCIALS"}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rief." hidden="1">{#N/A,#N/A,TRUE,"Summary";#N/A,#N/A,TRUE,"Balance Sheet";#N/A,#N/A,TRUE,"P &amp; L";#N/A,#N/A,TRUE,"Fixed Assets";#N/A,#N/A,TRUE,"Cash Flows"}</definedName>
    <definedName name="wrn.Budget._.Report." hidden="1">{#N/A,#N/A,FALSE,"LABOUR2001";#N/A,#N/A,FALSE,"LABOUR 2002";#N/A,#N/A,FALSE,"EXPENSE DETAIL";#N/A,#N/A,FALSE,"2001 FORECAST";#N/A,#N/A,FALSE,"2002 BUDGET"}</definedName>
    <definedName name="wrn.Budget._.Report._2" hidden="1">{#N/A,#N/A,FALSE,"LABOUR2001";#N/A,#N/A,FALSE,"LABOUR 2002";#N/A,#N/A,FALSE,"EXPENSE DETAIL";#N/A,#N/A,FALSE,"2001 FORECAST";#N/A,#N/A,FALSE,"2002 BUDGET"}</definedName>
    <definedName name="wrn.Budget._.Report._3" hidden="1">{#N/A,#N/A,FALSE,"LABOUR2001";#N/A,#N/A,FALSE,"LABOUR 2002";#N/A,#N/A,FALSE,"EXPENSE DETAIL";#N/A,#N/A,FALSE,"2001 FORECAST";#N/A,#N/A,FALSE,"2002 BUDGET"}</definedName>
    <definedName name="wrn.Budget._.Report._4" hidden="1">{#N/A,#N/A,FALSE,"LABOUR2001";#N/A,#N/A,FALSE,"LABOUR 2002";#N/A,#N/A,FALSE,"EXPENSE DETAIL";#N/A,#N/A,FALSE,"2001 FORECAST";#N/A,#N/A,FALSE,"2002 BUDGET"}</definedName>
    <definedName name="wrn.Budget._.Report._5" hidden="1">{#N/A,#N/A,FALSE,"LABOUR2001";#N/A,#N/A,FALSE,"LABOUR 2002";#N/A,#N/A,FALSE,"EXPENSE DETAIL";#N/A,#N/A,FALSE,"2001 FORECAST";#N/A,#N/A,FALSE,"2002 BUDGET"}</definedName>
    <definedName name="wrn.BUSINESS_CASE." hidden="1">{"PAGE_1",#N/A,FALSE,"FINANCIALS";"PAGE_2",#N/A,FALSE,"FINANCIALS";"PAGE_3",#N/A,FALSE,"FINANCIALS";"PAGE_4",#N/A,FALSE,"FINANCIALS";"PAGE_5",#N/A,FALSE,"FINANCIALS";"PAGE_6",#N/A,FALSE,"FINANCIALS";"PAGE_7",#N/A,FALSE,"FINANCIALS";"PAGE_8",#N/A,FALSE,"FINANCIALS"}</definedName>
    <definedName name="wrn.C." hidden="1">{#N/A,#N/A,FALSE,"C"}</definedName>
    <definedName name="wrn.capital." hidden="1">{"capital",#N/A,FALSE,"CAPITAL_DEP'N"}</definedName>
    <definedName name="wrn.CAPITAL._.DETAIL." hidden="1">{"CAPITAL DETAIL",#N/A,FALSE,"1993"}</definedName>
    <definedName name="wrn.Cardiovasculars." hidden="1">{#N/A,#N/A,FALSE,"Card";#N/A,#N/A,FALSE,"Prav";#N/A,#N/A,FALSE,"Irbe";#N/A,#N/A,FALSE,"Plavix";#N/A,#N/A,FALSE,"Capt";#N/A,#N/A,FALSE,"Fosi"}</definedName>
    <definedName name="wrn.casubont." hidden="1">{#N/A,#N/A,FALSE,"expense";#N/A,#N/A,FALSE,"heads"}</definedName>
    <definedName name="wrn.CCCC." hidden="1">{#N/A,#N/A,FALSE,"유첨2-1";#N/A,#N/A,FALSE,"2-2";#N/A,#N/A,FALSE,"2-3";#N/A,#N/A,FALSE,"2-4";#N/A,#N/A,FALSE,"2-5";#N/A,#N/A,FALSE,"2-6";#N/A,#N/A,FALSE,"2-7";#N/A,#N/A,FALSE,"2-8";#N/A,#N/A,FALSE,"2-9"}</definedName>
    <definedName name="wrn.cellular." hidden="1">{#N/A,#N/A,TRUE,"TITLE";#N/A,#N/A,TRUE,"MKT Cellular Subs";#N/A,#N/A,TRUE,"Cellular sub ";#N/A,#N/A,TRUE,"P&amp;L - Cell";#N/A,#N/A,TRUE,"Rev &amp; Usage assump - Cell";#N/A,#N/A,TRUE,"Cost -  Cellular";"cellular",#N/A,TRUE,"Capex "}</definedName>
    <definedName name="wrn.Central._.Nervous._.System." hidden="1">{#N/A,#N/A,FALSE,"CNS";#N/A,#N/A,FALSE,"Serz";#N/A,#N/A,FALSE,"Ace"}</definedName>
    <definedName name="wrn.cie." hidden="1">{#N/A,#N/A,FALSE,"cie97+98";#N/A,#N/A,FALSE,"cie 99+2000 ";#N/A,#N/A,FALSE,"gesamt"}</definedName>
    <definedName name="wrn.cie._1" hidden="1">{#N/A,#N/A,FALSE,"cie97+98";#N/A,#N/A,FALSE,"cie 99+2000 ";#N/A,#N/A,FALSE,"gesamt"}</definedName>
    <definedName name="wrn.cie._2" hidden="1">{#N/A,#N/A,FALSE,"cie97+98";#N/A,#N/A,FALSE,"cie 99+2000 ";#N/A,#N/A,FALSE,"gesamt"}</definedName>
    <definedName name="wrn.COMPARISON." hidden="1">{"COMPARISON",#N/A,FALSE,"Sheet1"}</definedName>
    <definedName name="wrn.compco." hidden="1">{"mult96",#N/A,FALSE,"PETCOMP";"est96",#N/A,FALSE,"PETCOMP";"mult95",#N/A,FALSE,"PETCOMP";"est95",#N/A,FALSE,"PETCOMP";"multltm",#N/A,FALSE,"PETCOMP";"resultltm",#N/A,FALSE,"PETCOMP"}</definedName>
    <definedName name="wrn.Consumer._.Medicines." hidden="1">{#N/A,#N/A,FALSE,"OTC";#N/A,#N/A,FALSE,"Ther";#N/A,#N/A,FALSE,"Temp";#N/A,#N/A,FALSE,"Exce";#N/A,#N/A,FALSE,"Buff";#N/A,#N/A,FALSE,"Picot";#N/A,#N/A,FALSE,"Luftal";#N/A,#N/A,FALSE,"Comt"}</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_.FS._.국문._1_1" hidden="1">{#N/A,#N/A,FALSE,"BS";#N/A,#N/A,FALSE,"PL";#N/A,#N/A,FALSE,"처분";#N/A,#N/A,FALSE,"현금";#N/A,#N/A,FALSE,"매출";#N/A,#N/A,FALSE,"원가";#N/A,#N/A,FALSE,"경영"}</definedName>
    <definedName name="wrn.COSA._.FS._.국문._2" hidden="1">{#N/A,#N/A,FALSE,"BS";#N/A,#N/A,FALSE,"PL";#N/A,#N/A,FALSE,"처분";#N/A,#N/A,FALSE,"현금";#N/A,#N/A,FALSE,"매출";#N/A,#N/A,FALSE,"원가";#N/A,#N/A,FALSE,"경영"}</definedName>
    <definedName name="wrn.COSA._.FS._.국문._2_1" hidden="1">{#N/A,#N/A,FALSE,"BS";#N/A,#N/A,FALSE,"PL";#N/A,#N/A,FALSE,"처분";#N/A,#N/A,FALSE,"현금";#N/A,#N/A,FALSE,"매출";#N/A,#N/A,FALSE,"원가";#N/A,#N/A,FALSE,"경영"}</definedName>
    <definedName name="wrn.COSA._.FS._.국문._3" hidden="1">{#N/A,#N/A,FALSE,"BS";#N/A,#N/A,FALSE,"PL";#N/A,#N/A,FALSE,"처분";#N/A,#N/A,FALSE,"현금";#N/A,#N/A,FALSE,"매출";#N/A,#N/A,FALSE,"원가";#N/A,#N/A,FALSE,"경영"}</definedName>
    <definedName name="wrn.COSA._.FS._.국문._3_1" hidden="1">{#N/A,#N/A,FALSE,"BS";#N/A,#N/A,FALSE,"PL";#N/A,#N/A,FALSE,"처분";#N/A,#N/A,FALSE,"현금";#N/A,#N/A,FALSE,"매출";#N/A,#N/A,FALSE,"원가";#N/A,#N/A,FALSE,"경영"}</definedName>
    <definedName name="wrn.COSA._.FS._.국문._4" hidden="1">{#N/A,#N/A,FALSE,"BS";#N/A,#N/A,FALSE,"PL";#N/A,#N/A,FALSE,"처분";#N/A,#N/A,FALSE,"현금";#N/A,#N/A,FALSE,"매출";#N/A,#N/A,FALSE,"원가";#N/A,#N/A,FALSE,"경영"}</definedName>
    <definedName name="wrn.COSA._.FS._.국문._4_1" hidden="1">{#N/A,#N/A,FALSE,"BS";#N/A,#N/A,FALSE,"PL";#N/A,#N/A,FALSE,"처분";#N/A,#N/A,FALSE,"현금";#N/A,#N/A,FALSE,"매출";#N/A,#N/A,FALSE,"원가";#N/A,#N/A,FALSE,"경영"}</definedName>
    <definedName name="wrn.COSA._.FS._.국문._5" hidden="1">{#N/A,#N/A,FALSE,"BS";#N/A,#N/A,FALSE,"PL";#N/A,#N/A,FALSE,"처분";#N/A,#N/A,FALSE,"현금";#N/A,#N/A,FALSE,"매출";#N/A,#N/A,FALSE,"원가";#N/A,#N/A,FALSE,"경영"}</definedName>
    <definedName name="wrn.COSA._.FS._.국문._5_1" hidden="1">{#N/A,#N/A,FALSE,"BS";#N/A,#N/A,FALSE,"PL";#N/A,#N/A,FALSE,"처분";#N/A,#N/A,FALSE,"현금";#N/A,#N/A,FALSE,"매출";#N/A,#N/A,FALSE,"원가";#N/A,#N/A,FALSE,"경영"}</definedName>
    <definedName name="wrn.D." hidden="1">{#N/A,#N/A,FALSE,"D"}</definedName>
    <definedName name="wrn.DACOM._.광전송장치._.투찰가._.검토." hidden="1">{#N/A,#N/A,FALSE,"DAOCM 2차 검토"}</definedName>
    <definedName name="wrn.DACOM._.광전송장치._.투찰가._.검토._1" hidden="1">{#N/A,#N/A,FALSE,"DAOCM 2차 검토"}</definedName>
    <definedName name="wrn.DACOM._.광전송장치._.투찰가._.검토._1_1" hidden="1">{#N/A,#N/A,FALSE,"DAOCM 2차 검토"}</definedName>
    <definedName name="wrn.DACOM._.광전송장치._.투찰가._.검토._2" hidden="1">{#N/A,#N/A,FALSE,"DAOCM 2차 검토"}</definedName>
    <definedName name="wrn.DACOM._.광전송장치._.투찰가._.검토._2_1" hidden="1">{#N/A,#N/A,FALSE,"DAOCM 2차 검토"}</definedName>
    <definedName name="wrn.DACOM._.광전송장치._.투찰가._.검토._3" hidden="1">{#N/A,#N/A,FALSE,"DAOCM 2차 검토"}</definedName>
    <definedName name="wrn.DACOM._.광전송장치._.투찰가._.검토._3_1" hidden="1">{#N/A,#N/A,FALSE,"DAOCM 2차 검토"}</definedName>
    <definedName name="wrn.DACOM._.광전송장치._.투찰가._.검토._4" hidden="1">{#N/A,#N/A,FALSE,"DAOCM 2차 검토"}</definedName>
    <definedName name="wrn.DACOM._.광전송장치._.투찰가._.검토._4_1" hidden="1">{#N/A,#N/A,FALSE,"DAOCM 2차 검토"}</definedName>
    <definedName name="wrn.DACOM._.광전송장치._.투찰가._.검토._5" hidden="1">{#N/A,#N/A,FALSE,"DAOCM 2차 검토"}</definedName>
    <definedName name="wrn.DACOM._.광전송장치._.투찰가._.검토._5_1" hidden="1">{#N/A,#N/A,FALSE,"DAOCM 2차 검토"}</definedName>
    <definedName name="wrn.dave." hidden="1">{"salaried",#N/A,FALSE,"VLD View (2)"}</definedName>
    <definedName name="wrn.DCF_Terminal_Value_qchm." hidden="1">{"qchm_dcf",#N/A,FALSE,"QCHMDCF2";"qchm_terminal",#N/A,FALSE,"QCHMDCF2"}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hidden="1">{#N/A,#N/A,FALSE,"유첨3-1";#N/A,#N/A,FALSE,"3-2";#N/A,#N/A,FALSE,"3-3";#N/A,#N/A,FALSE,"3-4";#N/A,#N/A,FALSE,"3-5";#N/A,#N/A,FALSE,"3-6";#N/A,#N/A,FALSE,"3-7";#N/A,#N/A,FALSE,"3-8"}</definedName>
    <definedName name="wrn.Deckblatt." hidden="1">{#N/A,#N/A,FALSE,"Status";#N/A,#N/A,FALSE,"Deckblatt 1";#N/A,#N/A,FALSE,"Deckblatt2"}</definedName>
    <definedName name="wrn.Detail._.Balance._.Sheet." hidden="1">{#N/A,#N/A,FALSE,"Detail"}</definedName>
    <definedName name="wrn.Detail_Projection." hidden="1">{#N/A,#N/A,FALSE,"Detail YTD"}</definedName>
    <definedName name="wrn.DOM." hidden="1">{"DOM",#N/A,FALSE,"A8CONTENT"}</definedName>
    <definedName name="wrn.DOM._2" hidden="1">{"DOM",#N/A,FALSE,"A8CONTENT"}</definedName>
    <definedName name="wrn.DOM._3" hidden="1">{"DOM",#N/A,FALSE,"A8CONTENT"}</definedName>
    <definedName name="wrn.DOM._4" hidden="1">{"DOM",#N/A,FALSE,"A8CONTENT"}</definedName>
    <definedName name="wrn.DOM._5" hidden="1">{"DOM",#N/A,FALSE,"A8CONTENT"}</definedName>
    <definedName name="wrn.DOMy" hidden="1">{"DOM",#N/A,FALSE,"A8CONTENT"}</definedName>
    <definedName name="wrn.DQ." hidden="1">{#N/A,#N/A,FALSE,"품의서";#N/A,#N/A,FALSE,"추진목적";#N/A,#N/A,FALSE,"활동내용";#N/A,#N/A,FALSE,"캠페인 전개방법";#N/A,#N/A,FALSE,"방송원고,뺏지"}</definedName>
    <definedName name="wrn.Economic._.Value._.Added._.Analysis." hidden="1">{"EVA",#N/A,FALSE,"EVA";"WACC",#N/A,FALSE,"WACC"}</definedName>
    <definedName name="wrn.EEEE." hidden="1">{#N/A,#N/A,FALSE,"유첨4-1";#N/A,#N/A,FALSE,"4-2";#N/A,#N/A,FALSE,"4-3";#N/A,#N/A,FALSE,"4-4";#N/A,#N/A,FALSE,"4-5";#N/A,#N/A,FALSE,"4-6";#N/A,#N/A,FALSE,"4-7";#N/A,#N/A,FALSE,"4-8";#N/A,#N/A,FALSE,"4-9"}</definedName>
    <definedName name="wrn.Elaborate." hidden="1">{#N/A,#N/A,FALSE,"Cash Flows";#N/A,#N/A,FALSE,"Fixed Assets";#N/A,#N/A,FALSE,"Balance Sheet";#N/A,#N/A,FALSE,"P &amp; L"}</definedName>
    <definedName name="wrn.EM." hidden="1">{#N/A,#N/A,FALSE,"전제";#N/A,#N/A,FALSE,"표지";#N/A,#N/A,FALSE,"6D16";#N/A,#N/A,FALSE,"6D22";#N/A,#N/A,FALSE,"6D22-T";#N/A,#N/A,FALSE,"Q-DEG";#N/A,#N/A,FALSE,"총손";#N/A,#N/A,FALSE,"대당";#N/A,#N/A,FALSE,"가공비"}</definedName>
    <definedName name="wrn.Emg._.report." hidden="1">{#N/A,#N/A,FALSE,"Emerging Mkt Fund"}</definedName>
    <definedName name="wrn.EO." hidden="1">{#N/A,#N/A,TRUE,"TITLE";#N/A,#N/A,TRUE,"Macro assumptions";#N/A,#N/A,TRUE,"Line roll out schedule";#N/A,#N/A,TRUE,"P&amp;L 109";#N/A,#N/A,TRUE,"EO109 BIZ ";#N/A,#N/A,TRUE,"Rev - 109";#N/A,#N/A,TRUE,"Costs-109";#N/A,#N/A,TRUE,"Capex - 109";#N/A,#N/A,TRUE,"Revenue shares"}</definedName>
    <definedName name="wrn.EXPORT." hidden="1">{"EXPORT",#N/A,FALSE,"A8CONTENT"}</definedName>
    <definedName name="wrn.EXPORT._2" hidden="1">{"EXPORT",#N/A,FALSE,"A8CONTENT"}</definedName>
    <definedName name="wrn.EXPORT._3" hidden="1">{"EXPORT",#N/A,FALSE,"A8CONTENT"}</definedName>
    <definedName name="wrn.EXPORT._4" hidden="1">{"EXPORT",#N/A,FALSE,"A8CONTENT"}</definedName>
    <definedName name="wrn.EXPORT._5" hidden="1">{"EXPORT",#N/A,FALSE,"A8CONTENT"}</definedName>
    <definedName name="wrn.EXPORTy" hidden="1">{"EXPORT",#N/A,FALSE,"A8CONTENT"}</definedName>
    <definedName name="wrn.Fcst.._.Summary." hidden="1">{#N/A,#N/A,FALSE,"Title Page";#N/A,#N/A,FALSE,"(1f)-II_Facer";#N/A,#N/A,FALSE,"(1)-BASE FCST.";#N/A,#N/A,FALSE,"(2f)-R&amp;OFacer";#N/A,#N/A,FALSE,"(2)-Risk Adj. Fcst.";#N/A,#N/A,FALSE,"(3)-Fcst. to Bdgt.";#N/A,#N/A,FALSE,"(3)-Yr.-O-Yr.";#N/A,#N/A,FALSE,"Consol"}</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eb." hidden="1">{#N/A,#N/A,FALSE,"431"}</definedName>
    <definedName name="wrn.Feb._1" hidden="1">{#N/A,#N/A,FALSE,"431"}</definedName>
    <definedName name="wrn.FFFF." hidden="1">{#N/A,#N/A,FALSE,"유첨5-1";#N/A,#N/A,FALSE,"5-2";#N/A,#N/A,FALSE,"5-3";#N/A,#N/A,FALSE,"5-4";#N/A,#N/A,FALSE,"5-5";#N/A,#N/A,FALSE,"5-6";#N/A,#N/A,FALSE,"5-7";#N/A,#N/A,FALSE,"5-8"}</definedName>
    <definedName name="wrn.Forecast._.Summaries._.Only." hidden="1">{"Fcst II",#N/A,FALSE,"(1)-PROFIT SUM.";"Risk_Adj._Fcst.",#N/A,FALSE,"(2)-Risk Adj. Fcst.";"Fcst._to_Budget",#N/A,FALSE,"(3)-Fcst. to Bdgt.";"Yr._O_Yr",#N/A,FALSE,"(4)-Yr.-O-Yr."}</definedName>
    <definedName name="wrn.full." hidden="1">{#N/A,#N/A,FALSE,"Income Statement";#N/A,#N/A,FALSE,"Balance Sheet";#N/A,#N/A,FALSE,"Cash Flow";#N/A,#N/A,FALSE,"D&amp;A";#N/A,#N/A,FALSE,"Capitalization";#N/A,#N/A,FALSE,"Debt Amortization";#N/A,#N/A,FALSE,"Deferred Taxes"}</definedName>
    <definedName name="wrn.G800." hidden="1">{#N/A,#N/A,TRUE,"G800"}</definedName>
    <definedName name="wrn.GEA." hidden="1">{"GEA",#N/A,FALSE,"11";"BGGEA",#N/A,FALSE,"BAL-96";"ERGEA",#N/A,FALSE,"RES-96";"UNGEA",#N/A,FALSE,"UT-NETA";"ANOPPROM",#N/A,FALSE,"ANOP";"UORDITRIM",#N/A,FALSE,"ORIdI";"CTOCAP",#N/A,FALSE,"CTO-CAPITAL";"GEA",#N/A,FALSE,"GEA";"AF",#N/A,FALSE,"AFIJO-REEM"}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lobal._.CompCo." hidden="1">{"Outputs",#N/A,TRUE,"North America";"Outputs",#N/A,TRUE,"Europe";"Outputs",#N/A,TRUE,"Asia Pacific";"Outputs",#N/A,TRUE,"Latin America";"Outputs",#N/A,TRUE,"Wireless"}</definedName>
    <definedName name="wrn.GMX350." hidden="1">{#N/A,#N/A,FALSE,"Cover Sheet";#N/A,#N/A,FALSE,"General Information";#N/A,#N/A,FALSE,"GMX350 Attendence";#N/A,#N/A,FALSE,"APQPPND";#N/A,#N/A,FALSE,"Module Assy";#N/A,#N/A,FALSE,"Open Concerns &amp; 8D's";#N/A,#N/A,FALSE,"Proto &amp; Pre-Prod Volumes";#N/A,#N/A,FALSE,"Open Issues"}</definedName>
    <definedName name="wrn.hoch95." hidden="1">{#N/A,#N/A,FALSE,"cie";#N/A,#N/A,FALSE,"zwn";#N/A,#N/A,FALSE,"fz";#N/A,#N/A,FALSE,"grupinland";#N/A,#N/A,FALSE,"ggona";#N/A,#N/A,FALSE,"gesamt"}</definedName>
    <definedName name="wrn.india." hidden="1">{#N/A,#N/A,FALSE,"India - 3f";#N/A,#N/A,FALSE,"India - 3";#N/A,#N/A,FALSE,"India - 4f";#N/A,#N/A,FALSE,"India - 4";#N/A,#N/A,FALSE,"Retail Spider"}</definedName>
    <definedName name="wrn.Infectious._.Diseases." hidden="1">{#N/A,#N/A,FALSE,"Anti";#N/A,#N/A,FALSE,"Cefa";#N/A,#N/A,FALSE,"Ceph";#N/A,#N/A,FALSE,"Cefp";#N/A,#N/A,FALSE,"Cefe";#N/A,#N/A,FALSE,"Pens";#N/A,#N/A,FALSE,"Ampi";#N/A,#N/A,FALSE,"Amox";#N/A,#N/A,FALSE,"Isox";#N/A,#N/A,FALSE,"Aztr";#N/A,#N/A,FALSE,"Videx";#N/A,#N/A,FALSE,"Zerit"}</definedName>
    <definedName name="wrn.Inputs." hidden="1">{"Inputs",#N/A,TRUE,"North America";"Inputs",#N/A,TRUE,"Europe";"Inputs",#N/A,TRUE,"Asia Pacific";"Inputs",#N/A,TRUE,"Latin America";"Inputs",#N/A,TRUE,"Wireless"}</definedName>
    <definedName name="wrn.invest." hidden="1">{#N/A,#N/A,FALSE,"CieInvest";#N/A,#N/A,FALSE,"ZWNInvest";#N/A,#N/A,FALSE,"FZInvest"}</definedName>
    <definedName name="wrn.italien." hidden="1">{#N/A,#N/A,FALSE,"italien97+98";#N/A,#N/A,FALSE,"italien 99+2000"}</definedName>
    <definedName name="wrn.italien._1" hidden="1">{#N/A,#N/A,FALSE,"italien97+98";#N/A,#N/A,FALSE,"italien 99+2000"}</definedName>
    <definedName name="wrn.italien._2" hidden="1">{#N/A,#N/A,FALSE,"italien97+98";#N/A,#N/A,FALSE,"italien 99+2000"}</definedName>
    <definedName name="WRN.KIM" hidden="1">{"salaried",#N/A,FALSE,"VLD View (2)"}</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KK._.Review." hidden="1">{#N/A,#N/A,FALSE,"Cover";#N/A,#N/A,FALSE,"Profits";#N/A,#N/A,FALSE,"ABS";#N/A,#N/A,FALSE,"TFLE Detail";#N/A,#N/A,FALSE,"TFLE Walk";#N/A,#N/A,FALSE,"Variable Cost";#N/A,#N/A,FALSE,"V.C. Walk"}</definedName>
    <definedName name="wrn.KKK._.Review._1" hidden="1">{#N/A,#N/A,FALSE,"Cover";#N/A,#N/A,FALSE,"Profits";#N/A,#N/A,FALSE,"ABS";#N/A,#N/A,FALSE,"TFLE Detail";#N/A,#N/A,FALSE,"TFLE Walk";#N/A,#N/A,FALSE,"Variable Cost";#N/A,#N/A,FALSE,"V.C. Walk"}</definedName>
    <definedName name="wrn.KKK._.Review._2" hidden="1">{#N/A,#N/A,FALSE,"Cover";#N/A,#N/A,FALSE,"Profits";#N/A,#N/A,FALSE,"ABS";#N/A,#N/A,FALSE,"TFLE Detail";#N/A,#N/A,FALSE,"TFLE Walk";#N/A,#N/A,FALSE,"Variable Cost";#N/A,#N/A,FALSE,"V.C. Walk"}</definedName>
    <definedName name="wrn.kkk1" hidden="1">{#N/A,#N/A,FALSE,"Cover";#N/A,#N/A,FALSE,"Profits";#N/A,#N/A,FALSE,"ABS";#N/A,#N/A,FALSE,"TFLE Detail";#N/A,#N/A,FALSE,"TFLE Walk";#N/A,#N/A,FALSE,"Variable Cost";#N/A,#N/A,FALSE,"V.C. Walk"}</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ks" hidden="1">{#N/A,#N/A,FALSE,"431"}</definedName>
    <definedName name="wrn.ks_1" hidden="1">{#N/A,#N/A,FALSE,"431"}</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d._.Schedule._1_1" hidden="1">{#N/A,#N/A,FALSE,"BS";#N/A,#N/A,FALSE,"PL";#N/A,#N/A,FALSE,"A";#N/A,#N/A,FALSE,"B";#N/A,#N/A,FALSE,"B1";#N/A,#N/A,FALSE,"C";#N/A,#N/A,FALSE,"C1";#N/A,#N/A,FALSE,"C2";#N/A,#N/A,FALSE,"D";#N/A,#N/A,FALSE,"E";#N/A,#N/A,FALSE,"F";#N/A,#N/A,FALSE,"AA";#N/A,#N/A,FALSE,"BB";#N/A,#N/A,FALSE,"CC";#N/A,#N/A,FALSE,"DD";#N/A,#N/A,FALSE,"EE";#N/A,#N/A,FALSE,"FF";#N/A,#N/A,FALSE,"PL10";#N/A,#N/A,FALSE,"PL20";#N/A,#N/A,FALSE,"PL30"}</definedName>
    <definedName name="wrn.Lead._.Schedule._2" hidden="1">{#N/A,#N/A,FALSE,"BS";#N/A,#N/A,FALSE,"PL";#N/A,#N/A,FALSE,"A";#N/A,#N/A,FALSE,"B";#N/A,#N/A,FALSE,"B1";#N/A,#N/A,FALSE,"C";#N/A,#N/A,FALSE,"C1";#N/A,#N/A,FALSE,"C2";#N/A,#N/A,FALSE,"D";#N/A,#N/A,FALSE,"E";#N/A,#N/A,FALSE,"F";#N/A,#N/A,FALSE,"AA";#N/A,#N/A,FALSE,"BB";#N/A,#N/A,FALSE,"CC";#N/A,#N/A,FALSE,"DD";#N/A,#N/A,FALSE,"EE";#N/A,#N/A,FALSE,"FF";#N/A,#N/A,FALSE,"PL10";#N/A,#N/A,FALSE,"PL20";#N/A,#N/A,FALSE,"PL30"}</definedName>
    <definedName name="wrn.Lead._.Schedule._2_1" hidden="1">{#N/A,#N/A,FALSE,"BS";#N/A,#N/A,FALSE,"PL";#N/A,#N/A,FALSE,"A";#N/A,#N/A,FALSE,"B";#N/A,#N/A,FALSE,"B1";#N/A,#N/A,FALSE,"C";#N/A,#N/A,FALSE,"C1";#N/A,#N/A,FALSE,"C2";#N/A,#N/A,FALSE,"D";#N/A,#N/A,FALSE,"E";#N/A,#N/A,FALSE,"F";#N/A,#N/A,FALSE,"AA";#N/A,#N/A,FALSE,"BB";#N/A,#N/A,FALSE,"CC";#N/A,#N/A,FALSE,"DD";#N/A,#N/A,FALSE,"EE";#N/A,#N/A,FALSE,"FF";#N/A,#N/A,FALSE,"PL10";#N/A,#N/A,FALSE,"PL20";#N/A,#N/A,FALSE,"PL30"}</definedName>
    <definedName name="wrn.Lead._.Schedule._3" hidden="1">{#N/A,#N/A,FALSE,"BS";#N/A,#N/A,FALSE,"PL";#N/A,#N/A,FALSE,"A";#N/A,#N/A,FALSE,"B";#N/A,#N/A,FALSE,"B1";#N/A,#N/A,FALSE,"C";#N/A,#N/A,FALSE,"C1";#N/A,#N/A,FALSE,"C2";#N/A,#N/A,FALSE,"D";#N/A,#N/A,FALSE,"E";#N/A,#N/A,FALSE,"F";#N/A,#N/A,FALSE,"AA";#N/A,#N/A,FALSE,"BB";#N/A,#N/A,FALSE,"CC";#N/A,#N/A,FALSE,"DD";#N/A,#N/A,FALSE,"EE";#N/A,#N/A,FALSE,"FF";#N/A,#N/A,FALSE,"PL10";#N/A,#N/A,FALSE,"PL20";#N/A,#N/A,FALSE,"PL30"}</definedName>
    <definedName name="wrn.Lead._.Schedule._3_1" hidden="1">{#N/A,#N/A,FALSE,"BS";#N/A,#N/A,FALSE,"PL";#N/A,#N/A,FALSE,"A";#N/A,#N/A,FALSE,"B";#N/A,#N/A,FALSE,"B1";#N/A,#N/A,FALSE,"C";#N/A,#N/A,FALSE,"C1";#N/A,#N/A,FALSE,"C2";#N/A,#N/A,FALSE,"D";#N/A,#N/A,FALSE,"E";#N/A,#N/A,FALSE,"F";#N/A,#N/A,FALSE,"AA";#N/A,#N/A,FALSE,"BB";#N/A,#N/A,FALSE,"CC";#N/A,#N/A,FALSE,"DD";#N/A,#N/A,FALSE,"EE";#N/A,#N/A,FALSE,"FF";#N/A,#N/A,FALSE,"PL10";#N/A,#N/A,FALSE,"PL20";#N/A,#N/A,FALSE,"PL30"}</definedName>
    <definedName name="wrn.Lead._.Schedule._4" hidden="1">{#N/A,#N/A,FALSE,"BS";#N/A,#N/A,FALSE,"PL";#N/A,#N/A,FALSE,"A";#N/A,#N/A,FALSE,"B";#N/A,#N/A,FALSE,"B1";#N/A,#N/A,FALSE,"C";#N/A,#N/A,FALSE,"C1";#N/A,#N/A,FALSE,"C2";#N/A,#N/A,FALSE,"D";#N/A,#N/A,FALSE,"E";#N/A,#N/A,FALSE,"F";#N/A,#N/A,FALSE,"AA";#N/A,#N/A,FALSE,"BB";#N/A,#N/A,FALSE,"CC";#N/A,#N/A,FALSE,"DD";#N/A,#N/A,FALSE,"EE";#N/A,#N/A,FALSE,"FF";#N/A,#N/A,FALSE,"PL10";#N/A,#N/A,FALSE,"PL20";#N/A,#N/A,FALSE,"PL30"}</definedName>
    <definedName name="wrn.Lead._.Schedule._4_1" hidden="1">{#N/A,#N/A,FALSE,"BS";#N/A,#N/A,FALSE,"PL";#N/A,#N/A,FALSE,"A";#N/A,#N/A,FALSE,"B";#N/A,#N/A,FALSE,"B1";#N/A,#N/A,FALSE,"C";#N/A,#N/A,FALSE,"C1";#N/A,#N/A,FALSE,"C2";#N/A,#N/A,FALSE,"D";#N/A,#N/A,FALSE,"E";#N/A,#N/A,FALSE,"F";#N/A,#N/A,FALSE,"AA";#N/A,#N/A,FALSE,"BB";#N/A,#N/A,FALSE,"CC";#N/A,#N/A,FALSE,"DD";#N/A,#N/A,FALSE,"EE";#N/A,#N/A,FALSE,"FF";#N/A,#N/A,FALSE,"PL10";#N/A,#N/A,FALSE,"PL20";#N/A,#N/A,FALSE,"PL30"}</definedName>
    <definedName name="wrn.Lead._.Schedule._5" hidden="1">{#N/A,#N/A,FALSE,"BS";#N/A,#N/A,FALSE,"PL";#N/A,#N/A,FALSE,"A";#N/A,#N/A,FALSE,"B";#N/A,#N/A,FALSE,"B1";#N/A,#N/A,FALSE,"C";#N/A,#N/A,FALSE,"C1";#N/A,#N/A,FALSE,"C2";#N/A,#N/A,FALSE,"D";#N/A,#N/A,FALSE,"E";#N/A,#N/A,FALSE,"F";#N/A,#N/A,FALSE,"AA";#N/A,#N/A,FALSE,"BB";#N/A,#N/A,FALSE,"CC";#N/A,#N/A,FALSE,"DD";#N/A,#N/A,FALSE,"EE";#N/A,#N/A,FALSE,"FF";#N/A,#N/A,FALSE,"PL10";#N/A,#N/A,FALSE,"PL20";#N/A,#N/A,FALSE,"PL30"}</definedName>
    <definedName name="wrn.Lead._.Schedule._5_1" hidden="1">{#N/A,#N/A,FALSE,"BS";#N/A,#N/A,FALSE,"PL";#N/A,#N/A,FALSE,"A";#N/A,#N/A,FALSE,"B";#N/A,#N/A,FALSE,"B1";#N/A,#N/A,FALSE,"C";#N/A,#N/A,FALSE,"C1";#N/A,#N/A,FALSE,"C2";#N/A,#N/A,FALSE,"D";#N/A,#N/A,FALSE,"E";#N/A,#N/A,FALSE,"F";#N/A,#N/A,FALSE,"AA";#N/A,#N/A,FALSE,"BB";#N/A,#N/A,FALSE,"CC";#N/A,#N/A,FALSE,"DD";#N/A,#N/A,FALSE,"EE";#N/A,#N/A,FALSE,"FF";#N/A,#N/A,FALSE,"PL10";#N/A,#N/A,FALSE,"PL20";#N/A,#N/A,FALSE,"PL30"}</definedName>
    <definedName name="wrn.Mandant._.mit._.allen._.sechs._.Sparten." hidden="1">{#N/A,#N/A,TRUE,"Erfassungsbogen";#N/A,#N/A,TRUE,"Auswertung PA";#N/A,#N/A,TRUE,"Auswertung BB";#N/A,#N/A,TRUE,"Auswertung BE";#N/A,#N/A,TRUE,"Auswertung DSR";#N/A,#N/A,TRUE,"Auswertung KS";#N/A,#N/A,TRUE,"Auswertung CS";#N/A,#N/A,TRUE,"Auswertung Gesamt";#N/A,#N/A,TRUE,"Proz.v. Ges.ums-aufw-ertrag";#N/A,#N/A,TRUE,"Leistungen pro Mitarbeiter"}</definedName>
    <definedName name="wrn.Mandant._.mit._.allen._.sechs._.Sparten._1" hidden="1">{#N/A,#N/A,TRUE,"Erfassungsbogen";#N/A,#N/A,TRUE,"Auswertung PA";#N/A,#N/A,TRUE,"Auswertung BB";#N/A,#N/A,TRUE,"Auswertung BE";#N/A,#N/A,TRUE,"Auswertung DSR";#N/A,#N/A,TRUE,"Auswertung KS";#N/A,#N/A,TRUE,"Auswertung CS";#N/A,#N/A,TRUE,"Auswertung Gesamt";#N/A,#N/A,TRUE,"Proz.v. Ges.ums-aufw-ertrag";#N/A,#N/A,TRUE,"Leistungen pro Mitarbeiter"}</definedName>
    <definedName name="wrn.Mandant._.mit._.allen._.sechs._.Sparten._2" hidden="1">{#N/A,#N/A,TRUE,"Erfassungsbogen";#N/A,#N/A,TRUE,"Auswertung PA";#N/A,#N/A,TRUE,"Auswertung BB";#N/A,#N/A,TRUE,"Auswertung BE";#N/A,#N/A,TRUE,"Auswertung DSR";#N/A,#N/A,TRUE,"Auswertung KS";#N/A,#N/A,TRUE,"Auswertung CS";#N/A,#N/A,TRUE,"Auswertung Gesamt";#N/A,#N/A,TRUE,"Proz.v. Ges.ums-aufw-ertrag";#N/A,#N/A,TRUE,"Leistungen pro Mitarbeiter"}</definedName>
    <definedName name="wrn.manpower." hidden="1">{"manpower",#N/A,FALSE,"MANPOWER_PAYROLL"}</definedName>
    <definedName name="wrn.Mothly._.Percentages._.Summary." hidden="1">{#N/A,#N/A,FALSE,"SumMonth"}</definedName>
    <definedName name="wrn.MyEngines." hidden="1">{#N/A,#N/A,FALSE,"ABSREN14";#N/A,#N/A,FALSE,"EN14GRAF";#N/A,#N/A,FALSE,"ABSRFN16";#N/A,#N/A,FALSE,"FN16GRAF";#N/A,#N/A,FALSE,"ABSRFN10";#N/A,#N/A,FALSE,"FN10GRAF"}</definedName>
    <definedName name="wrn.NMMC._.RRFQ." hidden="1">{#N/A,#N/A,TRUE,"General";#N/A,#N/A,TRUE,"Labor &amp; Equipment";#N/A,#N/A,TRUE,"Raw Materials";#N/A,#N/A,TRUE,"Foreign Content"}</definedName>
    <definedName name="wrn.NVA." hidden="1">{"SCHED",#N/A,FALSE,"98FCTSCH  PAGES 1&amp;2"}</definedName>
    <definedName name="wrn.ocm_pkg." hidden="1">{#N/A,#N/A,FALSE,"Cover Sheet";#N/A,#N/A,FALSE,"Ave_Trans_Shp_Abs";#N/A,#N/A,FALSE,"Det_Shp_Abs";#N/A,#N/A,FALSE,"Ave_Trans_Inst_Abs";#N/A,#N/A,FALSE,"Det_Ins_Abs";#N/A,#N/A,FALSE,"Ave_Trans_Tot_ABS";#N/A,#N/A,FALSE,"Det_Total_ABS"}</definedName>
    <definedName name="wrn.ocm_pkg2" hidden="1">{#N/A,#N/A,FALSE,"Cover Sheet";#N/A,#N/A,FALSE,"Ave_Trans_Shp_Abs";#N/A,#N/A,FALSE,"Det_Shp_Abs";#N/A,#N/A,FALSE,"Ave_Trans_Inst_Abs";#N/A,#N/A,FALSE,"Det_Ins_Abs";#N/A,#N/A,FALSE,"Ave_Trans_Tot_ABS";#N/A,#N/A,FALSE,"Det_Total_ABS"}</definedName>
    <definedName name="wrn.Oncology." hidden="1">{#N/A,#N/A,FALSE,"Onco";#N/A,#N/A,FALSE,"Taxol";#N/A,#N/A,FALSE,"UFT";#N/A,#N/A,FALSE,"Carb"}</definedName>
    <definedName name="wrn.opelhl." hidden="1">{#N/A,#N/A,TRUE,"pfmea2110"}</definedName>
    <definedName name="wrn.OTC._.Market._.Report." hidden="1">{#N/A,#N/A,FALSE,"Sales Graph";#N/A,#N/A,FALSE,"BUC Graph";#N/A,#N/A,FALSE,"P&amp;L - YTD"}</definedName>
    <definedName name="wrn.Other._.Pharm." hidden="1">{#N/A,#N/A,FALSE,"Other";#N/A,#N/A,FALSE,"Ace";#N/A,#N/A,FALSE,"Derm"}</definedName>
    <definedName name="wrn.OUTPUT." hidden="1">{"DCF","UPSIDE CASE",FALSE,"Sheet1";"DCF","BASE CASE",FALSE,"Sheet1";"DCF","DOWNSIDE CASE",FALSE,"Sheet1"}</definedName>
    <definedName name="wrn.p" hidden="1">{#N/A,#N/A,FALSE,"1";#N/A,#N/A,FALSE,"2";#N/A,#N/A,FALSE,"16 - 17";#N/A,#N/A,FALSE,"18 - 19";#N/A,#N/A,FALSE,"26";#N/A,#N/A,FALSE,"27";#N/A,#N/A,FALSE,"28"}</definedName>
    <definedName name="wrn.PAGE_1_TO_4." hidden="1">{"PAGE_1",#N/A,FALSE,"PRINT";"PAGE_2",#N/A,FALSE,"PRINT";"PAGE_3",#N/A,FALSE,"PRINT";"PAGE_4",#N/A,FALSE,"PRINT"}</definedName>
    <definedName name="wrn.paging." hidden="1">{"paging",#N/A,TRUE,"TITLE";#N/A,#N/A,TRUE,"Paging subs";#N/A,#N/A,TRUE,"P&amp;L - Paging";#N/A,#N/A,TRUE,"Rev &amp; Usage Assump - Paging";#N/A,#N/A,TRUE,"Cost - Paging";"paging",#N/A,TRUE,"Capex "}</definedName>
    <definedName name="wrn.PANEL1." hidden="1">{"PANEL1",#N/A,FALSE,"-2+14"}</definedName>
    <definedName name="wrn.PANEL2." hidden="1">{"PANEL2",#N/A,FALSE,"-2+14"}</definedName>
    <definedName name="wrn.PEWC1." hidden="1">{"Graphic",#N/A,TRUE,"Graphic"}</definedName>
    <definedName name="wrn.pg1." hidden="1">{#N/A,#N/A,FALSE,"1"}</definedName>
    <definedName name="wrn.pg10." hidden="1">{#N/A,#N/A,FALSE,"10"}</definedName>
    <definedName name="wrn.pg100" hidden="1">{#N/A,#N/A,FALSE,"8"}</definedName>
    <definedName name="wrn.pg11." hidden="1">{#N/A,#N/A,FALSE,"11"}</definedName>
    <definedName name="wrn.pg12." hidden="1">{#N/A,#N/A,FALSE,"12"}</definedName>
    <definedName name="wrn.pg13." hidden="1">{#N/A,#N/A,FALSE,"13"}</definedName>
    <definedName name="wrn.pg14." hidden="1">{#N/A,#N/A,FALSE,"14"}</definedName>
    <definedName name="wrn.pg15." hidden="1">{#N/A,#N/A,FALSE,"15"}</definedName>
    <definedName name="wrn.pg16." hidden="1">{#N/A,#N/A,FALSE,"16"}</definedName>
    <definedName name="wrn.pg17." hidden="1">{#N/A,#N/A,FALSE,"17"}</definedName>
    <definedName name="wrn.pg2." hidden="1">{#N/A,#N/A,FALSE,"2"}</definedName>
    <definedName name="wrn.pg20" hidden="1">{#N/A,#N/A,FALSE,"4"}</definedName>
    <definedName name="wrn.pg3." hidden="1">{#N/A,#N/A,FALSE,"3"}</definedName>
    <definedName name="wrn.pg4." hidden="1">{#N/A,#N/A,FALSE,"4"}</definedName>
    <definedName name="wrn.pg5." hidden="1">{#N/A,#N/A,FALSE,"5"}</definedName>
    <definedName name="wrn.pg6." hidden="1">{#N/A,#N/A,FALSE,"6"}</definedName>
    <definedName name="wrn.pg7" hidden="1">{#N/A,#N/A,FALSE,"6"}</definedName>
    <definedName name="wrn.pg7." hidden="1">{#N/A,#N/A,FALSE,"7"}</definedName>
    <definedName name="wrn.pg8." hidden="1">{#N/A,#N/A,FALSE,"8"}</definedName>
    <definedName name="wrn.pg9." hidden="1">{#N/A,#N/A,FALSE,"9"}</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pepsum." hidden="1">{"rev",#N/A,FALSE,"ppepsum";"vcost",#N/A,FALSE,"ppepsum";"ecprof",#N/A,FALSE,"ppepsum"}</definedName>
    <definedName name="wrn.ppp" hidden="1">{#N/A,#N/A,FALSE,"1";#N/A,#N/A,FALSE,"2";#N/A,#N/A,FALSE,"16 - 17";#N/A,#N/A,FALSE,"18 - 19";#N/A,#N/A,FALSE,"26";#N/A,#N/A,FALSE,"27";#N/A,#N/A,FALSE,"28"}</definedName>
    <definedName name="wrn.Presentation." hidden="1">{"Presentation",#N/A,FALSE,"Feb96 - ALL"}</definedName>
    <definedName name="wrn.Presentation._1" hidden="1">{"Presentation",#N/A,FALSE,"Feb96 - ALL"}</definedName>
    <definedName name="wrn.Presentation._2" hidden="1">{"Presentation",#N/A,FALSE,"Feb96 - ALL"}</definedName>
    <definedName name="wrn.Presentation._2_1" hidden="1">{"Presentation",#N/A,FALSE,"Feb96 - ALL"}</definedName>
    <definedName name="wrn.Presentation._3" hidden="1">{"Presentation",#N/A,FALSE,"Feb96 - ALL"}</definedName>
    <definedName name="wrn.Presentation._3_1" hidden="1">{"Presentation",#N/A,FALSE,"Feb96 - ALL"}</definedName>
    <definedName name="wrn.Presentation._4" hidden="1">{"Presentation",#N/A,FALSE,"Feb96 - ALL"}</definedName>
    <definedName name="wrn.prin2._.all." hidden="1">{#N/A,#N/A,FALSE,"Pharm";#N/A,#N/A,FALSE,"WWCM"}</definedName>
    <definedName name="wrn.prin3" hidden="1">{#N/A,#N/A,FALSE,"Pharm";#N/A,#N/A,FALSE,"WWCM"}</definedName>
    <definedName name="wrn.print" hidden="1">{#N/A,#N/A,FALSE,"Pharm";#N/A,#N/A,FALSE,"WWCM"}</definedName>
    <definedName name="wrn.print." hidden="1">{"employment",#N/A,FALSE,"Page1";"launch",#N/A,FALSE,"Page1";"overtime",#N/A,FALSE,"Page1";"total cost",#N/A,FALSE,"Page1";"volume",#N/A,FALSE,"Page1";"cost",#N/A,FALSE,"Page2";"health",#N/A,FALSE,"Page2";"inventory",#N/A,FALSE,"Page2";"quality",#N/A,FALSE,"Page2";"uptime",#N/A,FALSE,"Page2"}</definedName>
    <definedName name="wrn.Print._.all."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2" hidden="1">{#N/A,#N/A,FALSE,"Pharm";#N/A,#N/A,FALSE,"WWCM"}</definedName>
    <definedName name="wrn.print._.all2" hidden="1">{#N/A,#N/A,FALSE,"Pharm";#N/A,#N/A,FALSE,"WWCM"}</definedName>
    <definedName name="wrn.Print._.Full._.Report." hidden="1">{#N/A,#N/A,TRUE,"Cover Page";#N/A,#N/A,TRUE,"Tracking sheet";#N/A,#N/A,TRUE,"Profit for '95'96'97 at Aug 96 ";#N/A,#N/A,TRUE,"1997 MY Summary PAPP";#N/A,#N/A,TRUE,"Encore v GM";#N/A,#N/A,TRUE,"LX 1.3 3dr";#N/A,#N/A,TRUE,"Si 1.25 v Polo";#N/A,#N/A,TRUE,"LX 1.25 3dr";#N/A,#N/A,TRUE,"Si 1.4";#N/A,#N/A,TRUE,"Ghia 1.25";#N/A,#N/A,TRUE,"Ghia 1.4";#N/A,#N/A,TRUE,"Ghia v CDX";#N/A,#N/A,TRUE,"Ghia X v CDX";#N/A,#N/A,TRUE,"WIRING Wholsesale";#N/A,#N/A,TRUE,"WIRING Retail"}</definedName>
    <definedName name="wrn.print._all1." hidden="1">{#N/A,#N/A,FALSE,"Pharm";#N/A,#N/A,FALSE,"WWCM"}</definedName>
    <definedName name="wrn.print2" hidden="1">{#N/A,#N/A,FALSE,"Pharm";#N/A,#N/A,FALSE,"WWCM"}</definedName>
    <definedName name="wrn.product._.cost." hidden="1">{"product cost",#N/A,FALSE,"P&amp;L STATEMENT"}</definedName>
    <definedName name="wrn.Production._.Report." hidden="1">{"Production",#N/A,FALSE,"1+11";"Production Mix",#N/A,FALSE,"1+11"}</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_.Analysis." hidden="1">{#N/A,#N/A,FALSE,"Profit Status";#N/A,#N/A,FALSE,"Invest";#N/A,#N/A,FALSE,"Revenue";#N/A,#N/A,FALSE,"Variable Cost";#N/A,#N/A,FALSE,"Options &amp; Series"}</definedName>
    <definedName name="wrn.Profit._.Analysis._1" hidden="1">{#N/A,#N/A,FALSE,"Profit Status";#N/A,#N/A,FALSE,"Invest";#N/A,#N/A,FALSE,"Revenue";#N/A,#N/A,FALSE,"Variable Cost";#N/A,#N/A,FALSE,"Options &amp; Series"}</definedName>
    <definedName name="wrn.Profit._.Analysis._2" hidden="1">{#N/A,#N/A,FALSE,"Profit Status";#N/A,#N/A,FALSE,"Invest";#N/A,#N/A,FALSE,"Revenue";#N/A,#N/A,FALSE,"Variable Cost";#N/A,#N/A,FALSE,"Options &amp; Series"}</definedName>
    <definedName name="wrn.Profit._.Forecast." hidden="1">{#N/A,#N/A,FALSE,"Cover Page";#N/A,#N/A,FALSE,"Facing Page";#N/A,#N/A,FALSE,"Main Page";#N/A,#N/A,FALSE,"Risk-Adjusted";#N/A,#N/A,FALSE,"Profit Improvement"}</definedName>
    <definedName name="wrn.profit._.statement." hidden="1">{"profit statement",#N/A,FALSE,"P&amp;L STATEMENT"}</definedName>
    <definedName name="wrn.PRON98." hidden="1">{#N/A,#N/A,FALSE,"Sheet3"}</definedName>
    <definedName name="wrn.PRON98._1" hidden="1">{#N/A,#N/A,FALSE,"Sheet3"}</definedName>
    <definedName name="wrn.PRON98._2" hidden="1">{#N/A,#N/A,FALSE,"Sheet3"}</definedName>
    <definedName name="wrn.pron98.2" hidden="1">{#N/A,#N/A,FALSE,"Sheet3"}</definedName>
    <definedName name="wrn.Proposition._.gains._.masse._.prix." hidden="1">{#N/A,#N/A,FALSE,"Feuil3"}</definedName>
    <definedName name="wrn.pror" hidden="1">{#N/A,#N/A,FALSE,"Pharm";#N/A,#N/A,FALSE,"WWCM"}</definedName>
    <definedName name="wrn.Quarterly._.Percentages._.Summary." hidden="1">{#N/A,#N/A,FALSE,"SumMonth";#N/A,#N/A,FALSE,"SumMonth"}</definedName>
    <definedName name="Wrn.r" hidden="1">{#N/A,#N/A,TRUE,"smooth ride";#N/A,#N/A,TRUE,"rough ride";#N/A,#N/A,TRUE,"parking";#N/A,#N/A,TRUE,"straight Control";#N/A,#N/A,TRUE,"corn control";#N/A,#N/A,TRUE,"Steer disturbance";#N/A,#N/A,TRUE,"Straight stab.";#N/A,#N/A,TRUE,"cornering stab.";#N/A,#N/A,TRUE,"braking";#N/A,#N/A,TRUE,"braking dist"}</definedName>
    <definedName name="wrn.r202total." hidden="1">{#N/A,#N/A,TRUE,"smooth ride";#N/A,#N/A,TRUE,"rough ride";#N/A,#N/A,TRUE,"parking";#N/A,#N/A,TRUE,"straight Control";#N/A,#N/A,TRUE,"corn control";#N/A,#N/A,TRUE,"Steer disturbance";#N/A,#N/A,TRUE,"Straight stab.";#N/A,#N/A,TRUE,"cornering stab.";#N/A,#N/A,TRUE,"braking";#N/A,#N/A,TRUE,"braking dist"}</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VISED." hidden="1">{"REVISED",#N/A,FALSE,"Sheet1"}</definedName>
    <definedName name="wrn.rndrep." hidden="1">{#N/A,#N/A,FALSE,"ROW DATA"}</definedName>
    <definedName name="wrn.ROI._.Summary." hidden="1">{#N/A,#N/A,FALSE,"POR"}</definedName>
    <definedName name="wrn.ROI._.Summary._1" hidden="1">{#N/A,#N/A,FALSE,"POR"}</definedName>
    <definedName name="wrn.ROI._.Summary._2" hidden="1">{#N/A,#N/A,FALSE,"POR"}</definedName>
    <definedName name="wrn.RPT." hidden="1">{#N/A,#N/A,FALSE,"인원";#N/A,#N/A,FALSE,"비용2";#N/A,#N/A,FALSE,"비용1";#N/A,#N/A,FALSE,"비용";#N/A,#N/A,FALSE,"보증2";#N/A,#N/A,FALSE,"보증1";#N/A,#N/A,FALSE,"보증";#N/A,#N/A,FALSE,"손익1";#N/A,#N/A,FALSE,"손익";#N/A,#N/A,FALSE,"부서별매출";#N/A,#N/A,FALSE,"매출"}</definedName>
    <definedName name="wrn.RTS." hidden="1">{"rts",#N/A,TRUE,"TITLE";#N/A,#N/A,TRUE,"P&amp;L - RTS";#N/A,#N/A,TRUE,"RTS biz";#N/A,#N/A,TRUE,"Cost - RTS";"RTS",#N/A,TRUE,"Capex "}</definedName>
    <definedName name="wrn.sales" hidden="1">{"manpower",#N/A,FALSE,"MANPOWER_PAYROLL"}</definedName>
    <definedName name="wrn.SALVAGE." hidden="1">{"카메라",#N/A,FALSE,"일일현황"}</definedName>
    <definedName name="wrn.Series." hidden="1">{"Revenue",#N/A,FALSE,"Series";"Ecprofit",#N/A,FALSE,"Series"}</definedName>
    <definedName name="wrn.sga._.expense." hidden="1">{"sga expense",#N/A,FALSE,"S,G&amp;A EXP"}</definedName>
    <definedName name="wrn.su." hidden="1">{#N/A,#N/A,FALSE,"표지";#N/A,#N/A,FALSE,"전제";#N/A,#N/A,FALSE,"손익-자 (2)";#N/A,#N/A,FALSE,"손익-자";#N/A,#N/A,FALSE,"손익-마 (2)";#N/A,#N/A,FALSE,"손익-마";#N/A,#N/A,FALSE,"총손최종"}</definedName>
    <definedName name="wrn.sum." hidden="1">{#N/A,#N/A,FALSE,"2001 CBG";#N/A,#N/A,FALSE,"2002 CBG";#N/A,#N/A,FALSE,"2003 CBG";#N/A,#N/A,FALSE,"2004 CBG";#N/A,#N/A,FALSE,"2005 CBG";#N/A,#N/A,FALSE,"2006 CBG ";#N/A,#N/A,FALSE,"2007 CBG";#N/A,#N/A,FALSE,"2008 CBG"}</definedName>
    <definedName name="wrn.SUMM_ADDITIONAL." hidden="1">{"SUMM_ADDITIONAL",#N/A,FALSE,"PHN_SUMMARY"}</definedName>
    <definedName name="wrn.Summary." hidden="1">{"Section 1",#N/A,TRUE,"Summary";"Section 2",#N/A,TRUE,"Summary";"Section 3",#N/A,TRUE,"Summary";"Section 4",#N/A,TRUE,"Summary"}</definedName>
    <definedName name="wrn.SumNRev." hidden="1">{#N/A,#N/A,FALSE,"Weight Summary";#N/A,#N/A,FALSE,"Revision_Log"}</definedName>
    <definedName name="Wrn.t" hidden="1">{#N/A,#N/A,TRUE,"RIDE";#N/A,#N/A,TRUE,"STEERING";#N/A,#N/A,TRUE,"HANDLING";#N/A,#N/A,TRUE,"BRAKING"}</definedName>
    <definedName name="Wrn.Target" hidden="1">{#N/A,#N/A,TRUE,"RIDE";#N/A,#N/A,TRUE,"STEERING";#N/A,#N/A,TRUE,"HANDLING";#N/A,#N/A,TRUE,"BRAKING"}</definedName>
    <definedName name="wrn.target." hidden="1">{#N/A,#N/A,TRUE,"RIDE";#N/A,#N/A,TRUE,"STEERING";#N/A,#N/A,TRUE,"HANDLING";#N/A,#N/A,TRUE,"BRAKING"}</definedName>
    <definedName name="wrn.TARGET._.DCF." hidden="1">{"targetdcf",#N/A,FALSE,"Merger consequences";"TARGETASSU",#N/A,FALSE,"Merger consequences";"TERMINAL VALUE",#N/A,FALSE,"Merger consequences"}</definedName>
    <definedName name="wrn.tavg4a." hidden="1">{"rates",#N/A,FALSE,"tavg4a";"rev",#N/A,FALSE,"tavg4a"}</definedName>
    <definedName name="wrn.TCR." hidden="1">{#N/A,#N/A,FALSE,"title";#N/A,#N/A,FALSE,"AVE VEH";#N/A,#N/A,FALSE,"METRICS";#N/A,#N/A,FALSE,"Prod Cost";#N/A,#N/A,FALSE,"CMTOTCST";#N/A,#N/A,FALSE,"Roadmap";#N/A,#N/A,FALSE,"Road Text";#N/A,#N/A,FALSE,"VAVE";#N/A,#N/A,FALSE,"Warranty #1";#N/A,#N/A,FALSE,"Warranty #2";#N/A,#N/A,FALSE,"Purchasing"}</definedName>
    <definedName name="wrn.TCR._1" hidden="1">{#N/A,#N/A,FALSE,"title";#N/A,#N/A,FALSE,"AVE VEH";#N/A,#N/A,FALSE,"METRICS";#N/A,#N/A,FALSE,"Prod Cost";#N/A,#N/A,FALSE,"CMTOTCST";#N/A,#N/A,FALSE,"Roadmap";#N/A,#N/A,FALSE,"Road Text";#N/A,#N/A,FALSE,"VAVE";#N/A,#N/A,FALSE,"Warranty #1";#N/A,#N/A,FALSE,"Warranty #2";#N/A,#N/A,FALSE,"Purchasing"}</definedName>
    <definedName name="wrn.TCR._2" hidden="1">{#N/A,#N/A,FALSE,"title";#N/A,#N/A,FALSE,"AVE VEH";#N/A,#N/A,FALSE,"METRICS";#N/A,#N/A,FALSE,"Prod Cost";#N/A,#N/A,FALSE,"CMTOTCST";#N/A,#N/A,FALSE,"Roadmap";#N/A,#N/A,FALSE,"Road Text";#N/A,#N/A,FALSE,"VAVE";#N/A,#N/A,FALSE,"Warranty #1";#N/A,#N/A,FALSE,"Warranty #2";#N/A,#N/A,FALSE,"Purchasing"}</definedName>
    <definedName name="wrn.TCR._2_1" hidden="1">{#N/A,#N/A,FALSE,"title";#N/A,#N/A,FALSE,"AVE VEH";#N/A,#N/A,FALSE,"METRICS";#N/A,#N/A,FALSE,"Prod Cost";#N/A,#N/A,FALSE,"CMTOTCST";#N/A,#N/A,FALSE,"Roadmap";#N/A,#N/A,FALSE,"Road Text";#N/A,#N/A,FALSE,"VAVE";#N/A,#N/A,FALSE,"Warranty #1";#N/A,#N/A,FALSE,"Warranty #2";#N/A,#N/A,FALSE,"Purchasing"}</definedName>
    <definedName name="wrn.TCR._3" hidden="1">{#N/A,#N/A,FALSE,"title";#N/A,#N/A,FALSE,"AVE VEH";#N/A,#N/A,FALSE,"METRICS";#N/A,#N/A,FALSE,"Prod Cost";#N/A,#N/A,FALSE,"CMTOTCST";#N/A,#N/A,FALSE,"Roadmap";#N/A,#N/A,FALSE,"Road Text";#N/A,#N/A,FALSE,"VAVE";#N/A,#N/A,FALSE,"Warranty #1";#N/A,#N/A,FALSE,"Warranty #2";#N/A,#N/A,FALSE,"Purchasing"}</definedName>
    <definedName name="wrn.TCR._3_1" hidden="1">{#N/A,#N/A,FALSE,"title";#N/A,#N/A,FALSE,"AVE VEH";#N/A,#N/A,FALSE,"METRICS";#N/A,#N/A,FALSE,"Prod Cost";#N/A,#N/A,FALSE,"CMTOTCST";#N/A,#N/A,FALSE,"Roadmap";#N/A,#N/A,FALSE,"Road Text";#N/A,#N/A,FALSE,"VAVE";#N/A,#N/A,FALSE,"Warranty #1";#N/A,#N/A,FALSE,"Warranty #2";#N/A,#N/A,FALSE,"Purchasing"}</definedName>
    <definedName name="wrn.TCR._4" hidden="1">{#N/A,#N/A,FALSE,"title";#N/A,#N/A,FALSE,"AVE VEH";#N/A,#N/A,FALSE,"METRICS";#N/A,#N/A,FALSE,"Prod Cost";#N/A,#N/A,FALSE,"CMTOTCST";#N/A,#N/A,FALSE,"Roadmap";#N/A,#N/A,FALSE,"Road Text";#N/A,#N/A,FALSE,"VAVE";#N/A,#N/A,FALSE,"Warranty #1";#N/A,#N/A,FALSE,"Warranty #2";#N/A,#N/A,FALSE,"Purchasing"}</definedName>
    <definedName name="wrn.Telstra._.Inputs." hidden="1">{"Inputs",#N/A,FALSE,"US_FL";"Inputs",#N/A,FALSE,"EUROPE_FL";"Inputs",#N/A,FALSE,"ASIA_FL"}</definedName>
    <definedName name="wrn.Telstra._.Output." hidden="1">{"Output",#N/A,FALSE,"US_FL";"Output",#N/A,FALSE,"EUROPE_FL";"Output",#N/A,FALSE,"ASIA_FL"}</definedName>
    <definedName name="wrn.THOROLD._.MANPOWER._.ONLY." hidden="1">{"MANPOWER ONLY",#N/A,FALSE,"THOR_Mnpwr"}</definedName>
    <definedName name="wrn.THOROLD._.NO._.ASSY._.COMPLETE." hidden="1">{"THOROLD NO ASSY COMPLETE",#N/A,FALSE,"THOR_Mnpwr"}</definedName>
    <definedName name="wrn.THOROLD._.WITH._.ASSY." hidden="1">{"THOROLD WITH ASSY",#N/A,FALSE,"THOR_Mnpwr"}</definedName>
    <definedName name="wrn.todos." hidden="1">{#N/A,#N/A,FALSE,"Surf";#N/A,#N/A,FALSE,"Surf_Dsl";#N/A,#N/A,FALSE,"Porto";#N/A,#N/A,FALSE,"Porto_Dsl";#N/A,#N/A,FALSE,"Stud_125";#N/A,#N/A,FALSE,"Stud_Dsl";#N/A,#N/A,FALSE,"Tec_125";#N/A,#N/A,FALSE,"Tec_14";#N/A,#N/A,FALSE,"Ghia_125";#N/A,#N/A,FALSE,"Ghia_14";#N/A,#N/A,FALSE,"Fam_13";#N/A,#N/A,FALSE,"BFam_13";#N/A,#N/A,FALSE,"BE146"}</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u구매." hidden="1">{#N/A,#N/A,FALSE,"견적대비-2"}</definedName>
    <definedName name="wrn.tpepsum4a." hidden="1">{"pep204a",#N/A,FALSE,"tpepsum4a";"pep205a",#N/A,FALSE,"tpepsum4a";"wpep204a",#N/A,FALSE,"tpepsum4a";"wpep205a",#N/A,FALSE,"tpepsum4a"}</definedName>
    <definedName name="wrn.U137ExpBur." hidden="1">{"U137ExpBur",#N/A,FALSE,"Uw-Burden"}</definedName>
    <definedName name="wrn.U137ExpBurFut." hidden="1">{"U137ExpBurFut",#N/A,FALSE,"Uw-Burden"}</definedName>
    <definedName name="wrn.U137ExpCos." hidden="1">{"U137ExpCos",#N/A,FALSE,"Uw-COS"}</definedName>
    <definedName name="wrn.U137ExpCosFut." hidden="1">{"U137ExpCosFut",#N/A,FALSE,"Uw-COS"}</definedName>
    <definedName name="wrn.U137ExpPay." hidden="1">{"U137ExpPay",#N/A,FALSE,"Uw-Payroll"}</definedName>
    <definedName name="wrn.U137ExpPayFut." hidden="1">{"U137ExpPayFut",#N/A,FALSE,"Uw-Payroll"}</definedName>
    <definedName name="wrn.U137ExpTotFut." hidden="1">{"U137ExpTotFut",#N/A,FALSE,"Uw-Total"}</definedName>
    <definedName name="wrn.U137ExpTtl." hidden="1">{"U137ExpTtl",#N/A,FALSE,"Uw-Total"}</definedName>
    <definedName name="wrn.VC2._.and._.VC3._.Thunderbird." hidden="1">{#N/A,#N/A,FALSE,"Cover";#N/A,#N/A,FALSE,"Assumptions";#N/A,#N/A,FALSE,"Volumes";#N/A,#N/A,FALSE,"Pricing";#N/A,#N/A,FALSE,"TFLE Walk";#N/A,#N/A,FALSE,"Variable Cost";#N/A,#N/A,FALSE,"Sensitivity";#N/A,#N/A,FALSE,"Investment";#N/A,#N/A,FALSE,"Profitability"}</definedName>
    <definedName name="wrn.VC2._.and._.VC3._.Thunderbird._1" hidden="1">{#N/A,#N/A,FALSE,"Cover";#N/A,#N/A,FALSE,"Assumptions";#N/A,#N/A,FALSE,"Volumes";#N/A,#N/A,FALSE,"Pricing";#N/A,#N/A,FALSE,"TFLE Walk";#N/A,#N/A,FALSE,"Variable Cost";#N/A,#N/A,FALSE,"Sensitivity";#N/A,#N/A,FALSE,"Investment";#N/A,#N/A,FALSE,"Profitability"}</definedName>
    <definedName name="wrn.VC2._.and._.VC3._.Thunderbird._2" hidden="1">{#N/A,#N/A,FALSE,"Cover";#N/A,#N/A,FALSE,"Assumptions";#N/A,#N/A,FALSE,"Volumes";#N/A,#N/A,FALSE,"Pricing";#N/A,#N/A,FALSE,"TFLE Walk";#N/A,#N/A,FALSE,"Variable Cost";#N/A,#N/A,FALSE,"Sensitivity";#N/A,#N/A,FALSE,"Investment";#N/A,#N/A,FALSE,"Profitability"}</definedName>
    <definedName name="wrn.VC3._.Review." hidden="1">{#N/A,#N/A,FALSE,"ABSREN14";#N/A,#N/A,FALSE,"EN14GRAF";#N/A,#N/A,FALSE,"ABSRFN16";#N/A,#N/A,FALSE,"FN16GRAF";#N/A,#N/A,FALSE,"ABSRDE1";#N/A,#N/A,FALSE,"DE1GRAF";#N/A,#N/A,FALSE,"ABSRMN12";#N/A,#N/A,FALSE,"MN12GRAF";#N/A,#N/A,FALSE,"ABSRFN10";#N/A,#N/A,FALSE,"FN10GRAF";#N/A,#N/A,FALSE,"ABSRSN95";#N/A,#N/A,FALSE,"SN95GRAF";#N/A,#N/A,FALSE,"ABSX100";#N/A,#N/A,FALSE,"X100GRAF";#N/A,#N/A,FALSE,"ABSX300";#N/A,#N/A,FALSE,"X300GRAF";#N/A,#N/A,FALSE,"ABSRFALC";#N/A,#N/A,FALSE,"FALCGRAF";#N/A,#N/A,FALSE,"ABSRDEW9";#N/A,#N/A,FALSE,"DEW9GRAF";#N/A,#N/A,FALSE,"ABSRX200";#N/A,#N/A,FALSE,"X200GRAF"}</definedName>
    <definedName name="wrn.VC3._.Review._.Graphs." hidden="1">{#N/A,#N/A,FALSE,"FN16GRAF (2)";#N/A,#N/A,FALSE,"EN14GRAF (2)";#N/A,#N/A,FALSE,"FN10GRAF (2)";#N/A,#N/A,FALSE,"MN12GRAF";#N/A,#N/A,FALSE,"SN95GRAF"}</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126ExpBurFut." hidden="1">{"W126ExpBurFut",#N/A,FALSE,"Wn-Burden"}</definedName>
    <definedName name="wrn.W126ExpCosFut." hidden="1">{"W126ExpCosFut",#N/A,FALSE,"Wn-COS"}</definedName>
    <definedName name="wrn.W126ExpTotFut." hidden="1">{"W126ExpTotFut",#N/A,FALSE,"Wn-Total"}</definedName>
    <definedName name="wrn.W127ExpPayFut." hidden="1">{"W126ExpPayFut",#N/A,FALSE,"Wn-Payroll"}</definedName>
    <definedName name="wrn.Wacc." hidden="1">{"Area1",#N/A,FALSE,"OREWACC";"Area2",#N/A,FALSE,"OREWACC"}</definedName>
    <definedName name="wrn.WEEKLY." hidden="1">{#N/A,#N/A,FALSE,"SUMMARY REPORT"}</definedName>
    <definedName name="wrn.Weight." hidden="1">{#N/A,#N/A,FALSE,"UW152PPL"}</definedName>
    <definedName name="wrn.Wholesale._.Report." hidden="1">{"Wholesale",#N/A,FALSE,"1+11";"wholesale Mix",#N/A,FALSE,"1+11"}</definedName>
    <definedName name="wrn.Wn126ExpBur." hidden="1">{"Wn126ExpBur",#N/A,FALSE,"Wn-Burden"}</definedName>
    <definedName name="wrn.Wn126ExpCos." hidden="1">{"Wn126ExpCos",#N/A,FALSE,"Wn-COS"}</definedName>
    <definedName name="wrn.Wn126ExpPay." hidden="1">{"Wn126ExpPay",#N/A,FALSE,"Wn-Payroll"}</definedName>
    <definedName name="wrn.Wn126ExpTtl." hidden="1">{"WN126ExpTtl",#N/A,FALSE,"Wn-Total"}</definedName>
    <definedName name="wrn.works._.expense." hidden="1">{"works expense",#N/A,FALSE,"WORKS EXPENSE"}</definedName>
    <definedName name="wrn.YUH33400." hidden="1">{#N/A,#N/A,FALSE,"2000";#N/A,#N/A,FALSE,"1999_1998"}</definedName>
    <definedName name="wrn.YUH33400._1" hidden="1">{#N/A,#N/A,FALSE,"2000";#N/A,#N/A,FALSE,"1999_1998"}</definedName>
    <definedName name="wrn.YUH33400._1_1" hidden="1">{#N/A,#N/A,FALSE,"2000";#N/A,#N/A,FALSE,"1999_1998"}</definedName>
    <definedName name="wrn.YUH33400._2" hidden="1">{#N/A,#N/A,FALSE,"2000";#N/A,#N/A,FALSE,"1999_1998"}</definedName>
    <definedName name="wrn.YUH33400._2_1" hidden="1">{#N/A,#N/A,FALSE,"2000";#N/A,#N/A,FALSE,"1999_1998"}</definedName>
    <definedName name="wrn.YUH33400._3" hidden="1">{#N/A,#N/A,FALSE,"2000";#N/A,#N/A,FALSE,"1999_1998"}</definedName>
    <definedName name="wrn.YUH33400._3_1" hidden="1">{#N/A,#N/A,FALSE,"2000";#N/A,#N/A,FALSE,"1999_1998"}</definedName>
    <definedName name="wrn.YUH33400._4" hidden="1">{#N/A,#N/A,FALSE,"2000";#N/A,#N/A,FALSE,"1999_1998"}</definedName>
    <definedName name="wrn.YUH33400._4_1" hidden="1">{#N/A,#N/A,FALSE,"2000";#N/A,#N/A,FALSE,"1999_1998"}</definedName>
    <definedName name="wrn.YUH33400._5" hidden="1">{#N/A,#N/A,FALSE,"2000";#N/A,#N/A,FALSE,"1999_1998"}</definedName>
    <definedName name="wrn.YUH33400._5_1" hidden="1">{#N/A,#N/A,FALSE,"2000";#N/A,#N/A,FALSE,"1999_1998"}</definedName>
    <definedName name="wrn.Y차._.종합." hidden="1">{#N/A,#N/A,TRUE,"Y생산";#N/A,#N/A,TRUE,"Y판매";#N/A,#N/A,TRUE,"Y총물량";#N/A,#N/A,TRUE,"Y능력";#N/A,#N/A,TRUE,"YKD"}</definedName>
    <definedName name="wrn.미판매." hidden="1">{#N/A,#N/A,FALSE,"미판매분"}</definedName>
    <definedName name="wrn.보호계전기." hidden="1">{#N/A,#N/A,FALSE,"ENG'G(보호계전기)"}</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hidden="1">{#N/A,#N/A,FALSE,"품의서";#N/A,#N/A,FALSE,"전제";#N/A,#N/A,FALSE,"총손";#N/A,#N/A,FALSE,"손익"}</definedName>
    <definedName name="wrn.설계평가항목._.세부사항." hidden="1">{#N/A,#N/A,FALSE,"DATA SHEET"}</definedName>
    <definedName name="wrn.설변현황." hidden="1">{#N/A,#N/A,FALSE,"KMC최종회의(7월) 자료"}</definedName>
    <definedName name="wrn.수정보고." hidden="1">{#N/A,#N/A,FALSE,"MASTER";#N/A,#N/A,FALSE,"매출1";#N/A,#N/A,FALSE,"매출2";#N/A,#N/A,FALSE,"투자5";#N/A,#N/A,FALSE,"손익(사업)";#N/A,#N/A,FALSE,"제조원가"}</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이력서._.자기소개서." hidden="1">{#N/A,#N/A,FALSE,"이력서&amp;자기소개서"}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현대정공구매현황." hidden="1">{#N/A,#N/A,FALSE,"정공"}</definedName>
    <definedName name="wrn.ㅛY차보고" hidden="1">{#N/A,#N/A,TRUE,"Y생산";#N/A,#N/A,TRUE,"Y판매";#N/A,#N/A,TRUE,"Y총물량";#N/A,#N/A,TRUE,"Y능력";#N/A,#N/A,TRUE,"YKD"}</definedName>
    <definedName name="wrn.建付ﾁｪｯｸｼｰﾄ." hidden="1">{#N/A,#N/A,FALSE,"建付HOOD";#N/A,#N/A,FALSE,"建付D00R";#N/A,#N/A,FALSE,"建付DOOR (2)";#N/A,#N/A,FALSE,"建付DOOR (3)";#N/A,#N/A,FALSE,"建付BACK DOOR";#N/A,#N/A,FALSE,"建付OK率";#N/A,#N/A,FALSE,"建付OK率 (2)"}</definedName>
    <definedName name="wrn1.brief" hidden="1">{#N/A,#N/A,TRUE,"Summary";#N/A,#N/A,TRUE,"Balance Sheet";#N/A,#N/A,TRUE,"P &amp; L";#N/A,#N/A,TRUE,"Fixed Assets";#N/A,#N/A,TRUE,"Cash Flows"}</definedName>
    <definedName name="wrn1.elaborate" hidden="1">{#N/A,#N/A,FALSE,"Cash Flows";#N/A,#N/A,FALSE,"Fixed Assets";#N/A,#N/A,FALSE,"Balance Sheet";#N/A,#N/A,FALSE,"P &amp; L"}</definedName>
    <definedName name="wrn2.capital" hidden="1">{"capital",#N/A,FALSE,"CAPITAL_DEP'N"}</definedName>
    <definedName name="wrn2.manpower" hidden="1">{"manpower",#N/A,FALSE,"MANPOWER_PAYROLL"}</definedName>
    <definedName name="wrn2.product._.cost." hidden="1">{"product cost",#N/A,FALSE,"P&amp;L STATEMENT"}</definedName>
    <definedName name="wrn2.profit._.statement." hidden="1">{"profit statement",#N/A,FALSE,"P&amp;L STATEMENT"}</definedName>
    <definedName name="wrn2.sga._.expense." hidden="1">{"sga expense",#N/A,FALSE,"S,G&amp;A EXP"}</definedName>
    <definedName name="wrn2.works._.expense." hidden="1">{"works expense",#N/A,FALSE,"WORKS EXPENSE"}</definedName>
    <definedName name="wrna.dave" hidden="1">{"salaried",#N/A,FALSE,"VLD View (2)"}</definedName>
    <definedName name="wrna.prod" hidden="1">{#N/A,#N/A,FALSE,"1";#N/A,#N/A,FALSE,"2";#N/A,#N/A,FALSE,"16 - 17";#N/A,#N/A,FALSE,"18 - 19";#N/A,#N/A,FALSE,"26";#N/A,#N/A,FALSE,"27";#N/A,#N/A,FALSE,"28"}</definedName>
    <definedName name="WRR" hidden="1">{#N/A,#N/A,FALSE,"Pharm";#N/A,#N/A,FALSE,"WWCM"}</definedName>
    <definedName name="wrrrrr" hidden="1">{#N/A,#N/A,FALSE,"REPORT"}</definedName>
    <definedName name="WRT" hidden="1">{#N/A,#N/A,TRUE,"RIDE";#N/A,#N/A,TRUE,"STEERING";#N/A,#N/A,TRUE,"HANDLING";#N/A,#N/A,TRUE,"BRAKING"}</definedName>
    <definedName name="wrwerwew" hidden="1">{"Presentation",#N/A,FALSE,"Feb96 - ALL"}</definedName>
    <definedName name="wslee2" hidden="1">{#N/A,#N/A,FALSE,"미판매분"}</definedName>
    <definedName name="wv" hidden="1">{#N/A,#N/A,FALSE,"Pharm";#N/A,#N/A,FALSE,"WWCM"}</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ummary._.US."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Total."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{#N/A,#N/A,FALSE,"Sheet3"}</definedName>
    <definedName name="ww_1" hidden="1">{#N/A,#N/A,FALSE,"Sheet3"}</definedName>
    <definedName name="ww_2" hidden="1">{#N/A,#N/A,FALSE,"Sheet3"}</definedName>
    <definedName name="WWEWERE" hidden="1">{#N/A,#N/A,FALSE,"신규dep";#N/A,#N/A,FALSE,"신규dep-금형상각후";#N/A,#N/A,FALSE,"신규dep-연구비상각후";#N/A,#N/A,FALSE,"신규dep-기계,공구상각후"}</definedName>
    <definedName name="www" hidden="1">{#N/A,#N/A,FALSE,"Cover";#N/A,#N/A,FALSE,"Summary Variable Costs";#N/A,#N/A,FALSE,"Summary Var &amp; Fxd";#N/A,#N/A,FALSE,"Sigma";#N/A,#N/A,FALSE,"I4 Engines";#N/A,#N/A,FALSE,"New I4 Transmissions";#N/A,#N/A,FALSE,"PSA Diesels";#N/A,#N/A,FALSE,"Manuf Fixed Costs";#N/A,#N/A,FALSE,"Last Job-1st Job";#N/A,#N/A,FALSE,"Iss-Iss";#N/A,#N/A,FALSE,"Investment"}</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{#N/A,#N/A,FALSE,"단축1";#N/A,#N/A,FALSE,"단축2";#N/A,#N/A,FALSE,"단축3";#N/A,#N/A,FALSE,"장축";#N/A,#N/A,FALSE,"4WD"}</definedName>
    <definedName name="WW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WW" hidden="1">{#N/A,#N/A,TRUE,"Y생산";#N/A,#N/A,TRUE,"Y판매";#N/A,#N/A,TRUE,"Y총물량";#N/A,#N/A,TRUE,"Y능력";#N/A,#N/A,TRUE,"YKD"}</definedName>
    <definedName name="wwwwwwwwwwww" hidden="1">#REF!</definedName>
    <definedName name="wwwwwwwwwwwwwwwwwww" hidden="1">{"Fiesta Facer Page",#N/A,FALSE,"Q_C_S";"Fiesta Main Page",#N/A,FALSE,"V_L";"Fiesta 95BP Struct",#N/A,FALSE,"StructBP";"Fiesta Post 95BP Struct",#N/A,FALSE,"AdjStructBP"}</definedName>
    <definedName name="wwwwwwwwwwwwwwwwwww_1" hidden="1">{"Fiesta Facer Page",#N/A,FALSE,"Q_C_S";"Fiesta Main Page",#N/A,FALSE,"V_L";"Fiesta 95BP Struct",#N/A,FALSE,"StructBP";"Fiesta Post 95BP Struct",#N/A,FALSE,"AdjStructBP"}</definedName>
    <definedName name="wwwwwwwwwwwwwwwwwww_2" hidden="1">{"Fiesta Facer Page",#N/A,FALSE,"Q_C_S";"Fiesta Main Page",#N/A,FALSE,"V_L";"Fiesta 95BP Struct",#N/A,FALSE,"StructBP";"Fiesta Post 95BP Struct",#N/A,FALSE,"AdjStructBP"}</definedName>
    <definedName name="wwwwwwwwwwwwwwwwwww_2_1" hidden="1">{"Fiesta Facer Page",#N/A,FALSE,"Q_C_S";"Fiesta Main Page",#N/A,FALSE,"V_L";"Fiesta 95BP Struct",#N/A,FALSE,"StructBP";"Fiesta Post 95BP Struct",#N/A,FALSE,"AdjStructBP"}</definedName>
    <definedName name="wwwwwwwwwwwwwwwwwww_3" hidden="1">{"Fiesta Facer Page",#N/A,FALSE,"Q_C_S";"Fiesta Main Page",#N/A,FALSE,"V_L";"Fiesta 95BP Struct",#N/A,FALSE,"StructBP";"Fiesta Post 95BP Struct",#N/A,FALSE,"AdjStructBP"}</definedName>
    <definedName name="wwwwwwwwwwwwwwwwwww_3_1" hidden="1">{"Fiesta Facer Page",#N/A,FALSE,"Q_C_S";"Fiesta Main Page",#N/A,FALSE,"V_L";"Fiesta 95BP Struct",#N/A,FALSE,"StructBP";"Fiesta Post 95BP Struct",#N/A,FALSE,"AdjStructBP"}</definedName>
    <definedName name="wwwwwwwwwwwwwwwwwww_4" hidden="1">{"Fiesta Facer Page",#N/A,FALSE,"Q_C_S";"Fiesta Main Page",#N/A,FALSE,"V_L";"Fiesta 95BP Struct",#N/A,FALSE,"StructBP";"Fiesta Post 95BP Struct",#N/A,FALSE,"AdjStructBP"}</definedName>
    <definedName name="wwwwwwwwwwwwwwwwwwwwwwwwwww" hidden="1">{"Fiesta Facer Page",#N/A,FALSE,"Q_C_S";"Fiesta Main Page",#N/A,FALSE,"V_L";"Fiesta 95BP Struct",#N/A,FALSE,"StructBP";"Fiesta Post 95BP Struct",#N/A,FALSE,"AdjStructBP"}</definedName>
    <definedName name="wwwwwwwwwwwwwwwwwwwwwwwwwww_1" hidden="1">{"Fiesta Facer Page",#N/A,FALSE,"Q_C_S";"Fiesta Main Page",#N/A,FALSE,"V_L";"Fiesta 95BP Struct",#N/A,FALSE,"StructBP";"Fiesta Post 95BP Struct",#N/A,FALSE,"AdjStructBP"}</definedName>
    <definedName name="wwwwwwwwwwwwwwwwwwwwwwwwwww_2" hidden="1">{"Fiesta Facer Page",#N/A,FALSE,"Q_C_S";"Fiesta Main Page",#N/A,FALSE,"V_L";"Fiesta 95BP Struct",#N/A,FALSE,"StructBP";"Fiesta Post 95BP Struct",#N/A,FALSE,"AdjStructBP"}</definedName>
    <definedName name="wwwwwwwwwwwwwwwwwwwwwwwwwww_2_1" hidden="1">{"Fiesta Facer Page",#N/A,FALSE,"Q_C_S";"Fiesta Main Page",#N/A,FALSE,"V_L";"Fiesta 95BP Struct",#N/A,FALSE,"StructBP";"Fiesta Post 95BP Struct",#N/A,FALSE,"AdjStructBP"}</definedName>
    <definedName name="wwwwwwwwwwwwwwwwwwwwwwwwwww_3" hidden="1">{"Fiesta Facer Page",#N/A,FALSE,"Q_C_S";"Fiesta Main Page",#N/A,FALSE,"V_L";"Fiesta 95BP Struct",#N/A,FALSE,"StructBP";"Fiesta Post 95BP Struct",#N/A,FALSE,"AdjStructBP"}</definedName>
    <definedName name="wwwwwwwwwwwwwwwwwwwwwwwwwww_3_1" hidden="1">{"Fiesta Facer Page",#N/A,FALSE,"Q_C_S";"Fiesta Main Page",#N/A,FALSE,"V_L";"Fiesta 95BP Struct",#N/A,FALSE,"StructBP";"Fiesta Post 95BP Struct",#N/A,FALSE,"AdjStructBP"}</definedName>
    <definedName name="wwwwwwwwwwwwwwwwwwwwwwwwwww_4" hidden="1">{"Fiesta Facer Page",#N/A,FALSE,"Q_C_S";"Fiesta Main Page",#N/A,FALSE,"V_L";"Fiesta 95BP Struct",#N/A,FALSE,"StructBP";"Fiesta Post 95BP Struct",#N/A,FALSE,"AdjStructBP"}</definedName>
    <definedName name="wx" hidden="1">{#N/A,#N/A,FALSE,"Pharm";#N/A,#N/A,FALSE,"WWCM"}</definedName>
    <definedName name="WYU" hidden="1">{#N/A,#N/A,FALSE,"단축1";#N/A,#N/A,FALSE,"단축2";#N/A,#N/A,FALSE,"단축3";#N/A,#N/A,FALSE,"장축";#N/A,#N/A,FALSE,"4WD"}</definedName>
    <definedName name="w손익요약내용수정" hidden="1">{#N/A,#N/A,FALSE,"정공"}</definedName>
    <definedName name="x" hidden="1">{"Fiesta Facer Page",#N/A,FALSE,"Q_C_S";"Fiesta Main Page",#N/A,FALSE,"V_L";"Fiesta 95BP Struct",#N/A,FALSE,"StructBP";"Fiesta Post 95BP Struct",#N/A,FALSE,"AdjStructBP"}</definedName>
    <definedName name="x_1" hidden="1">{"Fiesta Facer Page",#N/A,FALSE,"Q_C_S";"Fiesta Main Page",#N/A,FALSE,"V_L";"Fiesta 95BP Struct",#N/A,FALSE,"StructBP";"Fiesta Post 95BP Struct",#N/A,FALSE,"AdjStructBP"}</definedName>
    <definedName name="x_2" hidden="1">{"Fiesta Facer Page",#N/A,FALSE,"Q_C_S";"Fiesta Main Page",#N/A,FALSE,"V_L";"Fiesta 95BP Struct",#N/A,FALSE,"StructBP";"Fiesta Post 95BP Struct",#N/A,FALSE,"AdjStructBP"}</definedName>
    <definedName name="x_2_1" hidden="1">{"Fiesta Facer Page",#N/A,FALSE,"Q_C_S";"Fiesta Main Page",#N/A,FALSE,"V_L";"Fiesta 95BP Struct",#N/A,FALSE,"StructBP";"Fiesta Post 95BP Struct",#N/A,FALSE,"AdjStructBP"}</definedName>
    <definedName name="x_3" hidden="1">{"Fiesta Facer Page",#N/A,FALSE,"Q_C_S";"Fiesta Main Page",#N/A,FALSE,"V_L";"Fiesta 95BP Struct",#N/A,FALSE,"StructBP";"Fiesta Post 95BP Struct",#N/A,FALSE,"AdjStructBP"}</definedName>
    <definedName name="x_3_1" hidden="1">{"Fiesta Facer Page",#N/A,FALSE,"Q_C_S";"Fiesta Main Page",#N/A,FALSE,"V_L";"Fiesta 95BP Struct",#N/A,FALSE,"StructBP";"Fiesta Post 95BP Struct",#N/A,FALSE,"AdjStructBP"}</definedName>
    <definedName name="x_4" hidden="1">{"Fiesta Facer Page",#N/A,FALSE,"Q_C_S";"Fiesta Main Page",#N/A,FALSE,"V_L";"Fiesta 95BP Struct",#N/A,FALSE,"StructBP";"Fiesta Post 95BP Struct",#N/A,FALSE,"AdjStructBP"}</definedName>
    <definedName name="xasd" hidden="1">{#N/A,#N/A,FALSE,"KMC최종회의(7월) 자료"}</definedName>
    <definedName name="XBSDHF" hidden="1">{#N/A,#N/A,FALSE,"단축1";#N/A,#N/A,FALSE,"단축2";#N/A,#N/A,FALSE,"단축3";#N/A,#N/A,FALSE,"장축";#N/A,#N/A,FALSE,"4WD"}</definedName>
    <definedName name="xbxvc" hidden="1">{"capital",#N/A,FALSE,"CAPITAL_DEP'N"}</definedName>
    <definedName name="xc" hidden="1">{#N/A,#N/A,FALSE,"Cover";#N/A,#N/A,FALSE,"Assumptions";#N/A,#N/A,FALSE,"Volumes";#N/A,#N/A,FALSE,"Pricing";#N/A,#N/A,FALSE,"TFLE Walk";#N/A,#N/A,FALSE,"Variable Cost";#N/A,#N/A,FALSE,"Sensitivity";#N/A,#N/A,FALSE,"Investment";#N/A,#N/A,FALSE,"Profitability"}</definedName>
    <definedName name="xcv" hidden="1">{#N/A,#N/A,TRUE,"dew_x200";#N/A,#N/A,TRUE,"cvgm_twncr_must";#N/A,#N/A,TRUE,"x100_x300_falcn";#N/A,#N/A,TRUE,"t_mark_scorp";#N/A,#N/A,TRUE,"VC3GRAF"}</definedName>
    <definedName name="XCVA" hidden="1">{#N/A,#N/A,FALSE,"인원";#N/A,#N/A,FALSE,"비용2";#N/A,#N/A,FALSE,"비용1";#N/A,#N/A,FALSE,"비용";#N/A,#N/A,FALSE,"보증2";#N/A,#N/A,FALSE,"보증1";#N/A,#N/A,FALSE,"보증";#N/A,#N/A,FALSE,"손익1";#N/A,#N/A,FALSE,"손익";#N/A,#N/A,FALSE,"부서별매출";#N/A,#N/A,FALSE,"매출"}</definedName>
    <definedName name="XCVB"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VB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cxc" hidden="1">#REF!</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gf" hidden="1">{"product cost",#N/A,FALSE,"P&amp;L STATEMENT"}</definedName>
    <definedName name="XG개" hidden="1">{#N/A,#N/A,FALSE,"단축1";#N/A,#N/A,FALSE,"단축2";#N/A,#N/A,FALSE,"단축3";#N/A,#N/A,FALSE,"장축";#N/A,#N/A,FALSE,"4WD"}</definedName>
    <definedName name="XG개선" hidden="1">{#N/A,#N/A,FALSE,"단축1";#N/A,#N/A,FALSE,"단축2";#N/A,#N/A,FALSE,"단축3";#N/A,#N/A,FALSE,"장축";#N/A,#N/A,FALSE,"4WD"}</definedName>
    <definedName name="XRefActiveRow" hidden="1">#REF!</definedName>
    <definedName name="XRefCopy10Row" hidden="1">#REF!</definedName>
    <definedName name="XRefCopy11Row" hidden="1">#REF!</definedName>
    <definedName name="XRefCopy12Row" hidden="1">#REF!</definedName>
    <definedName name="XRefCopy13Row" hidden="1">#REF!</definedName>
    <definedName name="XRefCopy14Row" hidden="1">#REF!</definedName>
    <definedName name="XRefCopy15Row" hidden="1">#REF!</definedName>
    <definedName name="XRefCopy16Row" hidden="1">#REF!</definedName>
    <definedName name="XRefCopy17Row" hidden="1">#REF!</definedName>
    <definedName name="XRefCopy18Row" hidden="1">#REF!</definedName>
    <definedName name="XRefCopy19Row" hidden="1">#REF!</definedName>
    <definedName name="XRefCopy1Row"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#REF!</definedName>
    <definedName name="XRefCopy30Row"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Row" hidden="1">#REF!</definedName>
    <definedName name="XRefCopy4Row" hidden="1">#REF!</definedName>
    <definedName name="XRefCopy5Row" hidden="1">#REF!</definedName>
    <definedName name="XRefCopy6Row" hidden="1">#REF!</definedName>
    <definedName name="XRefCopy7Row" hidden="1">#REF!</definedName>
    <definedName name="XRefCopy8Row" hidden="1">#REF!</definedName>
    <definedName name="XRefCopy9Row" hidden="1">#REF!</definedName>
    <definedName name="XRefPaste10Row" hidden="1">#REF!</definedName>
    <definedName name="XRefPaste11Row" hidden="1">#REF!</definedName>
    <definedName name="XRefPaste12Row" hidden="1">#REF!</definedName>
    <definedName name="XRefPaste13Row"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#REF!</definedName>
    <definedName name="XRefPaste20Row"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9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Row" hidden="1">#REF!</definedName>
    <definedName name="XRefPaste3Row" hidden="1">#REF!</definedName>
    <definedName name="XRefPaste40Row" hidden="1">#REF!</definedName>
    <definedName name="XRefPaste41Row"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6Row" hidden="1">#REF!</definedName>
    <definedName name="XRefPaste47Row" hidden="1">#REF!</definedName>
    <definedName name="XRefPaste48Row" hidden="1">#REF!</definedName>
    <definedName name="XRefPaste49Row" hidden="1">#REF!</definedName>
    <definedName name="XRefPaste4Row" hidden="1">#REF!</definedName>
    <definedName name="XRefPaste50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S" hidden="1">{#N/A,#N/A,FALSE,"을지 (4)";#N/A,#N/A,FALSE,"을지 (5)";#N/A,#N/A,FALSE,"을지 (6)"}</definedName>
    <definedName name="xvbxdbr" hidden="1">{"product cost",#N/A,FALSE,"P&amp;L STATEMENT"}</definedName>
    <definedName name="XVCB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x" hidden="1">{#N/A,#N/A,FALSE,"Assumptions";#N/A,#N/A,FALSE,"Volumes";#N/A,#N/A,FALSE,"Pricing";#N/A,#N/A,FALSE,"Variable Cost";#N/A,#N/A,FALSE,"Investment";#N/A,#N/A,FALSE,"Profitability";#N/A,#N/A,FALSE,"Business Comparison"}</definedName>
    <definedName name="xx_1" hidden="1">{#N/A,#N/A,FALSE,"Assumptions";#N/A,#N/A,FALSE,"Volumes";#N/A,#N/A,FALSE,"Pricing";#N/A,#N/A,FALSE,"Variable Cost";#N/A,#N/A,FALSE,"Investment";#N/A,#N/A,FALSE,"Profitability";#N/A,#N/A,FALSE,"Business Comparison"}</definedName>
    <definedName name="xx_2" hidden="1">{#N/A,#N/A,FALSE,"Assumptions";#N/A,#N/A,FALSE,"Volumes";#N/A,#N/A,FALSE,"Pricing";#N/A,#N/A,FALSE,"Variable Cost";#N/A,#N/A,FALSE,"Investment";#N/A,#N/A,FALSE,"Profitability";#N/A,#N/A,FALSE,"Business Comparison"}</definedName>
    <definedName name="xxx" hidden="1">{#N/A,#N/A,TRUE,"dew_x200";#N/A,#N/A,TRUE,"cvgm_twncr_must";#N/A,#N/A,TRUE,"x100_x300_falcn";#N/A,#N/A,TRUE,"t_mark_scorp";#N/A,#N/A,TRUE,"VC3GRAF"}</definedName>
    <definedName name="xxx1" hidden="1">{#N/A,#N/A,TRUE,"Erfassungsbogen";#N/A,#N/A,TRUE,"Auswertung PA";#N/A,#N/A,TRUE,"Auswertung BB";#N/A,#N/A,TRUE,"Auswertung BE";#N/A,#N/A,TRUE,"Auswertung DSR";#N/A,#N/A,TRUE,"Auswertung KS";#N/A,#N/A,TRUE,"Auswertung CS";#N/A,#N/A,TRUE,"Auswertung Gesamt";#N/A,#N/A,TRUE,"Proz.v. Ges.ums-aufw-ertrag";#N/A,#N/A,TRUE,"Leistungen pro Mitarbeiter"}</definedName>
    <definedName name="xxx1_1" hidden="1">{#N/A,#N/A,TRUE,"Erfassungsbogen";#N/A,#N/A,TRUE,"Auswertung PA";#N/A,#N/A,TRUE,"Auswertung BB";#N/A,#N/A,TRUE,"Auswertung BE";#N/A,#N/A,TRUE,"Auswertung DSR";#N/A,#N/A,TRUE,"Auswertung KS";#N/A,#N/A,TRUE,"Auswertung CS";#N/A,#N/A,TRUE,"Auswertung Gesamt";#N/A,#N/A,TRUE,"Proz.v. Ges.ums-aufw-ertrag";#N/A,#N/A,TRUE,"Leistungen pro Mitarbeiter"}</definedName>
    <definedName name="xxx1_2" hidden="1">{#N/A,#N/A,TRUE,"Erfassungsbogen";#N/A,#N/A,TRUE,"Auswertung PA";#N/A,#N/A,TRUE,"Auswertung BB";#N/A,#N/A,TRUE,"Auswertung BE";#N/A,#N/A,TRUE,"Auswertung DSR";#N/A,#N/A,TRUE,"Auswertung KS";#N/A,#N/A,TRUE,"Auswertung CS";#N/A,#N/A,TRUE,"Auswertung Gesamt";#N/A,#N/A,TRUE,"Proz.v. Ges.ums-aufw-ertrag";#N/A,#N/A,TRUE,"Leistungen pro Mitarbeiter"}</definedName>
    <definedName name="xxxx" hidden="1">{#N/A,#N/A,FALSE,"afa linear";#N/A,#N/A,FALSE,"mit 10% zuschuss";#N/A,#N/A,FALSE,"mit 25% zuschuss"}</definedName>
    <definedName name="xxxx_1" hidden="1">{#N/A,#N/A,FALSE,"afa linear";#N/A,#N/A,FALSE,"mit 10% zuschuss";#N/A,#N/A,FALSE,"mit 25% zuschuss"}</definedName>
    <definedName name="xxxx_2" hidden="1">{#N/A,#N/A,FALSE,"afa linear";#N/A,#N/A,FALSE,"mit 10% zuschuss";#N/A,#N/A,FALSE,"mit 25% zuschuss"}</definedName>
    <definedName name="xxxxx" hidden="1">{#N/A,#N/A,FALSE,"KMC최종회의(7월) 자료"}</definedName>
    <definedName name="XXXXXX" hidden="1">{"GEA",#N/A,FALSE,"11";"BGGEA",#N/A,FALSE,"BAL-96";"ERGEA",#N/A,FALSE,"RES-96";"UNGEA",#N/A,FALSE,"UT-NETA";"ANOPPROM",#N/A,FALSE,"ANOP";"UORDITRIM",#N/A,FALSE,"ORIdI";"CTOCAP",#N/A,FALSE,"CTO-CAPITAL";"GEA",#N/A,FALSE,"GEA";"AF",#N/A,FALSE,"AFIJO-REEM"}</definedName>
    <definedName name="xxxxxxxx" hidden="1">{#N/A,#N/A,FALSE,"Cover";#N/A,#N/A,FALSE,"Profits";#N/A,#N/A,FALSE,"ABS";#N/A,#N/A,FALSE,"TFLE Detail";#N/A,#N/A,FALSE,"TFLE Walk";#N/A,#N/A,FALSE,"Variable Cost";#N/A,#N/A,FALSE,"V.C. Walk"}</definedName>
    <definedName name="xxxxxxxxxxxxxxxxxxxxx" hidden="1">{"Presentation",#N/A,FALSE,"Feb96 - ALL"}</definedName>
    <definedName name="xxxxxxxxxxxxxxxxxxxxx_1" hidden="1">{"Presentation",#N/A,FALSE,"Feb96 - ALL"}</definedName>
    <definedName name="xxxxxxxxxxxxxxxxxxxxx_2" hidden="1">{"Presentation",#N/A,FALSE,"Feb96 - ALL"}</definedName>
    <definedName name="xxxxxxxxxxxxxxxxxxxxx_2_1" hidden="1">{"Presentation",#N/A,FALSE,"Feb96 - ALL"}</definedName>
    <definedName name="xxxxxxxxxxxxxxxxxxxxx_3" hidden="1">{"Presentation",#N/A,FALSE,"Feb96 - ALL"}</definedName>
    <definedName name="xxxxxxxxxxxxxxxxxxxxx_3_1" hidden="1">{"Presentation",#N/A,FALSE,"Feb96 - ALL"}</definedName>
    <definedName name="xxxxxxxxxxxxxxxxxxxxx_4" hidden="1">{"Presentation",#N/A,FALSE,"Feb96 - ALL"}</definedName>
    <definedName name="xxxxxxxxxxxxxxxxxxxxxxxx" hidden="1">{#N/A,#N/A,FALSE,"title";#N/A,#N/A,FALSE,"AVE VEH";#N/A,#N/A,FALSE,"METRICS";#N/A,#N/A,FALSE,"Prod Cost";#N/A,#N/A,FALSE,"CMTOTCST";#N/A,#N/A,FALSE,"Roadmap";#N/A,#N/A,FALSE,"Road Text";#N/A,#N/A,FALSE,"VAVE";#N/A,#N/A,FALSE,"Warranty #1";#N/A,#N/A,FALSE,"Warranty #2";#N/A,#N/A,FALSE,"Purchasing"}</definedName>
    <definedName name="xxxxxxxxxxxxxxxxxxxxxxxx_1" hidden="1">{#N/A,#N/A,FALSE,"title";#N/A,#N/A,FALSE,"AVE VEH";#N/A,#N/A,FALSE,"METRICS";#N/A,#N/A,FALSE,"Prod Cost";#N/A,#N/A,FALSE,"CMTOTCST";#N/A,#N/A,FALSE,"Roadmap";#N/A,#N/A,FALSE,"Road Text";#N/A,#N/A,FALSE,"VAVE";#N/A,#N/A,FALSE,"Warranty #1";#N/A,#N/A,FALSE,"Warranty #2";#N/A,#N/A,FALSE,"Purchasing"}</definedName>
    <definedName name="xxxxxxxxxxxxxxxxxxxxxxxx_2" hidden="1">{#N/A,#N/A,FALSE,"title";#N/A,#N/A,FALSE,"AVE VEH";#N/A,#N/A,FALSE,"METRICS";#N/A,#N/A,FALSE,"Prod Cost";#N/A,#N/A,FALSE,"CMTOTCST";#N/A,#N/A,FALSE,"Roadmap";#N/A,#N/A,FALSE,"Road Text";#N/A,#N/A,FALSE,"VAVE";#N/A,#N/A,FALSE,"Warranty #1";#N/A,#N/A,FALSE,"Warranty #2";#N/A,#N/A,FALSE,"Purchasing"}</definedName>
    <definedName name="xxxxxxxxxxxxxxxxxxxxxxxx_2_1" hidden="1">{#N/A,#N/A,FALSE,"title";#N/A,#N/A,FALSE,"AVE VEH";#N/A,#N/A,FALSE,"METRICS";#N/A,#N/A,FALSE,"Prod Cost";#N/A,#N/A,FALSE,"CMTOTCST";#N/A,#N/A,FALSE,"Roadmap";#N/A,#N/A,FALSE,"Road Text";#N/A,#N/A,FALSE,"VAVE";#N/A,#N/A,FALSE,"Warranty #1";#N/A,#N/A,FALSE,"Warranty #2";#N/A,#N/A,FALSE,"Purchasing"}</definedName>
    <definedName name="xxxxxxxxxxxxxxxxxxxxxxxx_3" hidden="1">{#N/A,#N/A,FALSE,"title";#N/A,#N/A,FALSE,"AVE VEH";#N/A,#N/A,FALSE,"METRICS";#N/A,#N/A,FALSE,"Prod Cost";#N/A,#N/A,FALSE,"CMTOTCST";#N/A,#N/A,FALSE,"Roadmap";#N/A,#N/A,FALSE,"Road Text";#N/A,#N/A,FALSE,"VAVE";#N/A,#N/A,FALSE,"Warranty #1";#N/A,#N/A,FALSE,"Warranty #2";#N/A,#N/A,FALSE,"Purchasing"}</definedName>
    <definedName name="xxxxxxxxxxxxxxxxxxxxxxxx_3_1" hidden="1">{#N/A,#N/A,FALSE,"title";#N/A,#N/A,FALSE,"AVE VEH";#N/A,#N/A,FALSE,"METRICS";#N/A,#N/A,FALSE,"Prod Cost";#N/A,#N/A,FALSE,"CMTOTCST";#N/A,#N/A,FALSE,"Roadmap";#N/A,#N/A,FALSE,"Road Text";#N/A,#N/A,FALSE,"VAVE";#N/A,#N/A,FALSE,"Warranty #1";#N/A,#N/A,FALSE,"Warranty #2";#N/A,#N/A,FALSE,"Purchasing"}</definedName>
    <definedName name="xxxxxxxxxxxxxxxxxxxxxxxx_4" hidden="1">{#N/A,#N/A,FALSE,"title";#N/A,#N/A,FALSE,"AVE VEH";#N/A,#N/A,FALSE,"METRICS";#N/A,#N/A,FALSE,"Prod Cost";#N/A,#N/A,FALSE,"CMTOTCST";#N/A,#N/A,FALSE,"Roadmap";#N/A,#N/A,FALSE,"Road Text";#N/A,#N/A,FALSE,"VAVE";#N/A,#N/A,FALSE,"Warranty #1";#N/A,#N/A,FALSE,"Warranty #2";#N/A,#N/A,FALSE,"Purchasing"}</definedName>
    <definedName name="xxxz" hidden="1">{"GEA",#N/A,FALSE,"11";"BGGEA",#N/A,FALSE,"BAL-96";"ERGEA",#N/A,FALSE,"RES-96";"UNGEA",#N/A,FALSE,"UT-NETA";"ANOPPROM",#N/A,FALSE,"ANOP";"UORDITRIM",#N/A,FALSE,"ORIdI";"CTOCAP",#N/A,FALSE,"CTO-CAPITAL";"GEA",#N/A,FALSE,"GEA";"AF",#N/A,FALSE,"AFIJO-REEM"}</definedName>
    <definedName name="xy" hidden="1">{#N/A,#N/A,FALSE,"Cover";#N/A,#N/A,FALSE,"Profits";#N/A,#N/A,FALSE,"ABS";#N/A,#N/A,FALSE,"TFLE Detail";#N/A,#N/A,FALSE,"TFLE Walk";#N/A,#N/A,FALSE,"Variable Cost";#N/A,#N/A,FALSE,"V.C. Walk"}</definedName>
    <definedName name="xyz" hidden="1">{"Fiesta Facer Page",#N/A,FALSE,"Q_C_S";"Fiesta Main Page",#N/A,FALSE,"V_L";"Fiesta 95BP Struct",#N/A,FALSE,"StructBP";"Fiesta Post 95BP Struct",#N/A,FALSE,"AdjStructBP"}</definedName>
    <definedName name="xyz_1" hidden="1">{"Fiesta Facer Page",#N/A,FALSE,"Q_C_S";"Fiesta Main Page",#N/A,FALSE,"V_L";"Fiesta 95BP Struct",#N/A,FALSE,"StructBP";"Fiesta Post 95BP Struct",#N/A,FALSE,"AdjStructBP"}</definedName>
    <definedName name="xyz_2" hidden="1">{"Fiesta Facer Page",#N/A,FALSE,"Q_C_S";"Fiesta Main Page",#N/A,FALSE,"V_L";"Fiesta 95BP Struct",#N/A,FALSE,"StructBP";"Fiesta Post 95BP Struct",#N/A,FALSE,"AdjStructBP"}</definedName>
    <definedName name="xyz_2_1" hidden="1">{"Fiesta Facer Page",#N/A,FALSE,"Q_C_S";"Fiesta Main Page",#N/A,FALSE,"V_L";"Fiesta 95BP Struct",#N/A,FALSE,"StructBP";"Fiesta Post 95BP Struct",#N/A,FALSE,"AdjStructBP"}</definedName>
    <definedName name="xyz_3" hidden="1">{"Fiesta Facer Page",#N/A,FALSE,"Q_C_S";"Fiesta Main Page",#N/A,FALSE,"V_L";"Fiesta 95BP Struct",#N/A,FALSE,"StructBP";"Fiesta Post 95BP Struct",#N/A,FALSE,"AdjStructBP"}</definedName>
    <definedName name="xyz_3_1" hidden="1">{"Fiesta Facer Page",#N/A,FALSE,"Q_C_S";"Fiesta Main Page",#N/A,FALSE,"V_L";"Fiesta 95BP Struct",#N/A,FALSE,"StructBP";"Fiesta Post 95BP Struct",#N/A,FALSE,"AdjStructBP"}</definedName>
    <definedName name="xyz_4" hidden="1">{"Fiesta Facer Page",#N/A,FALSE,"Q_C_S";"Fiesta Main Page",#N/A,FALSE,"V_L";"Fiesta 95BP Struct",#N/A,FALSE,"StructBP";"Fiesta Post 95BP Struct",#N/A,FALSE,"AdjStructBP"}</definedName>
    <definedName name="y" hidden="1">{"Presentation",#N/A,FALSE,"Feb96 - ALL"}</definedName>
    <definedName name="y_1" hidden="1">{"Presentation",#N/A,FALSE,"Feb96 - ALL"}</definedName>
    <definedName name="y_2" hidden="1">{"Presentation",#N/A,FALSE,"Feb96 - ALL"}</definedName>
    <definedName name="y_2_1" hidden="1">{"Presentation",#N/A,FALSE,"Feb96 - ALL"}</definedName>
    <definedName name="y_3" hidden="1">{"Presentation",#N/A,FALSE,"Feb96 - ALL"}</definedName>
    <definedName name="y_3_1" hidden="1">{"Presentation",#N/A,FALSE,"Feb96 - ALL"}</definedName>
    <definedName name="y_4" hidden="1">{"Presentation",#N/A,FALSE,"Feb96 - ALL"}</definedName>
    <definedName name="YEA">"Year#"</definedName>
    <definedName name="ygj" hidden="1">{#N/A,#N/A,TRUE,"Y생산";#N/A,#N/A,TRUE,"Y판매";#N/A,#N/A,TRUE,"Y총물량";#N/A,#N/A,TRUE,"Y능력";#N/A,#N/A,TRUE,"YKD"}</definedName>
    <definedName name="yi" hidden="1">{#N/A,#N/A,FALSE,"Cover";#N/A,#N/A,FALSE,"Profits";#N/A,#N/A,FALSE,"ABS";#N/A,#N/A,FALSE,"TFLE Detail";#N/A,#N/A,FALSE,"TFLE Walk";#N/A,#N/A,FALSE,"Variable Cost";#N/A,#N/A,FALSE,"V.C. Walk"}</definedName>
    <definedName name="yioyi" hidden="1">{#N/A,#N/A,FALSE,"Cover";#N/A,#N/A,FALSE,"Assumptions";#N/A,#N/A,FALSE,"Volumes";#N/A,#N/A,FALSE,"Pricing";#N/A,#N/A,FALSE,"TFLE Walk";#N/A,#N/A,FALSE,"Variable Cost";#N/A,#N/A,FALSE,"Sensitivity";#N/A,#N/A,FALSE,"Investment";#N/A,#N/A,FALSE,"Profitability"}</definedName>
    <definedName name="yr" hidden="1">{"'표지'!$B$5"}</definedName>
    <definedName name="yrju" hidden="1">{#N/A,#N/A,TRUE,"Y생산";#N/A,#N/A,TRUE,"Y판매";#N/A,#N/A,TRUE,"Y총물량";#N/A,#N/A,TRUE,"Y능력";#N/A,#N/A,TRUE,"YKD"}</definedName>
    <definedName name="ｙｔ" hidden="1">{#N/A,#N/A,FALSE,"Assumptions";#N/A,#N/A,FALSE,"Volumes";#N/A,#N/A,FALSE,"Pricing";#N/A,#N/A,FALSE,"Variable Cost";#N/A,#N/A,FALSE,"Investment";#N/A,#N/A,FALSE,"Profitability";#N/A,#N/A,FALSE,"Business Comparison"}</definedName>
    <definedName name="ytk" hidden="1">{#N/A,#N/A,FALSE,"96 3월물량표";#N/A,#N/A,FALSE,"96 4월물량표";#N/A,#N/A,FALSE,"96 5월물량표"}</definedName>
    <definedName name="YTUJYTU" hidden="1">{#N/A,#N/A,FALSE,"단축1";#N/A,#N/A,FALSE,"단축2";#N/A,#N/A,FALSE,"단축3";#N/A,#N/A,FALSE,"장축";#N/A,#N/A,FALSE,"4WD"}</definedName>
    <definedName name="yui" hidden="1">#REF!</definedName>
    <definedName name="yws" hidden="1">{#N/A,#N/A,FALSE,"Cover Page";#N/A,#N/A,FALSE,"Facing Page";#N/A,#N/A,FALSE,"Main Page";#N/A,#N/A,FALSE,"Risk-Adjusted";#N/A,#N/A,FALSE,"Profit Improvement"}</definedName>
    <definedName name="yx" hidden="1">{#N/A,#N/A,FALSE,"Profit Status";#N/A,#N/A,FALSE,"Invest";#N/A,#N/A,FALSE,"Revenue";#N/A,#N/A,FALSE,"Variable Cost";#N/A,#N/A,FALSE,"Options &amp; Series"}</definedName>
    <definedName name="YY" hidden="1">{#N/A,#N/A,FALSE,"Sheet3"}</definedName>
    <definedName name="YY_1" hidden="1">{#N/A,#N/A,FALSE,"Sheet3"}</definedName>
    <definedName name="YY_2" hidden="1">{#N/A,#N/A,FALSE,"Sheet3"}</definedName>
    <definedName name="YYY" hidden="1">{#N/A,#N/A,TRUE,"Y생산";#N/A,#N/A,TRUE,"Y판매";#N/A,#N/A,TRUE,"Y총물량";#N/A,#N/A,TRUE,"Y능력";#N/A,#N/A,TRUE,"YKD"}</definedName>
    <definedName name="yyyy" hidden="1">{#N/A,#N/A,FALSE,"단축1";#N/A,#N/A,FALSE,"단축2";#N/A,#N/A,FALSE,"단축3";#N/A,#N/A,FALSE,"장축";#N/A,#N/A,FALSE,"4WD"}</definedName>
    <definedName name="yyyyyyyyyyyyyyy" hidden="1">{"Fiesta Facer Page",#N/A,FALSE,"Q_C_S";"Fiesta Main Page",#N/A,FALSE,"V_L";"Fiesta 95BP Struct",#N/A,FALSE,"StructBP";"Fiesta Post 95BP Struct",#N/A,FALSE,"AdjStructBP"}</definedName>
    <definedName name="yyyyyyyyyyyyyyy_1" hidden="1">{"Fiesta Facer Page",#N/A,FALSE,"Q_C_S";"Fiesta Main Page",#N/A,FALSE,"V_L";"Fiesta 95BP Struct",#N/A,FALSE,"StructBP";"Fiesta Post 95BP Struct",#N/A,FALSE,"AdjStructBP"}</definedName>
    <definedName name="yyyyyyyyyyyyyyy_2" hidden="1">{"Fiesta Facer Page",#N/A,FALSE,"Q_C_S";"Fiesta Main Page",#N/A,FALSE,"V_L";"Fiesta 95BP Struct",#N/A,FALSE,"StructBP";"Fiesta Post 95BP Struct",#N/A,FALSE,"AdjStructBP"}</definedName>
    <definedName name="yyyyyyyyyyyyyyy_2_1" hidden="1">{"Fiesta Facer Page",#N/A,FALSE,"Q_C_S";"Fiesta Main Page",#N/A,FALSE,"V_L";"Fiesta 95BP Struct",#N/A,FALSE,"StructBP";"Fiesta Post 95BP Struct",#N/A,FALSE,"AdjStructBP"}</definedName>
    <definedName name="yyyyyyyyyyyyyyy_3" hidden="1">{"Fiesta Facer Page",#N/A,FALSE,"Q_C_S";"Fiesta Main Page",#N/A,FALSE,"V_L";"Fiesta 95BP Struct",#N/A,FALSE,"StructBP";"Fiesta Post 95BP Struct",#N/A,FALSE,"AdjStructBP"}</definedName>
    <definedName name="yyyyyyyyyyyyyyy_3_1" hidden="1">{"Fiesta Facer Page",#N/A,FALSE,"Q_C_S";"Fiesta Main Page",#N/A,FALSE,"V_L";"Fiesta 95BP Struct",#N/A,FALSE,"StructBP";"Fiesta Post 95BP Struct",#N/A,FALSE,"AdjStructBP"}</definedName>
    <definedName name="yyyyyyyyyyyyyyy_4" hidden="1">{"Fiesta Facer Page",#N/A,FALSE,"Q_C_S";"Fiesta Main Page",#N/A,FALSE,"V_L";"Fiesta 95BP Struct",#N/A,FALSE,"StructBP";"Fiesta Post 95BP Struct",#N/A,FALSE,"AdjStructBP"}</definedName>
    <definedName name="Z_02F40802_7864_45E2_94BE_E2BF76307D4C_.wvu.FilterData" hidden="1">#REF!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CCEA51C_6B5A_492A_905D_2F185A7C043A_.wvu.PrintArea" hidden="1">#REF!</definedName>
    <definedName name="Z_0CDA9083_E5EE_41FB_B6BD_E03FFF683C40_.wvu.FilterData" hidden="1">#REF!</definedName>
    <definedName name="Z_16AF7427_F451_49A6_8463_F7E251045B2E_.wvu.FilterData" hidden="1">#REF!</definedName>
    <definedName name="Z_2C937C1D_7A56_4E7F_824B_8F0856D2ECEB_.wvu.FilterData" hidden="1">#REF!</definedName>
    <definedName name="Z_31F76D60_3EC7_11D4_B032_0004AC9097C7_.wvu.PrintTitles" hidden="1">#REF!</definedName>
    <definedName name="Z_31F76D60_3EC7_11D4_B032_0004AC9097C7_.wvu.Rows" hidden="1">#REF!</definedName>
    <definedName name="Z_59D67821_1042_11D4_BF3A_00105ADF16A9_.wvu.PrintTitles" hidden="1">#REF!</definedName>
    <definedName name="Z_59D67821_1042_11D4_BF3A_00105ADF16A9_.wvu.Rows" hidden="1">#REF!</definedName>
    <definedName name="Z_64D57002_15A0_4176_AB26_4D0B0E70860F_.wvu.Rows" hidden="1">#REF!,#REF!,#REF!,#REF!,#REF!,#REF!,#REF!,#REF!</definedName>
    <definedName name="Z_6993EFB0_1B89_4ECB_AA37_844F342C516A_.wvu.FilterData" hidden="1">#REF!</definedName>
    <definedName name="Z_6D9C2270_ADC3_11D6_B914_00105AFBA2A2_.wvu.FilterData" hidden="1">#REF!</definedName>
    <definedName name="Z_6D9C2270_ADC3_11D6_B914_00105AFBA2A2_.wvu.PrintTitles" hidden="1">#REF!</definedName>
    <definedName name="Z_AB004A4F_858A_4AC9_ADF0_FD624C01378E_.wvu.PrintArea" hidden="1">#REF!</definedName>
    <definedName name="Z_AB004A4F_858A_4AC9_ADF0_FD624C01378E_.wvu.Rows" hidden="1">#REF!,#REF!,#REF!</definedName>
    <definedName name="Z_BB76581C_9E30_4BD6_B827_BB194E2C12E2_.wvu.FilterData" hidden="1">#REF!</definedName>
    <definedName name="Z_E8FEE9A5_163A_11D2_AED0_0000E81DA68C_.wvu.Rows" hidden="1">#REF!</definedName>
    <definedName name="Z0" hidden="1">{#N/A,#N/A,FALSE,"KMC최종회의(7월) 자료"}</definedName>
    <definedName name="ZBN" hidden="1">{#N/A,#N/A,FALSE,"단축1";#N/A,#N/A,FALSE,"단축2";#N/A,#N/A,FALSE,"단축3";#N/A,#N/A,FALSE,"장축";#N/A,#N/A,FALSE,"4WD"}</definedName>
    <definedName name="zdf" hidden="1">#REF!</definedName>
    <definedName name="zebra" hidden="1">{#N/A,#N/A,FALSE,"431"}</definedName>
    <definedName name="zhu" hidden="1">{#N/A,#N/A,FALSE,"REPORT"}</definedName>
    <definedName name="zhutr" hidden="1">{#N/A,#N/A,FALSE,"REPORT"}</definedName>
    <definedName name="ZJ" hidden="1">{#N/A,#N/A,FALSE,"단축1";#N/A,#N/A,FALSE,"단축2";#N/A,#N/A,FALSE,"단축3";#N/A,#N/A,FALSE,"장축";#N/A,#N/A,FALSE,"4WD"}</definedName>
    <definedName name="zldjfldjkasjfkljal" hidden="1">{#N/A,#N/A,FALSE,"DAOCM 2차 검토"}</definedName>
    <definedName name="zldjfldjkasjfkljal_1" hidden="1">{#N/A,#N/A,FALSE,"DAOCM 2차 검토"}</definedName>
    <definedName name="zldjfldjkasjfkljal_1_1" hidden="1">{#N/A,#N/A,FALSE,"DAOCM 2차 검토"}</definedName>
    <definedName name="zldjfldjkasjfkljal_2" hidden="1">{#N/A,#N/A,FALSE,"DAOCM 2차 검토"}</definedName>
    <definedName name="zldjfldjkasjfkljal_2_1" hidden="1">{#N/A,#N/A,FALSE,"DAOCM 2차 검토"}</definedName>
    <definedName name="zldjfldjkasjfkljal_3" hidden="1">{#N/A,#N/A,FALSE,"DAOCM 2차 검토"}</definedName>
    <definedName name="zldjfldjkasjfkljal_3_1" hidden="1">{#N/A,#N/A,FALSE,"DAOCM 2차 검토"}</definedName>
    <definedName name="zldjfldjkasjfkljal_4" hidden="1">{#N/A,#N/A,FALSE,"DAOCM 2차 검토"}</definedName>
    <definedName name="zldjfldjkasjfkljal_4_1" hidden="1">{#N/A,#N/A,FALSE,"DAOCM 2차 검토"}</definedName>
    <definedName name="zldjfldjkasjfkljal_5" hidden="1">{#N/A,#N/A,FALSE,"DAOCM 2차 검토"}</definedName>
    <definedName name="zldjfldjkasjfkljal_5_1" hidden="1">{#N/A,#N/A,FALSE,"DAOCM 2차 검토"}</definedName>
    <definedName name="zoih" hidden="1">{"Fiesta Facer Page",#N/A,FALSE,"Q_C_S";"Fiesta Main Page",#N/A,FALSE,"V_L";"Fiesta 95BP Struct",#N/A,FALSE,"StructBP";"Fiesta Post 95BP Struct",#N/A,FALSE,"AdjStructBP"}</definedName>
    <definedName name="zoih_1" hidden="1">{"Fiesta Facer Page",#N/A,FALSE,"Q_C_S";"Fiesta Main Page",#N/A,FALSE,"V_L";"Fiesta 95BP Struct",#N/A,FALSE,"StructBP";"Fiesta Post 95BP Struct",#N/A,FALSE,"AdjStructBP"}</definedName>
    <definedName name="zoih_2" hidden="1">{"Fiesta Facer Page",#N/A,FALSE,"Q_C_S";"Fiesta Main Page",#N/A,FALSE,"V_L";"Fiesta 95BP Struct",#N/A,FALSE,"StructBP";"Fiesta Post 95BP Struct",#N/A,FALSE,"AdjStructBP"}</definedName>
    <definedName name="zoih_2_1" hidden="1">{"Fiesta Facer Page",#N/A,FALSE,"Q_C_S";"Fiesta Main Page",#N/A,FALSE,"V_L";"Fiesta 95BP Struct",#N/A,FALSE,"StructBP";"Fiesta Post 95BP Struct",#N/A,FALSE,"AdjStructBP"}</definedName>
    <definedName name="zoih_3" hidden="1">{"Fiesta Facer Page",#N/A,FALSE,"Q_C_S";"Fiesta Main Page",#N/A,FALSE,"V_L";"Fiesta 95BP Struct",#N/A,FALSE,"StructBP";"Fiesta Post 95BP Struct",#N/A,FALSE,"AdjStructBP"}</definedName>
    <definedName name="zoih_3_1" hidden="1">{"Fiesta Facer Page",#N/A,FALSE,"Q_C_S";"Fiesta Main Page",#N/A,FALSE,"V_L";"Fiesta 95BP Struct",#N/A,FALSE,"StructBP";"Fiesta Post 95BP Struct",#N/A,FALSE,"AdjStructBP"}</definedName>
    <definedName name="zoih_4" hidden="1">{"Fiesta Facer Page",#N/A,FALSE,"Q_C_S";"Fiesta Main Page",#N/A,FALSE,"V_L";"Fiesta 95BP Struct",#N/A,FALSE,"StructBP";"Fiesta Post 95BP Struct",#N/A,FALSE,"AdjStructBP"}</definedName>
    <definedName name="zq" hidden="1">{"Presentation",#N/A,FALSE,"Feb96 - ALL"}</definedName>
    <definedName name="zq_1" hidden="1">{"Presentation",#N/A,FALSE,"Feb96 - ALL"}</definedName>
    <definedName name="zq_2" hidden="1">{"Presentation",#N/A,FALSE,"Feb96 - ALL"}</definedName>
    <definedName name="zq_2_1" hidden="1">{"Presentation",#N/A,FALSE,"Feb96 - ALL"}</definedName>
    <definedName name="zq_3" hidden="1">{"Presentation",#N/A,FALSE,"Feb96 - ALL"}</definedName>
    <definedName name="zq_3_1" hidden="1">{"Presentation",#N/A,FALSE,"Feb96 - ALL"}</definedName>
    <definedName name="zq_4" hidden="1">{"Presentation",#N/A,FALSE,"Feb96 - ALL"}</definedName>
    <definedName name="zsdcas" hidden="1">{#N/A,#N/A,TRUE,"Y생산";#N/A,#N/A,TRUE,"Y판매";#N/A,#N/A,TRUE,"Y총물량";#N/A,#N/A,TRUE,"Y능력";#N/A,#N/A,TRUE,"YKD"}</definedName>
    <definedName name="zsts" hidden="1">{#N/A,#N/A,TRUE,"Erfassungsbogen";#N/A,#N/A,TRUE,"Auswertung PA";#N/A,#N/A,TRUE,"Auswertung BB";#N/A,#N/A,TRUE,"Auswertung BE";#N/A,#N/A,TRUE,"Auswertung DSR";#N/A,#N/A,TRUE,"Auswertung KS";#N/A,#N/A,TRUE,"Auswertung CS";#N/A,#N/A,TRUE,"Auswertung Gesamt";#N/A,#N/A,TRUE,"Proz.v. Ges.ums-aufw-ertrag";#N/A,#N/A,TRUE,"Leistungen pro Mitarbeiter"}</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ouzghk" hidden="1">#REF!</definedName>
    <definedName name="ztsjtjt" hidden="1">{"Fiesta Facer Page",#N/A,FALSE,"Q_C_S";"Fiesta Main Page",#N/A,FALSE,"V_L";"Fiesta 95BP Struct",#N/A,FALSE,"StructBP";"Fiesta Post 95BP Struct",#N/A,FALSE,"AdjStructBP"}</definedName>
    <definedName name="zuik" hidden="1">#REF!</definedName>
    <definedName name="zukf" hidden="1">#REF!</definedName>
    <definedName name="zvcsafg" hidden="1">{"product cost",#N/A,FALSE,"P&amp;L STATEMENT"}</definedName>
    <definedName name="zx" hidden="1">{#N/A,#N/A,FALSE,"afa linear";#N/A,#N/A,FALSE,"mit 10% zuschuss";#N/A,#N/A,FALSE,"mit 25% zuschuss"}</definedName>
    <definedName name="ZXC" hidden="1">#REF!</definedName>
    <definedName name="zxcas" hidden="1">{#N/A,#N/A,FALSE,"KMC최종회의(7월) 자료"}</definedName>
    <definedName name="ZXCVA" hidden="1">{#N/A,#N/A,TRUE,"일정"}</definedName>
    <definedName name="ZXCZXC" hidden="1">#REF!</definedName>
    <definedName name="zz" hidden="1">{"Rates_Summ",#N/A,TRUE,"Rates";"I_Poriginal",#N/A,TRUE,"I_P";"Pctgs_original",#N/A,TRUE,"Pctgs";"Rates_Main",#N/A,TRUE,"Rates"}</definedName>
    <definedName name="zza" hidden="1">{#N/A,#N/A,FALSE,"Sheet3"}</definedName>
    <definedName name="zza4pg" hidden="1">{#N/A,#N/A,FALSE,"REPORT"}</definedName>
    <definedName name="zzee" hidden="1">{#N/A,#N/A,FALSE,"Pharm";#N/A,#N/A,FALSE,"WWCM"}</definedName>
    <definedName name="zzxx" hidden="1">{#N/A,#N/A,FALSE,"Sheet3"}</definedName>
    <definedName name="zzz" hidden="1">{#N/A,#N/A,FALSE,"Cover";#N/A,#N/A,FALSE,"Profits";#N/A,#N/A,FALSE,"ABS";#N/A,#N/A,FALSE,"TFLE Detail";#N/A,#N/A,FALSE,"TFLE Walk";#N/A,#N/A,FALSE,"Variable Cost";#N/A,#N/A,FALSE,"V.C. Walk"}</definedName>
    <definedName name="zzzz" hidden="1">{"Fiesta Facer Page",#N/A,FALSE,"Q_C_S";"Fiesta Main Page",#N/A,FALSE,"V_L";"Fiesta 95BP Struct",#N/A,FALSE,"StructBP";"Fiesta Post 95BP Struct",#N/A,FALSE,"AdjStructBP"}</definedName>
    <definedName name="zzzz_1" hidden="1">{"Fiesta Facer Page",#N/A,FALSE,"Q_C_S";"Fiesta Main Page",#N/A,FALSE,"V_L";"Fiesta 95BP Struct",#N/A,FALSE,"StructBP";"Fiesta Post 95BP Struct",#N/A,FALSE,"AdjStructBP"}</definedName>
    <definedName name="zzzz_2" hidden="1">{"Fiesta Facer Page",#N/A,FALSE,"Q_C_S";"Fiesta Main Page",#N/A,FALSE,"V_L";"Fiesta 95BP Struct",#N/A,FALSE,"StructBP";"Fiesta Post 95BP Struct",#N/A,FALSE,"AdjStructBP"}</definedName>
    <definedName name="zzzz_2_1" hidden="1">{"Fiesta Facer Page",#N/A,FALSE,"Q_C_S";"Fiesta Main Page",#N/A,FALSE,"V_L";"Fiesta 95BP Struct",#N/A,FALSE,"StructBP";"Fiesta Post 95BP Struct",#N/A,FALSE,"AdjStructBP"}</definedName>
    <definedName name="zzzz_3" hidden="1">{"Fiesta Facer Page",#N/A,FALSE,"Q_C_S";"Fiesta Main Page",#N/A,FALSE,"V_L";"Fiesta 95BP Struct",#N/A,FALSE,"StructBP";"Fiesta Post 95BP Struct",#N/A,FALSE,"AdjStructBP"}</definedName>
    <definedName name="zzzz_3_1" hidden="1">{"Fiesta Facer Page",#N/A,FALSE,"Q_C_S";"Fiesta Main Page",#N/A,FALSE,"V_L";"Fiesta 95BP Struct",#N/A,FALSE,"StructBP";"Fiesta Post 95BP Struct",#N/A,FALSE,"AdjStructBP"}</definedName>
    <definedName name="zzzz_4" hidden="1">{"Fiesta Facer Page",#N/A,FALSE,"Q_C_S";"Fiesta Main Page",#N/A,FALSE,"V_L";"Fiesta 95BP Struct",#N/A,FALSE,"StructBP";"Fiesta Post 95BP Struct",#N/A,FALSE,"AdjStructBP"}</definedName>
    <definedName name="ZZZZ11111" hidden="1">{#N/A,#N/A,FALSE,"Assumptions";#N/A,#N/A,FALSE,"Volumes";#N/A,#N/A,FALSE,"Pricing";#N/A,#N/A,FALSE,"Variable Cost";#N/A,#N/A,FALSE,"Investment";#N/A,#N/A,FALSE,"Profitability";#N/A,#N/A,FALSE,"Business Comparison"}</definedName>
    <definedName name="zzzzz" hidden="1">{#N/A,#N/A,FALSE,"REPORT"}</definedName>
    <definedName name="zzzzzx" hidden="1">{#N/A,#N/A,TRUE,"Y생산";#N/A,#N/A,TRUE,"Y판매";#N/A,#N/A,TRUE,"Y총물량";#N/A,#N/A,TRUE,"Y능력";#N/A,#N/A,TRUE,"YKD"}</definedName>
    <definedName name="zzzzzz" hidden="1">{#N/A,#N/A,TRUE,"Y생산";#N/A,#N/A,TRUE,"Y판매";#N/A,#N/A,TRUE,"Y총물량";#N/A,#N/A,TRUE,"Y능력";#N/A,#N/A,TRUE,"YKD"}</definedName>
    <definedName name="zzzzzzzzz" hidden="1">{#N/A,#N/A,FALSE,"96 3월물량표";#N/A,#N/A,FALSE,"96 4월물량표";#N/A,#N/A,FALSE,"96 5월물량표"}</definedName>
    <definedName name="うぇｒ" hidden="1">{#N/A,#N/A,FALSE,"Cover Sheet";#N/A,#N/A,FALSE,"Ave_Trans_Shp_Abs";#N/A,#N/A,FALSE,"Det_Shp_Abs";#N/A,#N/A,FALSE,"Ave_Trans_Inst_Abs";#N/A,#N/A,FALSE,"Det_Ins_Abs";#N/A,#N/A,FALSE,"Ave_Trans_Tot_ABS";#N/A,#N/A,FALSE,"Det_Total_ABS"}</definedName>
    <definedName name="グラフ" hidden="1">#REF!</definedName>
    <definedName name="グラフ1" hidden="1">#REF!</definedName>
    <definedName name="しょげん" hidden="1">#REF!</definedName>
    <definedName name="ฟ" hidden="1">{"'Sheet1'!$A$1:$AA$147"}</definedName>
    <definedName name="ㄱ" hidden="1">{#N/A,#N/A,FALSE,"단축1";#N/A,#N/A,FALSE,"단축2";#N/A,#N/A,FALSE,"단축3";#N/A,#N/A,FALSE,"장축";#N/A,#N/A,FALSE,"4WD"}</definedName>
    <definedName name="ㄱ_1" hidden="1">{#N/A,#N/A,TRUE,"양식5";#N/A,#N/A,TRUE,"양식1_2_2";#N/A,#N/A,TRUE,"양식1_1_2";#N/A,#N/A,TRUE,"양식2";#N/A,#N/A,TRUE,"양식4";#N/A,#N/A,TRUE,"양식3";#N/A,#N/A,TRUE,"양식6";#N/A,#N/A,TRUE,"양식7";#N/A,#N/A,TRUE,"양식10";#N/A,#N/A,TRUE,"양식11";#N/A,#N/A,TRUE,"양식12";#N/A,#N/A,TRUE,"양식13_1_2";#N/A,#N/A,TRUE,"양식13_2_2";#N/A,#N/A,TRUE,"양식14"}</definedName>
    <definedName name="ㄱㄱ" hidden="1">{#N/A,#N/A,TRUE,"Y생산";#N/A,#N/A,TRUE,"Y판매";#N/A,#N/A,TRUE,"Y총물량";#N/A,#N/A,TRUE,"Y능력";#N/A,#N/A,TRUE,"YKD"}</definedName>
    <definedName name="ㄱㄷ" hidden="1">{"'0808_월별 (2)'!$A$2:$T$28"}</definedName>
    <definedName name="ㄱㄷㅁㄱ" hidden="1">{#N/A,#N/A,FALSE,"단축1";#N/A,#N/A,FALSE,"단축2";#N/A,#N/A,FALSE,"단축3";#N/A,#N/A,FALSE,"장축";#N/A,#N/A,FALSE,"4WD"}</definedName>
    <definedName name="ㄱㄹㄷ" hidden="1">{#N/A,#N/A,TRUE,"Y생산";#N/A,#N/A,TRUE,"Y판매";#N/A,#N/A,TRUE,"Y총물량";#N/A,#N/A,TRUE,"Y능력";#N/A,#N/A,TRUE,"YKD"}</definedName>
    <definedName name="ㄱㄺㄷㄹ" hidden="1">{"'MNT'!$AE$4:$AN$34"}</definedName>
    <definedName name="ㄱ쇼" hidden="1">{#N/A,#N/A,FALSE,"KMC최종회의(7월) 자료"}</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 hidden="1">{#N/A,#N/A,FALSE,"정공"}</definedName>
    <definedName name="가1" hidden="1">{#N/A,#N/A,TRUE,"Y생산";#N/A,#N/A,TRUE,"Y판매";#N/A,#N/A,TRUE,"Y총물량";#N/A,#N/A,TRUE,"Y능력";#N/A,#N/A,TRUE,"YKD"}</definedName>
    <definedName name="가2" hidden="1">{#N/A,#N/A,TRUE,"Y생산";#N/A,#N/A,TRUE,"Y판매";#N/A,#N/A,TRUE,"Y총물량";#N/A,#N/A,TRUE,"Y능력";#N/A,#N/A,TRUE,"YKD"}</definedName>
    <definedName name="가공" hidden="1">{#N/A,#N/A,FALSE,"KMC최종회의(7월) 자료"}</definedName>
    <definedName name="가공1조업계획" hidden="1">{#N/A,#N/A,FALSE,"96 3월물량표";#N/A,#N/A,FALSE,"96 4월물량표";#N/A,#N/A,FALSE,"96 5월물량표"}</definedName>
    <definedName name="가공일정수정" hidden="1">{#N/A,#N/A,FALSE,"KMC최종회의(7월) 자료"}</definedName>
    <definedName name="가공조업계획" hidden="1">{#N/A,#N/A,TRUE,"Y생산";#N/A,#N/A,TRUE,"Y판매";#N/A,#N/A,TRUE,"Y총물량";#N/A,#N/A,TRUE,"Y능력";#N/A,#N/A,TRUE,"YKD"}</definedName>
    <definedName name="가공조업실적" hidden="1">{#N/A,#N/A,TRUE,"Y생산";#N/A,#N/A,TRUE,"Y판매";#N/A,#N/A,TRUE,"Y총물량";#N/A,#N/A,TRUE,"Y능력";#N/A,#N/A,TRUE,"YKD"}</definedName>
    <definedName name="가나" hidden="1">{#N/A,#N/A,FALSE,"단축1";#N/A,#N/A,FALSE,"단축2";#N/A,#N/A,FALSE,"단축3";#N/A,#N/A,FALSE,"장축";#N/A,#N/A,FALSE,"4WD"}</definedName>
    <definedName name="가나다" hidden="1">{"'5'!$A$1:$BB$147"}</definedName>
    <definedName name="가나다오" hidden="1">{#N/A,#N/A,FALSE,"정공"}</definedName>
    <definedName name="가다라다라" hidden="1">{"'5'!$A$1:$BB$147"}</definedName>
    <definedName name="가다자자다" hidden="1">{"'5'!$A$1:$BB$147"}</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람" hidden="1">{#N/A,#N/A,TRUE,"Y생산";#N/A,#N/A,TRUE,"Y판매";#N/A,#N/A,TRUE,"Y총물량";#N/A,#N/A,TRUE,"Y능력";#N/A,#N/A,TRUE,"YKD"}</definedName>
    <definedName name="가아나" hidden="1">{#N/A,#N/A,TRUE,"Y생산";#N/A,#N/A,TRUE,"Y판매";#N/A,#N/A,TRUE,"Y총물량";#N/A,#N/A,TRUE,"Y능력";#N/A,#N/A,TRUE,"YKD"}</definedName>
    <definedName name="가을" hidden="1">{#N/A,#N/A,TRUE,"Y생산";#N/A,#N/A,TRUE,"Y판매";#N/A,#N/A,TRUE,"Y총물량";#N/A,#N/A,TRUE,"Y능력";#N/A,#N/A,TRUE,"YKD"}</definedName>
    <definedName name="가자" hidden="1">{#N/A,#N/A,FALSE,"KMC최종회의(7월) 자료"}</definedName>
    <definedName name="가자나다라" hidden="1">{"'5'!$A$1:$BB$147"}</definedName>
    <definedName name="가자자라다라" hidden="1">{"'5'!$A$1:$BB$147"}</definedName>
    <definedName name="각가가" hidden="1">{#N/A,#N/A,FALSE,"단축1";#N/A,#N/A,FALSE,"단축2";#N/A,#N/A,FALSE,"단축3";#N/A,#N/A,FALSE,"장축";#N/A,#N/A,FALSE,"4WD"}</definedName>
    <definedName name="각각" hidden="1">{#N/A,#N/A,FALSE,"KMC최종회의(7월) 자료"}</definedName>
    <definedName name="각방안" hidden="1">{#N/A,#N/A,FALSE,"단축1";#N/A,#N/A,FALSE,"단축2";#N/A,#N/A,FALSE,"단축3";#N/A,#N/A,FALSE,"장축";#N/A,#N/A,FALSE,"4WD"}</definedName>
    <definedName name="각자" hidden="1">{#N/A,#N/A,FALSE,"단축1";#N/A,#N/A,FALSE,"단축2";#N/A,#N/A,FALSE,"단축3";#N/A,#N/A,FALSE,"장축";#N/A,#N/A,FALSE,"4WD"}</definedName>
    <definedName name="감" hidden="1">{"'표지'!$B$5"}</definedName>
    <definedName name="감자안이관" hidden="1">{#N/A,#N/A,FALSE,"정공"}</definedName>
    <definedName name="강강강" hidden="1">{#N/A,#N/A,TRUE,"Y생산";#N/A,#N/A,TRUE,"Y판매";#N/A,#N/A,TRUE,"Y총물량";#N/A,#N/A,TRUE,"Y능력";#N/A,#N/A,TRUE,"YKD"}</definedName>
    <definedName name="강대천" hidden="1">{#N/A,#N/A,TRUE,"Y생산";#N/A,#N/A,TRUE,"Y판매";#N/A,#N/A,TRUE,"Y총물량";#N/A,#N/A,TRUE,"Y능력";#N/A,#N/A,TRUE,"YKD"}</definedName>
    <definedName name="개" hidden="1">{#N/A,#N/A,TRUE,"Y생산";#N/A,#N/A,TRUE,"Y판매";#N/A,#N/A,TRUE,"Y총물량";#N/A,#N/A,TRUE,"Y능력";#N/A,#N/A,TRUE,"YKD"}</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발문제범" hidden="1">{#N/A,#N/A,FALSE,"단축1";#N/A,#N/A,FALSE,"단축2";#N/A,#N/A,FALSE,"단축3";#N/A,#N/A,FALSE,"장축";#N/A,#N/A,FALSE,"4WD"}</definedName>
    <definedName name="개발시험종합" hidden="1">#REF!</definedName>
    <definedName name="개발일정" hidden="1">{#N/A,#N/A,FALSE,"단축1";#N/A,#N/A,FALSE,"단축2";#N/A,#N/A,FALSE,"단축3";#N/A,#N/A,FALSE,"장축";#N/A,#N/A,FALSE,"4WD"}</definedName>
    <definedName name="개발일정수정" hidden="1">{#N/A,#N/A,FALSE,"단축1";#N/A,#N/A,FALSE,"단축2";#N/A,#N/A,FALSE,"단축3";#N/A,#N/A,FALSE,"장축";#N/A,#N/A,FALSE,"4WD"}</definedName>
    <definedName name="개발진척4월" hidden="1">{"'0808_월별 (2)'!$A$2:$T$28"}</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선이력" hidden="1">{#N/A,#N/A,FALSE,"KMC최종회의(7월) 자료"}</definedName>
    <definedName name="개선전" hidden="1">{#N/A,#N/A,FALSE,"정공"}</definedName>
    <definedName name="개선전후사진" hidden="1">{#N/A,#N/A,FALSE,"KMC최종회의(7월) 자료"}</definedName>
    <definedName name="개선총괄" hidden="1">{#N/A,#N/A,FALSE,"정공"}</definedName>
    <definedName name="개선후손익" hidden="1">{#N/A,#N/A,TRUE,"Y생산";#N/A,#N/A,TRUE,"Y판매";#N/A,#N/A,TRUE,"Y총물량";#N/A,#N/A,TRUE,"Y능력";#N/A,#N/A,TRUE,"YKD"}</definedName>
    <definedName name="개요" hidden="1">{#N/A,#N/A,FALSE,"단축1";#N/A,#N/A,FALSE,"단축2";#N/A,#N/A,FALSE,"단축3";#N/A,#N/A,FALSE,"장축";#N/A,#N/A,FALSE,"4WD"}</definedName>
    <definedName name="개조전후CAPA비교" hidden="1">{#N/A,#N/A,FALSE,"KMC최종회의(7월) 자료"}</definedName>
    <definedName name="개판" hidden="1">{#N/A,#N/A,FALSE,"단축1";#N/A,#N/A,FALSE,"단축2";#N/A,#N/A,FALSE,"단축3";#N/A,#N/A,FALSE,"장축";#N/A,#N/A,FALSE,"4WD"}</definedName>
    <definedName name="갤로" hidden="1">{#N/A,#N/A,FALSE,"정공"}</definedName>
    <definedName name="갸" hidden="1">{#N/A,#N/A,TRUE,"Y생산";#N/A,#N/A,TRUE,"Y판매";#N/A,#N/A,TRUE,"Y총물량";#N/A,#N/A,TRUE,"Y능력";#N/A,#N/A,TRUE,"YKD"}</definedName>
    <definedName name="거거" hidden="1">{#N/A,#N/A,TRUE,"Y생산";#N/A,#N/A,TRUE,"Y판매";#N/A,#N/A,TRUE,"Y총물량";#N/A,#N/A,TRUE,"Y능력";#N/A,#N/A,TRUE,"YKD"}</definedName>
    <definedName name="건열" hidden="1">{#N/A,#N/A,TRUE,"Y생산";#N/A,#N/A,TRUE,"Y판매";#N/A,#N/A,TRUE,"Y총물량";#N/A,#N/A,TRUE,"Y능력";#N/A,#N/A,TRUE,"YKD"}</definedName>
    <definedName name="걸껄" hidden="1">{#N/A,#N/A,TRUE,"Y생산";#N/A,#N/A,TRUE,"Y판매";#N/A,#N/A,TRUE,"Y총물량";#N/A,#N/A,TRUE,"Y능력";#N/A,#N/A,TRUE,"YKD"}</definedName>
    <definedName name="검토보고" hidden="1">{#N/A,#N/A,TRUE,"Y생산";#N/A,#N/A,TRUE,"Y판매";#N/A,#N/A,TRUE,"Y총물량";#N/A,#N/A,TRUE,"Y능력";#N/A,#N/A,TRUE,"YKD"}</definedName>
    <definedName name="게" hidden="1">{#N/A,#N/A,FALSE,"단축1";#N/A,#N/A,FALSE,"단축2";#N/A,#N/A,FALSE,"단축3";#N/A,#N/A,FALSE,"장축";#N/A,#N/A,FALSE,"4WD"}</definedName>
    <definedName name="견적" hidden="1">{#N/A,#N/A,FALSE,"단축1";#N/A,#N/A,FALSE,"단축2";#N/A,#N/A,FALSE,"단축3";#N/A,#N/A,FALSE,"장축";#N/A,#N/A,FALSE,"4WD"}</definedName>
    <definedName name="견적비교1" hidden="1">{#N/A,#N/A,FALSE,"신규dep";#N/A,#N/A,FALSE,"신규dep-금형상각후";#N/A,#N/A,FALSE,"신규dep-연구비상각후";#N/A,#N/A,FALSE,"신규dep-기계,공구상각후"}</definedName>
    <definedName name="견적비교2" hidden="1">{#N/A,#N/A,FALSE,"신규dep";#N/A,#N/A,FALSE,"신규dep-금형상각후";#N/A,#N/A,FALSE,"신규dep-연구비상각후";#N/A,#N/A,FALSE,"신규dep-기계,공구상각후"}</definedName>
    <definedName name="견적투자비" hidden="1">{#N/A,#N/A,FALSE,"단축1";#N/A,#N/A,FALSE,"단축2";#N/A,#N/A,FALSE,"단축3";#N/A,#N/A,FALSE,"장축";#N/A,#N/A,FALSE,"4WD"}</definedName>
    <definedName name="결재용" hidden="1">{#N/A,#N/A,FALSE,"단축1";#N/A,#N/A,FALSE,"단축2";#N/A,#N/A,FALSE,"단축3";#N/A,#N/A,FALSE,"장축";#N/A,#N/A,FALSE,"4WD"}</definedName>
    <definedName name="경로" hidden="1">{#N/A,#N/A,TRUE,"Y생산";#N/A,#N/A,TRUE,"Y판매";#N/A,#N/A,TRUE,"Y총물량";#N/A,#N/A,TRUE,"Y능력";#N/A,#N/A,TRUE,"YKD"}</definedName>
    <definedName name="경로별" hidden="1">{"'5'!$A$1:$BB$147"}</definedName>
    <definedName name="경리손익" hidden="1">{#N/A,#N/A,FALSE,"정공"}</definedName>
    <definedName name="경비" hidden="1">{#N/A,#N/A,FALSE,"KMC최종회의(7월) 자료"}</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3차" hidden="1">{#N/A,#N/A,FALSE,"정공"}</definedName>
    <definedName name="경비래요" hidden="1">{#N/A,#N/A,FALSE,"정공"}</definedName>
    <definedName name="경비실적" hidden="1">{#N/A,#N/A,FALSE,"정공"}</definedName>
    <definedName name="경상비8월" hidden="1">{#N/A,#N/A,FALSE,"단축1";#N/A,#N/A,FALSE,"단축2";#N/A,#N/A,FALSE,"단축3";#N/A,#N/A,FALSE,"장축";#N/A,#N/A,FALSE,"4WD"}</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경상이동" hidden="1">{#N/A,#N/A,FALSE,"정공"}</definedName>
    <definedName name="경상이익" hidden="1">{#N/A,#N/A,FALSE,"정공"}</definedName>
    <definedName name="경영" hidden="1">{#N/A,#N/A,FALSE,"KMC최종회의(7월) 자료"}</definedName>
    <definedName name="경영계획MT" hidden="1">{#N/A,#N/A,FALSE,"정공"}</definedName>
    <definedName name="경쟁사동향" hidden="1">{#N/A,#N/A,FALSE,"KMC최종회의(7월) 자료"}</definedName>
    <definedName name="경주경주" hidden="1">{#N/A,#N/A,FALSE,"KMC최종회의(7월) 자료"}</definedName>
    <definedName name="경주기록" hidden="1">{#N/A,#N/A,FALSE,"KMC최종회의(7월) 자료"}</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1소형" hidden="1">{#N/A,#N/A,TRUE,"Y생산";#N/A,#N/A,TRUE,"Y판매";#N/A,#N/A,TRUE,"Y총물량";#N/A,#N/A,TRUE,"Y능력";#N/A,#N/A,TRUE,"YKD"}</definedName>
    <definedName name="계산근거용" hidden="1">{#N/A,#N/A,FALSE,"KMC최종회의(7월) 자료"}</definedName>
    <definedName name="계산요약표" hidden="1">{#N/A,#N/A,FALSE,"정공"}</definedName>
    <definedName name="계정별투자총괄" hidden="1">{#N/A,#N/A,FALSE,"단축1";#N/A,#N/A,FALSE,"단축2";#N/A,#N/A,FALSE,"단축3";#N/A,#N/A,FALSE,"장축";#N/A,#N/A,FALSE,"4WD"}</definedName>
    <definedName name="계정종합표" hidden="1">{#N/A,#N/A,TRUE,"Y생산";#N/A,#N/A,TRUE,"Y판매";#N/A,#N/A,TRUE,"Y총물량";#N/A,#N/A,TRUE,"Y능력";#N/A,#N/A,TRUE,"YKD"}</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{#N/A,#N/A,FALSE,"정공"}</definedName>
    <definedName name="계획3" hidden="1">{#N/A,#N/A,FALSE,"KMC최종회의(7월) 자료"}</definedName>
    <definedName name="계획대비실적" hidden="1">{#N/A,#N/A,TRUE,"Y생산";#N/A,#N/A,TRUE,"Y판매";#N/A,#N/A,TRUE,"Y총물량";#N/A,#N/A,TRUE,"Y능력";#N/A,#N/A,TRUE,"YKD"}</definedName>
    <definedName name="계획대실적" hidden="1">{#N/A,#N/A,FALSE,"KMC최종회의(7월) 자료"}</definedName>
    <definedName name="계획수정" hidden="1">{#N/A,#N/A,FALSE,"KMC최종회의(7월) 자료"}</definedName>
    <definedName name="계횟" hidden="1">{#N/A,#N/A,TRUE,"Y생산";#N/A,#N/A,TRUE,"Y판매";#N/A,#N/A,TRUE,"Y총물량";#N/A,#N/A,TRUE,"Y능력";#N/A,#N/A,TRUE,"YKD"}</definedName>
    <definedName name="고1" hidden="1">{#N/A,#N/A,FALSE,"KMC최종회의(7월) 자료"}</definedName>
    <definedName name="고8" hidden="1">{#N/A,#N/A,FALSE,"KMC최종회의(7월) 자료"}</definedName>
    <definedName name="고객" hidden="1">{"'7'!$B$15:$D$32"}</definedName>
    <definedName name="고ㅗ고ㅗ교ㅛ" hidden="1">{#N/A,#N/A,FALSE,"KMC최종회의(7월) 자료"}</definedName>
    <definedName name="공" hidden="1">{#N/A,#N/A,FALSE,"단축1";#N/A,#N/A,FALSE,"단축2";#N/A,#N/A,FALSE,"단축3";#N/A,#N/A,FALSE,"장축";#N/A,#N/A,FALSE,"4WD"}</definedName>
    <definedName name="공개입찰" hidden="1">{#N/A,#N/A,FALSE,"정공"}</definedName>
    <definedName name="공공공" hidden="1">{#N/A,#N/A,FALSE,"정공"}</definedName>
    <definedName name="공급설비사양2" hidden="1">{#N/A,#N/A,FALSE,"ENG'G(보호계전기)"}</definedName>
    <definedName name="공급자" hidden="1">#REF!</definedName>
    <definedName name="공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문2" hidden="1">{"'7'!$B$15:$D$32"}</definedName>
    <definedName name="공성환" hidden="1">{#N/A,#N/A,FALSE,"단축1";#N/A,#N/A,FALSE,"단축2";#N/A,#N/A,FALSE,"단축3";#N/A,#N/A,FALSE,"장축";#N/A,#N/A,FALSE,"4WD"}</definedName>
    <definedName name="공수" hidden="1">{#N/A,#N/A,FALSE,"KMC최종회의(7월) 자료"}</definedName>
    <definedName name="공수관리하청" hidden="1">{#N/A,#N/A,FALSE,"KMC최종회의(7월) 자료"}</definedName>
    <definedName name="공수산정내역" hidden="1">{"'Sheet1'!$A$211:$M$235"}</definedName>
    <definedName name="공수투입" hidden="1">{#N/A,#N/A,FALSE,"정공"}</definedName>
    <definedName name="공우석" hidden="1">{#N/A,#N/A,FALSE,"KMC최종회의(7월) 자료"}</definedName>
    <definedName name="공우석aa" hidden="1">{#N/A,#N/A,FALSE,"KMC최종회의(7월) 자료"}</definedName>
    <definedName name="공우석AAA" hidden="1">{#N/A,#N/A,FALSE,"KMC최종회의(7월) 자료"}</definedName>
    <definedName name="공유" hidden="1">{#N/A,#N/A,FALSE,"KMC최종회의(7월) 자료"}</definedName>
    <definedName name="공작" hidden="1">{#N/A,#N/A,FALSE,"KMC최종회의(7월) 자료"}</definedName>
    <definedName name="공작1" hidden="1">{#N/A,#N/A,FALSE,"KMC최종회의(7월) 자료"}</definedName>
    <definedName name="공작2" hidden="1">{#N/A,#N/A,FALSE,"KMC최종회의(7월) 자료"}</definedName>
    <definedName name="공작기계" hidden="1">{#N/A,#N/A,FALSE,"KMC최종회의(7월) 자료"}</definedName>
    <definedName name="공작부문2" hidden="1">{#N/A,#N/A,FALSE,"KMC최종회의(7월) 자료"}</definedName>
    <definedName name="공작절감" hidden="1">{#N/A,#N/A,FALSE,"KMC최종회의(7월) 자료"}</definedName>
    <definedName name="공장보완" hidden="1">{#N/A,#N/A,TRUE,"Y생산";#N/A,#N/A,TRUE,"Y판매";#N/A,#N/A,TRUE,"Y총물량";#N/A,#N/A,TRUE,"Y능력";#N/A,#N/A,TRUE,"YKD"}</definedName>
    <definedName name="공ㅌ오" hidden="1">{#N/A,#N/A,TRUE,"Y생산";#N/A,#N/A,TRUE,"Y판매";#N/A,#N/A,TRUE,"Y총물량";#N/A,#N/A,TRUE,"Y능력";#N/A,#N/A,TRUE,"YKD"}</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목세목현황" hidden="1">{#N/A,#N/A,TRUE,"Y생산";#N/A,#N/A,TRUE,"Y판매";#N/A,#N/A,TRUE,"Y총물량";#N/A,#N/A,TRUE,"Y능력";#N/A,#N/A,TRUE,"YKD"}</definedName>
    <definedName name="관리_1" hidden="1">{#N/A,#N/A,FALSE,"DAOCM 2차 검토"}</definedName>
    <definedName name="관리_1_1" hidden="1">{#N/A,#N/A,FALSE,"DAOCM 2차 검토"}</definedName>
    <definedName name="관리_2" hidden="1">{#N/A,#N/A,FALSE,"DAOCM 2차 검토"}</definedName>
    <definedName name="관리_2_1" hidden="1">{#N/A,#N/A,FALSE,"DAOCM 2차 검토"}</definedName>
    <definedName name="관리_3" hidden="1">{#N/A,#N/A,FALSE,"DAOCM 2차 검토"}</definedName>
    <definedName name="관리_3_1" hidden="1">{#N/A,#N/A,FALSE,"DAOCM 2차 검토"}</definedName>
    <definedName name="관리_4" hidden="1">{#N/A,#N/A,FALSE,"DAOCM 2차 검토"}</definedName>
    <definedName name="관리_4_1" hidden="1">{#N/A,#N/A,FALSE,"DAOCM 2차 검토"}</definedName>
    <definedName name="관리_5" hidden="1">{#N/A,#N/A,FALSE,"DAOCM 2차 검토"}</definedName>
    <definedName name="관리_5_1" hidden="1">{#N/A,#N/A,FALSE,"DAOCM 2차 검토"}</definedName>
    <definedName name="관리지표2" hidden="1">{#N/A,#N/A,TRUE,"Y생산";#N/A,#N/A,TRUE,"Y판매";#N/A,#N/A,TRUE,"Y총물량";#N/A,#N/A,TRUE,"Y능력";#N/A,#N/A,TRUE,"YKD"}</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주추진" hidden="1">{"'5'!$A$1:$BB$147"}</definedName>
    <definedName name="교육" hidden="1">{#N/A,#N/A,TRUE,"Y생산";#N/A,#N/A,TRUE,"Y판매";#N/A,#N/A,TRUE,"Y총물량";#N/A,#N/A,TRUE,"Y능력";#N/A,#N/A,TRUE,"YKD"}</definedName>
    <definedName name="교육1" hidden="1">{#N/A,#N/A,FALSE,"96 3월물량표";#N/A,#N/A,FALSE,"96 4월물량표";#N/A,#N/A,FALSE,"96 5월물량표"}</definedName>
    <definedName name="교육계" hidden="1">{#N/A,#N/A,FALSE,"KMC최종회의(7월) 자료"}</definedName>
    <definedName name="교육실적" hidden="1">{#N/A,#N/A,FALSE,"정공"}</definedName>
    <definedName name="구매" hidden="1">{#N/A,#N/A,FALSE,"KMC최종회의(7월) 자료"}</definedName>
    <definedName name="구분하소" hidden="1">{#N/A,#N/A,FALSE,"정공"}</definedName>
    <definedName name="구성비1" hidden="1">{#N/A,#N/A,FALSE,"신규dep";#N/A,#N/A,FALSE,"신규dep-금형상각후";#N/A,#N/A,FALSE,"신규dep-연구비상각후";#N/A,#N/A,FALSE,"신규dep-기계,공구상각후"}</definedName>
    <definedName name="구자봉" hidden="1">{#N/A,#N/A,FALSE,"정공"}</definedName>
    <definedName name="구정" hidden="1">{#N/A,#N/A,FALSE,"정공"}</definedName>
    <definedName name="구축" hidden="1">{#N/A,#N/A,FALSE,"KMC최종회의(7월) 자료"}</definedName>
    <definedName name="권" hidden="1">{#N/A,#N/A,FALSE,"KMC최종회의(7월) 자료"}</definedName>
    <definedName name="권ㅇ" hidden="1">{#N/A,#N/A,FALSE,"KMC최종회의(7월) 자료"}</definedName>
    <definedName name="권영갑" hidden="1">{#N/A,#N/A,FALSE,"KMC최종회의(7월) 자료"}</definedName>
    <definedName name="권오종" hidden="1">{#N/A,#N/A,FALSE,"단축1";#N/A,#N/A,FALSE,"단축2";#N/A,#N/A,FALSE,"단축3";#N/A,#N/A,FALSE,"장축";#N/A,#N/A,FALSE,"4WD"}</definedName>
    <definedName name="권혁성" hidden="1">{#N/A,#N/A,FALSE,"DAOCM 2차 검토"}</definedName>
    <definedName name="권혁성_1" hidden="1">{#N/A,#N/A,FALSE,"DAOCM 2차 검토"}</definedName>
    <definedName name="권혁성_1_1" hidden="1">{#N/A,#N/A,FALSE,"DAOCM 2차 검토"}</definedName>
    <definedName name="권혁성_2" hidden="1">{#N/A,#N/A,FALSE,"DAOCM 2차 검토"}</definedName>
    <definedName name="권혁성_2_1" hidden="1">{#N/A,#N/A,FALSE,"DAOCM 2차 검토"}</definedName>
    <definedName name="권혁성_3" hidden="1">{#N/A,#N/A,FALSE,"DAOCM 2차 검토"}</definedName>
    <definedName name="권혁성_3_1" hidden="1">{#N/A,#N/A,FALSE,"DAOCM 2차 검토"}</definedName>
    <definedName name="권혁성_4" hidden="1">{#N/A,#N/A,FALSE,"DAOCM 2차 검토"}</definedName>
    <definedName name="권혁성_4_1" hidden="1">{#N/A,#N/A,FALSE,"DAOCM 2차 검토"}</definedName>
    <definedName name="권혁성_5" hidden="1">{#N/A,#N/A,FALSE,"DAOCM 2차 검토"}</definedName>
    <definedName name="권혁성_5_1" hidden="1">{#N/A,#N/A,FALSE,"DAOCM 2차 검토"}</definedName>
    <definedName name="규" hidden="1">{#N/A,#N/A,FALSE,"KMC최종회의(7월) 자료"}</definedName>
    <definedName name="그" hidden="1">{#N/A,#N/A,FALSE,"단축1";#N/A,#N/A,FALSE,"단축2";#N/A,#N/A,FALSE,"단축3";#N/A,#N/A,FALSE,"장축";#N/A,#N/A,FALSE,"4WD"}</definedName>
    <definedName name="그그르"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근거1" hidden="1">{#N/A,#N/A,FALSE,"단축1";#N/A,#N/A,FALSE,"단축2";#N/A,#N/A,FALSE,"단축3";#N/A,#N/A,FALSE,"장축";#N/A,#N/A,FALSE,"4WD"}</definedName>
    <definedName name="근거2" hidden="1">{#N/A,#N/A,FALSE,"단축1";#N/A,#N/A,FALSE,"단축2";#N/A,#N/A,FALSE,"단축3";#N/A,#N/A,FALSE,"장축";#N/A,#N/A,FALSE,"4WD"}</definedName>
    <definedName name="근거3" hidden="1">{#N/A,#N/A,FALSE,"단축1";#N/A,#N/A,FALSE,"단축2";#N/A,#N/A,FALSE,"단축3";#N/A,#N/A,FALSE,"장축";#N/A,#N/A,FALSE,"4WD"}</definedName>
    <definedName name="금"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1" hidden="1">{#N/A,#N/A,FALSE,"KMC최종회의(7월) 자료"}</definedName>
    <definedName name="금형2" hidden="1">{#N/A,#N/A,FALSE,"KMC최종회의(7월) 자료"}</definedName>
    <definedName name="금형3" hidden="1">{#N/A,#N/A,FALSE,"단축1";#N/A,#N/A,FALSE,"단축2";#N/A,#N/A,FALSE,"단축3";#N/A,#N/A,FALSE,"장축";#N/A,#N/A,FALSE,"4WD"}</definedName>
    <definedName name="금형33" hidden="1">{#N/A,#N/A,FALSE,"KMC최종회의(7월) 자료"}</definedName>
    <definedName name="금형4" hidden="1">{#N/A,#N/A,FALSE,"KMC최종회의(7월) 자료"}</definedName>
    <definedName name="금형5" hidden="1">{#N/A,#N/A,FALSE,"KMC최종회의(7월) 자료"}</definedName>
    <definedName name="금형선급조정" hidden="1">{#N/A,#N/A,FALSE,"정공"}</definedName>
    <definedName name="금형편성표" hidden="1">{#N/A,#N/A,FALSE,"단축1";#N/A,#N/A,FALSE,"단축2";#N/A,#N/A,FALSE,"단축3";#N/A,#N/A,FALSE,"장축";#N/A,#N/A,FALSE,"4WD"}</definedName>
    <definedName name="금형편성표표" hidden="1">{#N/A,#N/A,FALSE,"단축1";#N/A,#N/A,FALSE,"단축2";#N/A,#N/A,FALSE,"단축3";#N/A,#N/A,FALSE,"장축";#N/A,#N/A,FALSE,"4WD"}</definedName>
    <definedName name="기" hidden="1">{#N/A,#N/A,TRUE,"Y생산";#N/A,#N/A,TRUE,"Y판매";#N/A,#N/A,TRUE,"Y총물량";#N/A,#N/A,TRUE,"Y능력";#N/A,#N/A,TRUE,"YKD"}</definedName>
    <definedName name="기록" hidden="1">{#N/A,#N/A,FALSE,"KMC최종회의(7월) 자료"}</definedName>
    <definedName name="기름" hidden="1">{#N/A,#N/A,FALSE,"단축1";#N/A,#N/A,FALSE,"단축2";#N/A,#N/A,FALSE,"단축3";#N/A,#N/A,FALSE,"장축";#N/A,#N/A,FALSE,"4WD"}</definedName>
    <definedName name="기름걸레" hidden="1">{#N/A,#N/A,FALSE,"단축1";#N/A,#N/A,FALSE,"단축2";#N/A,#N/A,FALSE,"단축3";#N/A,#N/A,FALSE,"장축";#N/A,#N/A,FALSE,"4WD"}</definedName>
    <definedName name="기본" hidden="1">{#N/A,#N/A,FALSE,"단축1";#N/A,#N/A,FALSE,"단축2";#N/A,#N/A,FALSE,"단축3";#N/A,#N/A,FALSE,"장축";#N/A,#N/A,FALSE,"4WD"}</definedName>
    <definedName name="기본2" hidden="1">#REF!</definedName>
    <definedName name="기아" hidden="1">{#N/A,#N/A,FALSE,"단축1";#N/A,#N/A,FALSE,"단축2";#N/A,#N/A,FALSE,"단축3";#N/A,#N/A,FALSE,"장축";#N/A,#N/A,FALSE,"4WD"}</definedName>
    <definedName name="기아매출" hidden="1">{#N/A,#N/A,FALSE,"ROW DATA"}</definedName>
    <definedName name="기아모텍" hidden="1">{#N/A,#N/A,FALSE,"정공"}</definedName>
    <definedName name="기아자동차" hidden="1">{#N/A,#N/A,TRUE,"Y생산";#N/A,#N/A,TRUE,"Y판매";#N/A,#N/A,TRUE,"Y총물량";#N/A,#N/A,TRUE,"Y능력";#N/A,#N/A,TRUE,"YKD"}</definedName>
    <definedName name="기아전자" hidden="1">{#N/A,#N/A,FALSE,"정공"}</definedName>
    <definedName name="기존차" hidden="1">{#N/A,#N/A,FALSE,"단축1";#N/A,#N/A,FALSE,"단축2";#N/A,#N/A,FALSE,"단축3";#N/A,#N/A,FALSE,"장축";#N/A,#N/A,FALSE,"4WD"}</definedName>
    <definedName name="김광현" hidden="1">{#N/A,#N/A,FALSE,"KMC최종회의(7월) 자료"}</definedName>
    <definedName name="김도윤" hidden="1">{#N/A,#N/A,TRUE,"Y생산";#N/A,#N/A,TRUE,"Y판매";#N/A,#N/A,TRUE,"Y총물량";#N/A,#N/A,TRUE,"Y능력";#N/A,#N/A,TRUE,"YKD"}</definedName>
    <definedName name="김동탁" hidden="1">{#N/A,#N/A,FALSE,"단축1";#N/A,#N/A,FALSE,"단축2";#N/A,#N/A,FALSE,"단축3";#N/A,#N/A,FALSE,"장축";#N/A,#N/A,FALSE,"4WD"}</definedName>
    <definedName name="김베" hidden="1">{#N/A,#N/A,FALSE,"단축1";#N/A,#N/A,FALSE,"단축2";#N/A,#N/A,FALSE,"단축3";#N/A,#N/A,FALSE,"장축";#N/A,#N/A,FALSE,"4WD"}</definedName>
    <definedName name="김사" hidden="1">{#N/A,#N/A,FALSE,"KMC최종회의(7월) 자료"}</definedName>
    <definedName name="김삼주" hidden="1">{#N/A,#N/A,FALSE,"KMC최종회의(7월) 자료"}</definedName>
    <definedName name="김석빈" hidden="1">{#N/A,#N/A,FALSE,"단축1";#N/A,#N/A,FALSE,"단축2";#N/A,#N/A,FALSE,"단축3";#N/A,#N/A,FALSE,"장축";#N/A,#N/A,FALSE,"4WD"}</definedName>
    <definedName name="김영" hidden="1">{#N/A,#N/A,FALSE,"단축1";#N/A,#N/A,FALSE,"단축2";#N/A,#N/A,FALSE,"단축3";#N/A,#N/A,FALSE,"장축";#N/A,#N/A,FALSE,"4WD"}</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인섭" hidden="1">{"'5'!$A$1:$BB$147"}</definedName>
    <definedName name="김인호" hidden="1">{#N/A,#N/A,FALSE,"해외크레임";#N/A,#N/A,FALSE,"ACCENT현황";#N/A,#N/A,FALSE,"AVANTE";#N/A,#N/A,FALSE,"SONATA(3)";#N/A,#N/A,FALSE,"국내크레임"}</definedName>
    <definedName name="김정희" hidden="1">{"'5'!$A$1:$BB$147"}</definedName>
    <definedName name="김종완" hidden="1">{#N/A,#N/A,FALSE,"KMC최종회의(7월) 자료"}</definedName>
    <definedName name="김종은" hidden="1">{#N/A,#N/A,TRUE,"Y생산";#N/A,#N/A,TRUE,"Y판매";#N/A,#N/A,TRUE,"Y총물량";#N/A,#N/A,TRUE,"Y능력";#N/A,#N/A,TRUE,"YKD"}</definedName>
    <definedName name="김차" hidden="1">{#N/A,#N/A,FALSE,"단축1";#N/A,#N/A,FALSE,"단축2";#N/A,#N/A,FALSE,"단축3";#N/A,#N/A,FALSE,"장축";#N/A,#N/A,FALSE,"4WD"}</definedName>
    <definedName name="김치" hidden="1">{#N/A,#N/A,FALSE,"KMC최종회의(7월) 자료"}</definedName>
    <definedName name="김태헌" hidden="1">{"'5'!$A$1:$BB$147"}</definedName>
    <definedName name="ㄳㄷㄳ" hidden="1">{#N/A,#N/A,FALSE,"단축1";#N/A,#N/A,FALSE,"단축2";#N/A,#N/A,FALSE,"단축3";#N/A,#N/A,FALSE,"장축";#N/A,#N/A,FALSE,"4WD"}</definedName>
    <definedName name="ㄳㄷㅅㄷㄱㅈ" hidden="1">{"'5'!$A$1:$BB$147"}</definedName>
    <definedName name="ㄳㅁㄴ" hidden="1">{#N/A,#N/A,FALSE,"단축1";#N/A,#N/A,FALSE,"단축2";#N/A,#N/A,FALSE,"단축3";#N/A,#N/A,FALSE,"장축";#N/A,#N/A,FALSE,"4WD"}</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ㅎㅅ호ㅛ" hidden="1">{#N/A,#N/A,FALSE,"KMC최종회의(7월) 자료"}</definedName>
    <definedName name="ㄴ_1" hidden="1">{#N/A,#N/A,TRUE,"양식5";#N/A,#N/A,TRUE,"양식1_2_2";#N/A,#N/A,TRUE,"양식1_1_2";#N/A,#N/A,TRUE,"양식2";#N/A,#N/A,TRUE,"양식4";#N/A,#N/A,TRUE,"양식3";#N/A,#N/A,TRUE,"양식6";#N/A,#N/A,TRUE,"양식7";#N/A,#N/A,TRUE,"양식10";#N/A,#N/A,TRUE,"양식11";#N/A,#N/A,TRUE,"양식12";#N/A,#N/A,TRUE,"양식13_1_2";#N/A,#N/A,TRUE,"양식13_2_2";#N/A,#N/A,TRUE,"양식14"}</definedName>
    <definedName name="ㄴ_1_1" hidden="1">{#N/A,#N/A,TRUE,"양식5";#N/A,#N/A,TRUE,"양식1_2_2";#N/A,#N/A,TRUE,"양식1_1_2";#N/A,#N/A,TRUE,"양식2";#N/A,#N/A,TRUE,"양식4";#N/A,#N/A,TRUE,"양식3";#N/A,#N/A,TRUE,"양식6";#N/A,#N/A,TRUE,"양식7";#N/A,#N/A,TRUE,"양식10";#N/A,#N/A,TRUE,"양식11";#N/A,#N/A,TRUE,"양식12";#N/A,#N/A,TRUE,"양식13_1_2";#N/A,#N/A,TRUE,"양식13_2_2";#N/A,#N/A,TRUE,"양식14"}</definedName>
    <definedName name="ㄴ_2" hidden="1">{#N/A,#N/A,TRUE,"양식5";#N/A,#N/A,TRUE,"양식1_2_2";#N/A,#N/A,TRUE,"양식1_1_2";#N/A,#N/A,TRUE,"양식2";#N/A,#N/A,TRUE,"양식4";#N/A,#N/A,TRUE,"양식3";#N/A,#N/A,TRUE,"양식6";#N/A,#N/A,TRUE,"양식7";#N/A,#N/A,TRUE,"양식10";#N/A,#N/A,TRUE,"양식11";#N/A,#N/A,TRUE,"양식12";#N/A,#N/A,TRUE,"양식13_1_2";#N/A,#N/A,TRUE,"양식13_2_2";#N/A,#N/A,TRUE,"양식14"}</definedName>
    <definedName name="ㄴ_2_1" hidden="1">{#N/A,#N/A,TRUE,"양식5";#N/A,#N/A,TRUE,"양식1_2_2";#N/A,#N/A,TRUE,"양식1_1_2";#N/A,#N/A,TRUE,"양식2";#N/A,#N/A,TRUE,"양식4";#N/A,#N/A,TRUE,"양식3";#N/A,#N/A,TRUE,"양식6";#N/A,#N/A,TRUE,"양식7";#N/A,#N/A,TRUE,"양식10";#N/A,#N/A,TRUE,"양식11";#N/A,#N/A,TRUE,"양식12";#N/A,#N/A,TRUE,"양식13_1_2";#N/A,#N/A,TRUE,"양식13_2_2";#N/A,#N/A,TRUE,"양식14"}</definedName>
    <definedName name="ㄴ_3" hidden="1">{#N/A,#N/A,TRUE,"양식5";#N/A,#N/A,TRUE,"양식1_2_2";#N/A,#N/A,TRUE,"양식1_1_2";#N/A,#N/A,TRUE,"양식2";#N/A,#N/A,TRUE,"양식4";#N/A,#N/A,TRUE,"양식3";#N/A,#N/A,TRUE,"양식6";#N/A,#N/A,TRUE,"양식7";#N/A,#N/A,TRUE,"양식10";#N/A,#N/A,TRUE,"양식11";#N/A,#N/A,TRUE,"양식12";#N/A,#N/A,TRUE,"양식13_1_2";#N/A,#N/A,TRUE,"양식13_2_2";#N/A,#N/A,TRUE,"양식14"}</definedName>
    <definedName name="ㄴ_3_1" hidden="1">{#N/A,#N/A,TRUE,"양식5";#N/A,#N/A,TRUE,"양식1_2_2";#N/A,#N/A,TRUE,"양식1_1_2";#N/A,#N/A,TRUE,"양식2";#N/A,#N/A,TRUE,"양식4";#N/A,#N/A,TRUE,"양식3";#N/A,#N/A,TRUE,"양식6";#N/A,#N/A,TRUE,"양식7";#N/A,#N/A,TRUE,"양식10";#N/A,#N/A,TRUE,"양식11";#N/A,#N/A,TRUE,"양식12";#N/A,#N/A,TRUE,"양식13_1_2";#N/A,#N/A,TRUE,"양식13_2_2";#N/A,#N/A,TRUE,"양식14"}</definedName>
    <definedName name="ㄴ_4" hidden="1">{#N/A,#N/A,TRUE,"양식5";#N/A,#N/A,TRUE,"양식1_2_2";#N/A,#N/A,TRUE,"양식1_1_2";#N/A,#N/A,TRUE,"양식2";#N/A,#N/A,TRUE,"양식4";#N/A,#N/A,TRUE,"양식3";#N/A,#N/A,TRUE,"양식6";#N/A,#N/A,TRUE,"양식7";#N/A,#N/A,TRUE,"양식10";#N/A,#N/A,TRUE,"양식11";#N/A,#N/A,TRUE,"양식12";#N/A,#N/A,TRUE,"양식13_1_2";#N/A,#N/A,TRUE,"양식13_2_2";#N/A,#N/A,TRUE,"양식14"}</definedName>
    <definedName name="ㄴ_4_1" hidden="1">{#N/A,#N/A,TRUE,"양식5";#N/A,#N/A,TRUE,"양식1_2_2";#N/A,#N/A,TRUE,"양식1_1_2";#N/A,#N/A,TRUE,"양식2";#N/A,#N/A,TRUE,"양식4";#N/A,#N/A,TRUE,"양식3";#N/A,#N/A,TRUE,"양식6";#N/A,#N/A,TRUE,"양식7";#N/A,#N/A,TRUE,"양식10";#N/A,#N/A,TRUE,"양식11";#N/A,#N/A,TRUE,"양식12";#N/A,#N/A,TRUE,"양식13_1_2";#N/A,#N/A,TRUE,"양식13_2_2";#N/A,#N/A,TRUE,"양식14"}</definedName>
    <definedName name="ㄴ_5" hidden="1">{#N/A,#N/A,TRUE,"양식5";#N/A,#N/A,TRUE,"양식1_2_2";#N/A,#N/A,TRUE,"양식1_1_2";#N/A,#N/A,TRUE,"양식2";#N/A,#N/A,TRUE,"양식4";#N/A,#N/A,TRUE,"양식3";#N/A,#N/A,TRUE,"양식6";#N/A,#N/A,TRUE,"양식7";#N/A,#N/A,TRUE,"양식10";#N/A,#N/A,TRUE,"양식11";#N/A,#N/A,TRUE,"양식12";#N/A,#N/A,TRUE,"양식13_1_2";#N/A,#N/A,TRUE,"양식13_2_2";#N/A,#N/A,TRUE,"양식14"}</definedName>
    <definedName name="ㄴ_5_1" hidden="1">{#N/A,#N/A,TRUE,"양식5";#N/A,#N/A,TRUE,"양식1_2_2";#N/A,#N/A,TRUE,"양식1_1_2";#N/A,#N/A,TRUE,"양식2";#N/A,#N/A,TRUE,"양식4";#N/A,#N/A,TRUE,"양식3";#N/A,#N/A,TRUE,"양식6";#N/A,#N/A,TRUE,"양식7";#N/A,#N/A,TRUE,"양식10";#N/A,#N/A,TRUE,"양식11";#N/A,#N/A,TRUE,"양식12";#N/A,#N/A,TRUE,"양식13_1_2";#N/A,#N/A,TRUE,"양식13_2_2";#N/A,#N/A,TRUE,"양식14"}</definedName>
    <definedName name="ㄴ1" hidden="1">{#N/A,#N/A,FALSE,"KMC최종회의(7월) 자료"}</definedName>
    <definedName name="ㄴㄴ_1" hidden="1">{#N/A,#N/A,TRUE,"양식5";#N/A,#N/A,TRUE,"양식1_2_2";#N/A,#N/A,TRUE,"양식1_1_2";#N/A,#N/A,TRUE,"양식2";#N/A,#N/A,TRUE,"양식4";#N/A,#N/A,TRUE,"양식3";#N/A,#N/A,TRUE,"양식6";#N/A,#N/A,TRUE,"양식7";#N/A,#N/A,TRUE,"양식10";#N/A,#N/A,TRUE,"양식11";#N/A,#N/A,TRUE,"양식12";#N/A,#N/A,TRUE,"양식13_1_2";#N/A,#N/A,TRUE,"양식13_2_2";#N/A,#N/A,TRUE,"양식14"}</definedName>
    <definedName name="ㄴㄴ_1_1" hidden="1">{#N/A,#N/A,TRUE,"양식5";#N/A,#N/A,TRUE,"양식1_2_2";#N/A,#N/A,TRUE,"양식1_1_2";#N/A,#N/A,TRUE,"양식2";#N/A,#N/A,TRUE,"양식4";#N/A,#N/A,TRUE,"양식3";#N/A,#N/A,TRUE,"양식6";#N/A,#N/A,TRUE,"양식7";#N/A,#N/A,TRUE,"양식10";#N/A,#N/A,TRUE,"양식11";#N/A,#N/A,TRUE,"양식12";#N/A,#N/A,TRUE,"양식13_1_2";#N/A,#N/A,TRUE,"양식13_2_2";#N/A,#N/A,TRUE,"양식14"}</definedName>
    <definedName name="ㄴㄴ_2" hidden="1">{#N/A,#N/A,TRUE,"양식5";#N/A,#N/A,TRUE,"양식1_2_2";#N/A,#N/A,TRUE,"양식1_1_2";#N/A,#N/A,TRUE,"양식2";#N/A,#N/A,TRUE,"양식4";#N/A,#N/A,TRUE,"양식3";#N/A,#N/A,TRUE,"양식6";#N/A,#N/A,TRUE,"양식7";#N/A,#N/A,TRUE,"양식10";#N/A,#N/A,TRUE,"양식11";#N/A,#N/A,TRUE,"양식12";#N/A,#N/A,TRUE,"양식13_1_2";#N/A,#N/A,TRUE,"양식13_2_2";#N/A,#N/A,TRUE,"양식14"}</definedName>
    <definedName name="ㄴㄴ_2_1" hidden="1">{#N/A,#N/A,TRUE,"양식5";#N/A,#N/A,TRUE,"양식1_2_2";#N/A,#N/A,TRUE,"양식1_1_2";#N/A,#N/A,TRUE,"양식2";#N/A,#N/A,TRUE,"양식4";#N/A,#N/A,TRUE,"양식3";#N/A,#N/A,TRUE,"양식6";#N/A,#N/A,TRUE,"양식7";#N/A,#N/A,TRUE,"양식10";#N/A,#N/A,TRUE,"양식11";#N/A,#N/A,TRUE,"양식12";#N/A,#N/A,TRUE,"양식13_1_2";#N/A,#N/A,TRUE,"양식13_2_2";#N/A,#N/A,TRUE,"양식14"}</definedName>
    <definedName name="ㄴㄴ_3" hidden="1">{#N/A,#N/A,TRUE,"양식5";#N/A,#N/A,TRUE,"양식1_2_2";#N/A,#N/A,TRUE,"양식1_1_2";#N/A,#N/A,TRUE,"양식2";#N/A,#N/A,TRUE,"양식4";#N/A,#N/A,TRUE,"양식3";#N/A,#N/A,TRUE,"양식6";#N/A,#N/A,TRUE,"양식7";#N/A,#N/A,TRUE,"양식10";#N/A,#N/A,TRUE,"양식11";#N/A,#N/A,TRUE,"양식12";#N/A,#N/A,TRUE,"양식13_1_2";#N/A,#N/A,TRUE,"양식13_2_2";#N/A,#N/A,TRUE,"양식14"}</definedName>
    <definedName name="ㄴㄴ_3_1" hidden="1">{#N/A,#N/A,TRUE,"양식5";#N/A,#N/A,TRUE,"양식1_2_2";#N/A,#N/A,TRUE,"양식1_1_2";#N/A,#N/A,TRUE,"양식2";#N/A,#N/A,TRUE,"양식4";#N/A,#N/A,TRUE,"양식3";#N/A,#N/A,TRUE,"양식6";#N/A,#N/A,TRUE,"양식7";#N/A,#N/A,TRUE,"양식10";#N/A,#N/A,TRUE,"양식11";#N/A,#N/A,TRUE,"양식12";#N/A,#N/A,TRUE,"양식13_1_2";#N/A,#N/A,TRUE,"양식13_2_2";#N/A,#N/A,TRUE,"양식14"}</definedName>
    <definedName name="ㄴㄴ_4" hidden="1">{#N/A,#N/A,TRUE,"양식5";#N/A,#N/A,TRUE,"양식1_2_2";#N/A,#N/A,TRUE,"양식1_1_2";#N/A,#N/A,TRUE,"양식2";#N/A,#N/A,TRUE,"양식4";#N/A,#N/A,TRUE,"양식3";#N/A,#N/A,TRUE,"양식6";#N/A,#N/A,TRUE,"양식7";#N/A,#N/A,TRUE,"양식10";#N/A,#N/A,TRUE,"양식11";#N/A,#N/A,TRUE,"양식12";#N/A,#N/A,TRUE,"양식13_1_2";#N/A,#N/A,TRUE,"양식13_2_2";#N/A,#N/A,TRUE,"양식14"}</definedName>
    <definedName name="ㄴㄴ_4_1" hidden="1">{#N/A,#N/A,TRUE,"양식5";#N/A,#N/A,TRUE,"양식1_2_2";#N/A,#N/A,TRUE,"양식1_1_2";#N/A,#N/A,TRUE,"양식2";#N/A,#N/A,TRUE,"양식4";#N/A,#N/A,TRUE,"양식3";#N/A,#N/A,TRUE,"양식6";#N/A,#N/A,TRUE,"양식7";#N/A,#N/A,TRUE,"양식10";#N/A,#N/A,TRUE,"양식11";#N/A,#N/A,TRUE,"양식12";#N/A,#N/A,TRUE,"양식13_1_2";#N/A,#N/A,TRUE,"양식13_2_2";#N/A,#N/A,TRUE,"양식14"}</definedName>
    <definedName name="ㄴㄴ_5" hidden="1">{#N/A,#N/A,TRUE,"양식5";#N/A,#N/A,TRUE,"양식1_2_2";#N/A,#N/A,TRUE,"양식1_1_2";#N/A,#N/A,TRUE,"양식2";#N/A,#N/A,TRUE,"양식4";#N/A,#N/A,TRUE,"양식3";#N/A,#N/A,TRUE,"양식6";#N/A,#N/A,TRUE,"양식7";#N/A,#N/A,TRUE,"양식10";#N/A,#N/A,TRUE,"양식11";#N/A,#N/A,TRUE,"양식12";#N/A,#N/A,TRUE,"양식13_1_2";#N/A,#N/A,TRUE,"양식13_2_2";#N/A,#N/A,TRUE,"양식14"}</definedName>
    <definedName name="ㄴㄴ_5_1" hidden="1">{#N/A,#N/A,TRUE,"양식5";#N/A,#N/A,TRUE,"양식1_2_2";#N/A,#N/A,TRUE,"양식1_1_2";#N/A,#N/A,TRUE,"양식2";#N/A,#N/A,TRUE,"양식4";#N/A,#N/A,TRUE,"양식3";#N/A,#N/A,TRUE,"양식6";#N/A,#N/A,TRUE,"양식7";#N/A,#N/A,TRUE,"양식10";#N/A,#N/A,TRUE,"양식11";#N/A,#N/A,TRUE,"양식12";#N/A,#N/A,TRUE,"양식13_1_2";#N/A,#N/A,TRUE,"양식13_2_2";#N/A,#N/A,TRUE,"양식14"}</definedName>
    <definedName name="ㄴㄴㄴ" hidden="1">{#N/A,#N/A,FALSE,"단축1";#N/A,#N/A,FALSE,"단축2";#N/A,#N/A,FALSE,"단축3";#N/A,#N/A,FALSE,"장축";#N/A,#N/A,FALSE,"4WD"}</definedName>
    <definedName name="ㄴㄴㄴㄴ" hidden="1">{#N/A,#N/A,FALSE,"KMC최종회의(7월) 자료"}</definedName>
    <definedName name="ㄴㄴㄴㄴㄴ" hidden="1">{"'7'!$B$15:$D$32"}</definedName>
    <definedName name="ㄴㄴㄴㄴㄴㄴㄴ" hidden="1">{"'7'!$B$15:$D$32"}</definedName>
    <definedName name="ㄴㄴㅁㄴㅁㅇㅁㄴ" hidden="1">{"'7'!$B$15:$D$32"}</definedName>
    <definedName name="ㄴㄷ더"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ㄴㅁㅇ" hidden="1">{"'7'!$B$15:$D$32"}</definedName>
    <definedName name="ㄴㅁㄹ" hidden="1">{#N/A,#N/A,FALSE,"단축1";#N/A,#N/A,FALSE,"단축2";#N/A,#N/A,FALSE,"단축3";#N/A,#N/A,FALSE,"장축";#N/A,#N/A,FALSE,"4WD"}</definedName>
    <definedName name="ㄴㅁㄻㄹ" hidden="1">{#N/A,#N/A,FALSE,"정공"}</definedName>
    <definedName name="ㄴㅁㅇㄹ" hidden="1">{#N/A,#N/A,FALSE,"미판매분"}</definedName>
    <definedName name="ㄴㅁㅇㅎㅇ롱로" hidden="1">#REF!</definedName>
    <definedName name="ㄴㅂ" hidden="1">{#N/A,#N/A,FALSE,"미판매분"}</definedName>
    <definedName name="ㄴㅅ고" hidden="1">{#N/A,#N/A,TRUE,"Y생산";#N/A,#N/A,TRUE,"Y판매";#N/A,#N/A,TRUE,"Y총물량";#N/A,#N/A,TRUE,"Y능력";#N/A,#N/A,TRUE,"YKD"}</definedName>
    <definedName name="ㄴㅇ" hidden="1">{"EXPORT",#N/A,FALSE,"A8CONTENT"}</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{#N/A,#N/A,FALSE,"KMC최종회의(7월) 자료"}</definedName>
    <definedName name="ㄴㅇㄹㄴㅇㅀㅎ" hidden="1">{#N/A,#N/A,FALSE,"KMC최종회의(7월) 자료"}</definedName>
    <definedName name="ㄴㅇㄹㅇㄴㄹ" hidden="1">{#N/A,#N/A,FALSE,"단축1";#N/A,#N/A,FALSE,"단축2";#N/A,#N/A,FALSE,"단축3";#N/A,#N/A,FALSE,"장축";#N/A,#N/A,FALSE,"4WD"}</definedName>
    <definedName name="ㄴㅇ류" hidden="1">{#N/A,#N/A,FALSE,"96 3월물량표";#N/A,#N/A,FALSE,"96 4월물량표";#N/A,#N/A,FALSE,"96 5월물량표"}</definedName>
    <definedName name="ㄴㅇㄻㄴ" hidden="1">{#N/A,#N/A,FALSE,"Status";#N/A,#N/A,FALSE,"Deckblatt 1";#N/A,#N/A,FALSE,"Deckblatt2"}</definedName>
    <definedName name="ㄴㅇㅀ" hidden="1">{#N/A,#N/A,FALSE,"96 3월물량표";#N/A,#N/A,FALSE,"96 4월물량표";#N/A,#N/A,FALSE,"96 5월물량표"}</definedName>
    <definedName name="ㄴㅇㅀㅁㅇㅎㄴㅇㅁㅀㅇㅀㄴㅇㅀ" hidden="1">{#N/A,#N/A,FALSE,"정공"}</definedName>
    <definedName name="ㄴㅇㅁㄹ" hidden="1">{#N/A,#N/A,FALSE,"미판매분"}</definedName>
    <definedName name="ㄴㅇㅁㄻㄴㅇㄻㅀ먕놀ㄴㅁ아ㅣㄹㅇㄴ" hidden="1">#REF!</definedName>
    <definedName name="ㄴㅇㅁㅀㅎㄹㄴㅇㅎ" hidden="1">{#N/A,#N/A,FALSE,"KMC최종회의(7월) 자료"}</definedName>
    <definedName name="ㄴㅇㅇㅇㅇ" hidden="1">{#N/A,#N/A,FALSE,"정공"}</definedName>
    <definedName name="ㄴㅇㅊㄹㄴㅇㄹ" hidden="1">{#N/A,#N/A,FALSE,"단축1";#N/A,#N/A,FALSE,"단축2";#N/A,#N/A,FALSE,"단축3";#N/A,#N/A,FALSE,"장축";#N/A,#N/A,FALSE,"4WD"}</definedName>
    <definedName name="ㄴㅇㅍㅇㅀ호" hidden="1">{#N/A,#N/A,FALSE,"KMC최종회의(7월) 자료"}</definedName>
    <definedName name="ㄴㅇㅎㄹㄴㅇㄹㅇㅋㅌㄹㅈ" hidden="1">{#N/A,#N/A,FALSE,"KMC최종회의(7월) 자료"}</definedName>
    <definedName name="ㄴㅇ허ㅔㅇ" hidden="1">{#N/A,#N/A,FALSE,"KMC최종회의(7월) 자료"}</definedName>
    <definedName name="ㄴㅋ" hidden="1">{#N/A,#N/A,FALSE,"단축1";#N/A,#N/A,FALSE,"단축2";#N/A,#N/A,FALSE,"단축3";#N/A,#N/A,FALSE,"장축";#N/A,#N/A,FALSE,"4WD"}</definedName>
    <definedName name="ㄴㅍㅇㅁ" hidden="1">{#N/A,#N/A,FALSE,"미판매분"}</definedName>
    <definedName name="ㄴ호ㅓㅕㅅ" hidden="1">{#N/A,#N/A,FALSE,"단축1";#N/A,#N/A,FALSE,"단축2";#N/A,#N/A,FALSE,"단축3";#N/A,#N/A,FALSE,"장축";#N/A,#N/A,FALSE,"4WD"}</definedName>
    <definedName name="나가" hidden="1">{#N/A,#N/A,TRUE,"Y생산";#N/A,#N/A,TRUE,"Y판매";#N/A,#N/A,TRUE,"Y총물량";#N/A,#N/A,TRUE,"Y능력";#N/A,#N/A,TRUE,"YKD"}</definedName>
    <definedName name="나가라" hidden="1">{#N/A,#N/A,TRUE,"Y생산";#N/A,#N/A,TRUE,"Y판매";#N/A,#N/A,TRUE,"Y총물량";#N/A,#N/A,TRUE,"Y능력";#N/A,#N/A,TRUE,"YKD"}</definedName>
    <definedName name="나나" hidden="1">{#N/A,#N/A,FALSE,"단축1";#N/A,#N/A,FALSE,"단축2";#N/A,#N/A,FALSE,"단축3";#N/A,#N/A,FALSE,"장축";#N/A,#N/A,FALSE,"4WD"}</definedName>
    <definedName name="나나나ㅏ난" hidden="1">{"'5'!$A$1:$BB$147"}</definedName>
    <definedName name="나나아ㅓㅇㅇ" hidden="1">{#N/A,#N/A,FALSE,"정공"}</definedName>
    <definedName name="나라_1" hidden="1">{#N/A,#N/A,FALSE,"DAOCM 2차 검토"}</definedName>
    <definedName name="나라_1_1" hidden="1">{#N/A,#N/A,FALSE,"DAOCM 2차 검토"}</definedName>
    <definedName name="나라_2" hidden="1">{#N/A,#N/A,FALSE,"DAOCM 2차 검토"}</definedName>
    <definedName name="나라_2_1" hidden="1">{#N/A,#N/A,FALSE,"DAOCM 2차 검토"}</definedName>
    <definedName name="나라_3" hidden="1">{#N/A,#N/A,FALSE,"DAOCM 2차 검토"}</definedName>
    <definedName name="나라_3_1" hidden="1">{#N/A,#N/A,FALSE,"DAOCM 2차 검토"}</definedName>
    <definedName name="나라_4" hidden="1">{#N/A,#N/A,FALSE,"DAOCM 2차 검토"}</definedName>
    <definedName name="나라_4_1" hidden="1">{#N/A,#N/A,FALSE,"DAOCM 2차 검토"}</definedName>
    <definedName name="나라_5" hidden="1">{#N/A,#N/A,FALSE,"DAOCM 2차 검토"}</definedName>
    <definedName name="나라_5_1" hidden="1">{#N/A,#N/A,FALSE,"DAOCM 2차 검토"}</definedName>
    <definedName name="나라사랑" hidden="1">{#N/A,#N/A,FALSE,"정공"}</definedName>
    <definedName name="나무라오" hidden="1">{#N/A,#N/A,FALSE,"정공"}</definedName>
    <definedName name="나오너라" hidden="1">{#N/A,#N/A,FALSE,"정공"}</definedName>
    <definedName name="나오아" hidden="1">{#N/A,#N/A,FALSE,"정공"}</definedName>
    <definedName name="낙규" hidden="1">{"'5'!$A$1:$BB$147"}</definedName>
    <definedName name="남의나라" hidden="1">{#N/A,#N/A,FALSE,"정공"}</definedName>
    <definedName name="내구재" hidden="1">{"'5'!$A$1:$BB$147"}</definedName>
    <definedName name="내역분석" hidden="1">{#N/A,#N/A,FALSE,"을지 (4)";#N/A,#N/A,FALSE,"을지 (5)";#N/A,#N/A,FALSE,"을지 (6)"}</definedName>
    <definedName name="내용11" hidden="1">{#N/A,#N/A,FALSE,"단축1";#N/A,#N/A,FALSE,"단축2";#N/A,#N/A,FALSE,"단축3";#N/A,#N/A,FALSE,"장축";#N/A,#N/A,FALSE,"4WD"}</definedName>
    <definedName name="내용3" hidden="1">{#N/A,#N/A,FALSE,"KMC최종회의(7월) 자료"}</definedName>
    <definedName name="내장3" hidden="1">{#N/A,#N/A,FALSE,"단축1";#N/A,#N/A,FALSE,"단축2";#N/A,#N/A,FALSE,"단축3";#N/A,#N/A,FALSE,"장축";#N/A,#N/A,FALSE,"4WD"}</definedName>
    <definedName name="내ㅜㅁㅅㅁ" hidden="1">{#N/A,#N/A,FALSE,"해외크레임";#N/A,#N/A,FALSE,"ACCENT현황";#N/A,#N/A,FALSE,"AVANTE";#N/A,#N/A,FALSE,"SONATA(3)";#N/A,#N/A,FALSE,"국내크레임"}</definedName>
    <definedName name="냉각" hidden="1">{#N/A,#N/A,FALSE,"단축1";#N/A,#N/A,FALSE,"단축2";#N/A,#N/A,FALSE,"단축3";#N/A,#N/A,FALSE,"장축";#N/A,#N/A,FALSE,"4WD"}</definedName>
    <definedName name="너" hidden="1">{#N/A,#N/A,TRUE,"Y생산";#N/A,#N/A,TRUE,"Y판매";#N/A,#N/A,TRUE,"Y총물량";#N/A,#N/A,TRUE,"Y능력";#N/A,#N/A,TRUE,"YKD"}</definedName>
    <definedName name="년간전망" hidden="1">{#N/A,#N/A,FALSE,"KMC최종회의(7월) 자료"}</definedName>
    <definedName name="년간종합2" hidden="1">{#N/A,#N/A,FALSE,"KMC최종회의(7월) 자료"}</definedName>
    <definedName name="년도별판매목표" hidden="1">{#N/A,#N/A,FALSE,"정공"}</definedName>
    <definedName name="노" hidden="1">{#N/A,#N/A,FALSE,"KMC최종회의(7월) 자료"}</definedName>
    <definedName name="노1" hidden="1">{#N/A,#N/A,FALSE,"KMC최종회의(7월) 자료"}</definedName>
    <definedName name="노래" hidden="1">{#N/A,#N/A,FALSE,"KMC최종회의(7월) 자료"}</definedName>
    <definedName name="노무" hidden="1">{#N/A,#N/A,FALSE,"KMC최종회의(7월) 자료"}</definedName>
    <definedName name="노무비" hidden="1">{#N/A,#N/A,FALSE,"KMC최종회의(7월) 자료"}</definedName>
    <definedName name="노무비월" hidden="1">{#N/A,#N/A,FALSE,"KMC최종회의(7월) 자료"}</definedName>
    <definedName name="녿대" hidden="1">{#N/A,#N/A,FALSE,"단축1";#N/A,#N/A,FALSE,"단축2";#N/A,#N/A,FALSE,"단축3";#N/A,#N/A,FALSE,"장축";#N/A,#N/A,FALSE,"4WD"}</definedName>
    <definedName name="누계목표" hidden="1">{#N/A,#N/A,FALSE,"정공"}</definedName>
    <definedName name="누계카피" hidden="1">{#N/A,#N/A,FALSE,"정공"}</definedName>
    <definedName name="뉴스" hidden="1">{#N/A,#N/A,FALSE,"KMC최종회의(7월) 자료"}</definedName>
    <definedName name="느김" hidden="1">{#N/A,#N/A,TRUE,"Y생산";#N/A,#N/A,TRUE,"Y판매";#N/A,#N/A,TRUE,"Y총물량";#N/A,#N/A,TRUE,"Y능력";#N/A,#N/A,TRUE,"YKD"}</definedName>
    <definedName name="느는" hidden="1">{#N/A,#N/A,FALSE,"KMC최종회의(7월) 자료"}</definedName>
    <definedName name="니기미" hidden="1">{#N/A,#N/A,TRUE,"Y생산";#N/A,#N/A,TRUE,"Y판매";#N/A,#N/A,TRUE,"Y총물량";#N/A,#N/A,TRUE,"Y능력";#N/A,#N/A,TRUE,"YKD"}</definedName>
    <definedName name="니니" hidden="1">{#N/A,#N/A,FALSE,"신규dep";#N/A,#N/A,FALSE,"신규dep-금형상각후";#N/A,#N/A,FALSE,"신규dep-연구비상각후";#N/A,#N/A,FALSE,"신규dep-기계,공구상각후"}</definedName>
    <definedName name="닝니" hidden="1">{#N/A,#N/A,FALSE,"´UA";#N/A,#N/A,FALSE,"´UA";#N/A,#N/A,FALSE,"´UA";#N/A,#N/A,FALSE,"Aa";#N/A,#N/A,FALSE,"4WD"}</definedName>
    <definedName name="닝잉" hidden="1">{#N/A,#N/A,TRUE,"Y생산";#N/A,#N/A,TRUE,"Y판매";#N/A,#N/A,TRUE,"Y총물량";#N/A,#N/A,TRUE,"Y능력";#N/A,#N/A,TRUE,"YKD"}</definedName>
    <definedName name="ㄵㄴ" hidden="1">{#N/A,#N/A,FALSE,"미판매분"}</definedName>
    <definedName name="ㄵㄷㄱ" hidden="1">{#N/A,#N/A,TRUE,"양식5";#N/A,#N/A,TRUE,"양식1_2_2";#N/A,#N/A,TRUE,"양식1_1_2";#N/A,#N/A,TRUE,"양식2";#N/A,#N/A,TRUE,"양식4";#N/A,#N/A,TRUE,"양식3";#N/A,#N/A,TRUE,"양식6";#N/A,#N/A,TRUE,"양식7";#N/A,#N/A,TRUE,"양식10";#N/A,#N/A,TRUE,"양식11";#N/A,#N/A,TRUE,"양식12";#N/A,#N/A,TRUE,"양식13_1_2";#N/A,#N/A,TRUE,"양식13_2_2";#N/A,#N/A,TRUE,"양식14"}</definedName>
    <definedName name="ㄶㅇ노ㅗㄶ호" hidden="1">{#N/A,#N/A,FALSE,"REPORT"}</definedName>
    <definedName name="ㄷ_1" hidden="1">{#N/A,#N/A,TRUE,"양식5";#N/A,#N/A,TRUE,"양식1_2_2";#N/A,#N/A,TRUE,"양식1_1_2";#N/A,#N/A,TRUE,"양식2";#N/A,#N/A,TRUE,"양식4";#N/A,#N/A,TRUE,"양식3";#N/A,#N/A,TRUE,"양식6";#N/A,#N/A,TRUE,"양식7";#N/A,#N/A,TRUE,"양식10";#N/A,#N/A,TRUE,"양식11";#N/A,#N/A,TRUE,"양식12";#N/A,#N/A,TRUE,"양식13_1_2";#N/A,#N/A,TRUE,"양식13_2_2";#N/A,#N/A,TRUE,"양식14"}</definedName>
    <definedName name="ㄷ_1_1" hidden="1">{#N/A,#N/A,TRUE,"양식5";#N/A,#N/A,TRUE,"양식1_2_2";#N/A,#N/A,TRUE,"양식1_1_2";#N/A,#N/A,TRUE,"양식2";#N/A,#N/A,TRUE,"양식4";#N/A,#N/A,TRUE,"양식3";#N/A,#N/A,TRUE,"양식6";#N/A,#N/A,TRUE,"양식7";#N/A,#N/A,TRUE,"양식10";#N/A,#N/A,TRUE,"양식11";#N/A,#N/A,TRUE,"양식12";#N/A,#N/A,TRUE,"양식13_1_2";#N/A,#N/A,TRUE,"양식13_2_2";#N/A,#N/A,TRUE,"양식14"}</definedName>
    <definedName name="ㄷ_2" hidden="1">{#N/A,#N/A,TRUE,"양식5";#N/A,#N/A,TRUE,"양식1_2_2";#N/A,#N/A,TRUE,"양식1_1_2";#N/A,#N/A,TRUE,"양식2";#N/A,#N/A,TRUE,"양식4";#N/A,#N/A,TRUE,"양식3";#N/A,#N/A,TRUE,"양식6";#N/A,#N/A,TRUE,"양식7";#N/A,#N/A,TRUE,"양식10";#N/A,#N/A,TRUE,"양식11";#N/A,#N/A,TRUE,"양식12";#N/A,#N/A,TRUE,"양식13_1_2";#N/A,#N/A,TRUE,"양식13_2_2";#N/A,#N/A,TRUE,"양식14"}</definedName>
    <definedName name="ㄷ_2_1" hidden="1">{#N/A,#N/A,TRUE,"양식5";#N/A,#N/A,TRUE,"양식1_2_2";#N/A,#N/A,TRUE,"양식1_1_2";#N/A,#N/A,TRUE,"양식2";#N/A,#N/A,TRUE,"양식4";#N/A,#N/A,TRUE,"양식3";#N/A,#N/A,TRUE,"양식6";#N/A,#N/A,TRUE,"양식7";#N/A,#N/A,TRUE,"양식10";#N/A,#N/A,TRUE,"양식11";#N/A,#N/A,TRUE,"양식12";#N/A,#N/A,TRUE,"양식13_1_2";#N/A,#N/A,TRUE,"양식13_2_2";#N/A,#N/A,TRUE,"양식14"}</definedName>
    <definedName name="ㄷ_3" hidden="1">{#N/A,#N/A,TRUE,"양식5";#N/A,#N/A,TRUE,"양식1_2_2";#N/A,#N/A,TRUE,"양식1_1_2";#N/A,#N/A,TRUE,"양식2";#N/A,#N/A,TRUE,"양식4";#N/A,#N/A,TRUE,"양식3";#N/A,#N/A,TRUE,"양식6";#N/A,#N/A,TRUE,"양식7";#N/A,#N/A,TRUE,"양식10";#N/A,#N/A,TRUE,"양식11";#N/A,#N/A,TRUE,"양식12";#N/A,#N/A,TRUE,"양식13_1_2";#N/A,#N/A,TRUE,"양식13_2_2";#N/A,#N/A,TRUE,"양식14"}</definedName>
    <definedName name="ㄷ_3_1" hidden="1">{#N/A,#N/A,TRUE,"양식5";#N/A,#N/A,TRUE,"양식1_2_2";#N/A,#N/A,TRUE,"양식1_1_2";#N/A,#N/A,TRUE,"양식2";#N/A,#N/A,TRUE,"양식4";#N/A,#N/A,TRUE,"양식3";#N/A,#N/A,TRUE,"양식6";#N/A,#N/A,TRUE,"양식7";#N/A,#N/A,TRUE,"양식10";#N/A,#N/A,TRUE,"양식11";#N/A,#N/A,TRUE,"양식12";#N/A,#N/A,TRUE,"양식13_1_2";#N/A,#N/A,TRUE,"양식13_2_2";#N/A,#N/A,TRUE,"양식14"}</definedName>
    <definedName name="ㄷ_4" hidden="1">{#N/A,#N/A,TRUE,"양식5";#N/A,#N/A,TRUE,"양식1_2_2";#N/A,#N/A,TRUE,"양식1_1_2";#N/A,#N/A,TRUE,"양식2";#N/A,#N/A,TRUE,"양식4";#N/A,#N/A,TRUE,"양식3";#N/A,#N/A,TRUE,"양식6";#N/A,#N/A,TRUE,"양식7";#N/A,#N/A,TRUE,"양식10";#N/A,#N/A,TRUE,"양식11";#N/A,#N/A,TRUE,"양식12";#N/A,#N/A,TRUE,"양식13_1_2";#N/A,#N/A,TRUE,"양식13_2_2";#N/A,#N/A,TRUE,"양식14"}</definedName>
    <definedName name="ㄷ_4_1" hidden="1">{#N/A,#N/A,TRUE,"양식5";#N/A,#N/A,TRUE,"양식1_2_2";#N/A,#N/A,TRUE,"양식1_1_2";#N/A,#N/A,TRUE,"양식2";#N/A,#N/A,TRUE,"양식4";#N/A,#N/A,TRUE,"양식3";#N/A,#N/A,TRUE,"양식6";#N/A,#N/A,TRUE,"양식7";#N/A,#N/A,TRUE,"양식10";#N/A,#N/A,TRUE,"양식11";#N/A,#N/A,TRUE,"양식12";#N/A,#N/A,TRUE,"양식13_1_2";#N/A,#N/A,TRUE,"양식13_2_2";#N/A,#N/A,TRUE,"양식14"}</definedName>
    <definedName name="ㄷ_5" hidden="1">{#N/A,#N/A,TRUE,"양식5";#N/A,#N/A,TRUE,"양식1_2_2";#N/A,#N/A,TRUE,"양식1_1_2";#N/A,#N/A,TRUE,"양식2";#N/A,#N/A,TRUE,"양식4";#N/A,#N/A,TRUE,"양식3";#N/A,#N/A,TRUE,"양식6";#N/A,#N/A,TRUE,"양식7";#N/A,#N/A,TRUE,"양식10";#N/A,#N/A,TRUE,"양식11";#N/A,#N/A,TRUE,"양식12";#N/A,#N/A,TRUE,"양식13_1_2";#N/A,#N/A,TRUE,"양식13_2_2";#N/A,#N/A,TRUE,"양식14"}</definedName>
    <definedName name="ㄷ_5_1" hidden="1">{#N/A,#N/A,TRUE,"양식5";#N/A,#N/A,TRUE,"양식1_2_2";#N/A,#N/A,TRUE,"양식1_1_2";#N/A,#N/A,TRUE,"양식2";#N/A,#N/A,TRUE,"양식4";#N/A,#N/A,TRUE,"양식3";#N/A,#N/A,TRUE,"양식6";#N/A,#N/A,TRUE,"양식7";#N/A,#N/A,TRUE,"양식10";#N/A,#N/A,TRUE,"양식11";#N/A,#N/A,TRUE,"양식12";#N/A,#N/A,TRUE,"양식13_1_2";#N/A,#N/A,TRUE,"양식13_2_2";#N/A,#N/A,TRUE,"양식14"}</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ㄱ소" hidden="1">{#N/A,#N/A,TRUE,"Y생산";#N/A,#N/A,TRUE,"Y판매";#N/A,#N/A,TRUE,"Y총물량";#N/A,#N/A,TRUE,"Y능력";#N/A,#N/A,TRUE,"YKD"}</definedName>
    <definedName name="ㄷㄱㄷㄱㅎ" hidden="1">{#N/A,#N/A,FALSE,"96 3월물량표";#N/A,#N/A,FALSE,"96 4월물량표";#N/A,#N/A,FALSE,"96 5월물량표"}</definedName>
    <definedName name="ㄷㄱㄹ" hidden="1">{#N/A,#N/A,FALSE,"단축1";#N/A,#N/A,FALSE,"단축2";#N/A,#N/A,FALSE,"단축3";#N/A,#N/A,FALSE,"장축";#N/A,#N/A,FALSE,"4WD"}</definedName>
    <definedName name="ㄷㄱㄹㅇㄹ" hidden="1">{#N/A,#N/A,FALSE,"정공"}</definedName>
    <definedName name="ㄷ고" hidden="1">{#N/A,#N/A,FALSE,"96 3월물량표";#N/A,#N/A,FALSE,"96 4월물량표";#N/A,#N/A,FALSE,"96 5월물량표"}</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곳고" hidden="1">{#N/A,#N/A,TRUE,"Y생산";#N/A,#N/A,TRUE,"Y판매";#N/A,#N/A,TRUE,"Y총물량";#N/A,#N/A,TRUE,"Y능력";#N/A,#N/A,TRUE,"YKD"}</definedName>
    <definedName name="ㄷㄳ곻" hidden="1">{#N/A,#N/A,TRUE,"Y생산";#N/A,#N/A,TRUE,"Y판매";#N/A,#N/A,TRUE,"Y총물량";#N/A,#N/A,TRUE,"Y능력";#N/A,#N/A,TRUE,"YKD"}</definedName>
    <definedName name="ㄷㄳㅅ" hidden="1">{#N/A,#N/A,FALSE,"KMC최종회의(7월) 자료"}</definedName>
    <definedName name="ㄷㄴㅊ투ㅠ" hidden="1">{#N/A,#N/A,FALSE,"96 3월물량표";#N/A,#N/A,FALSE,"96 4월물량표";#N/A,#N/A,FALSE,"96 5월물량표"}</definedName>
    <definedName name="ㄷㄷ" hidden="1">{#N/A,#N/A,FALSE,"단축1";#N/A,#N/A,FALSE,"단축2";#N/A,#N/A,FALSE,"단축3";#N/A,#N/A,FALSE,"장축";#N/A,#N/A,FALSE,"4WD"}</definedName>
    <definedName name="ㄷㄷ_1" hidden="1">{#N/A,#N/A,TRUE,"양식5";#N/A,#N/A,TRUE,"양식1_2_2";#N/A,#N/A,TRUE,"양식1_1_2";#N/A,#N/A,TRUE,"양식2";#N/A,#N/A,TRUE,"양식4";#N/A,#N/A,TRUE,"양식3";#N/A,#N/A,TRUE,"양식6";#N/A,#N/A,TRUE,"양식7";#N/A,#N/A,TRUE,"양식10";#N/A,#N/A,TRUE,"양식11";#N/A,#N/A,TRUE,"양식12";#N/A,#N/A,TRUE,"양식13_1_2";#N/A,#N/A,TRUE,"양식13_2_2";#N/A,#N/A,TRUE,"양식14"}</definedName>
    <definedName name="ㄷㄷ_1_1" hidden="1">{#N/A,#N/A,TRUE,"양식5";#N/A,#N/A,TRUE,"양식1_2_2";#N/A,#N/A,TRUE,"양식1_1_2";#N/A,#N/A,TRUE,"양식2";#N/A,#N/A,TRUE,"양식4";#N/A,#N/A,TRUE,"양식3";#N/A,#N/A,TRUE,"양식6";#N/A,#N/A,TRUE,"양식7";#N/A,#N/A,TRUE,"양식10";#N/A,#N/A,TRUE,"양식11";#N/A,#N/A,TRUE,"양식12";#N/A,#N/A,TRUE,"양식13_1_2";#N/A,#N/A,TRUE,"양식13_2_2";#N/A,#N/A,TRUE,"양식14"}</definedName>
    <definedName name="ㄷㄷ_2" hidden="1">{#N/A,#N/A,TRUE,"양식5";#N/A,#N/A,TRUE,"양식1_2_2";#N/A,#N/A,TRUE,"양식1_1_2";#N/A,#N/A,TRUE,"양식2";#N/A,#N/A,TRUE,"양식4";#N/A,#N/A,TRUE,"양식3";#N/A,#N/A,TRUE,"양식6";#N/A,#N/A,TRUE,"양식7";#N/A,#N/A,TRUE,"양식10";#N/A,#N/A,TRUE,"양식11";#N/A,#N/A,TRUE,"양식12";#N/A,#N/A,TRUE,"양식13_1_2";#N/A,#N/A,TRUE,"양식13_2_2";#N/A,#N/A,TRUE,"양식14"}</definedName>
    <definedName name="ㄷㄷ_2_1" hidden="1">{#N/A,#N/A,TRUE,"양식5";#N/A,#N/A,TRUE,"양식1_2_2";#N/A,#N/A,TRUE,"양식1_1_2";#N/A,#N/A,TRUE,"양식2";#N/A,#N/A,TRUE,"양식4";#N/A,#N/A,TRUE,"양식3";#N/A,#N/A,TRUE,"양식6";#N/A,#N/A,TRUE,"양식7";#N/A,#N/A,TRUE,"양식10";#N/A,#N/A,TRUE,"양식11";#N/A,#N/A,TRUE,"양식12";#N/A,#N/A,TRUE,"양식13_1_2";#N/A,#N/A,TRUE,"양식13_2_2";#N/A,#N/A,TRUE,"양식14"}</definedName>
    <definedName name="ㄷㄷ_3" hidden="1">{#N/A,#N/A,TRUE,"양식5";#N/A,#N/A,TRUE,"양식1_2_2";#N/A,#N/A,TRUE,"양식1_1_2";#N/A,#N/A,TRUE,"양식2";#N/A,#N/A,TRUE,"양식4";#N/A,#N/A,TRUE,"양식3";#N/A,#N/A,TRUE,"양식6";#N/A,#N/A,TRUE,"양식7";#N/A,#N/A,TRUE,"양식10";#N/A,#N/A,TRUE,"양식11";#N/A,#N/A,TRUE,"양식12";#N/A,#N/A,TRUE,"양식13_1_2";#N/A,#N/A,TRUE,"양식13_2_2";#N/A,#N/A,TRUE,"양식14"}</definedName>
    <definedName name="ㄷㄷ_3_1" hidden="1">{#N/A,#N/A,TRUE,"양식5";#N/A,#N/A,TRUE,"양식1_2_2";#N/A,#N/A,TRUE,"양식1_1_2";#N/A,#N/A,TRUE,"양식2";#N/A,#N/A,TRUE,"양식4";#N/A,#N/A,TRUE,"양식3";#N/A,#N/A,TRUE,"양식6";#N/A,#N/A,TRUE,"양식7";#N/A,#N/A,TRUE,"양식10";#N/A,#N/A,TRUE,"양식11";#N/A,#N/A,TRUE,"양식12";#N/A,#N/A,TRUE,"양식13_1_2";#N/A,#N/A,TRUE,"양식13_2_2";#N/A,#N/A,TRUE,"양식14"}</definedName>
    <definedName name="ㄷㄷ_4" hidden="1">{#N/A,#N/A,TRUE,"양식5";#N/A,#N/A,TRUE,"양식1_2_2";#N/A,#N/A,TRUE,"양식1_1_2";#N/A,#N/A,TRUE,"양식2";#N/A,#N/A,TRUE,"양식4";#N/A,#N/A,TRUE,"양식3";#N/A,#N/A,TRUE,"양식6";#N/A,#N/A,TRUE,"양식7";#N/A,#N/A,TRUE,"양식10";#N/A,#N/A,TRUE,"양식11";#N/A,#N/A,TRUE,"양식12";#N/A,#N/A,TRUE,"양식13_1_2";#N/A,#N/A,TRUE,"양식13_2_2";#N/A,#N/A,TRUE,"양식14"}</definedName>
    <definedName name="ㄷㄷ_4_1" hidden="1">{#N/A,#N/A,TRUE,"양식5";#N/A,#N/A,TRUE,"양식1_2_2";#N/A,#N/A,TRUE,"양식1_1_2";#N/A,#N/A,TRUE,"양식2";#N/A,#N/A,TRUE,"양식4";#N/A,#N/A,TRUE,"양식3";#N/A,#N/A,TRUE,"양식6";#N/A,#N/A,TRUE,"양식7";#N/A,#N/A,TRUE,"양식10";#N/A,#N/A,TRUE,"양식11";#N/A,#N/A,TRUE,"양식12";#N/A,#N/A,TRUE,"양식13_1_2";#N/A,#N/A,TRUE,"양식13_2_2";#N/A,#N/A,TRUE,"양식14"}</definedName>
    <definedName name="ㄷㄷ_5" hidden="1">{#N/A,#N/A,TRUE,"양식5";#N/A,#N/A,TRUE,"양식1_2_2";#N/A,#N/A,TRUE,"양식1_1_2";#N/A,#N/A,TRUE,"양식2";#N/A,#N/A,TRUE,"양식4";#N/A,#N/A,TRUE,"양식3";#N/A,#N/A,TRUE,"양식6";#N/A,#N/A,TRUE,"양식7";#N/A,#N/A,TRUE,"양식10";#N/A,#N/A,TRUE,"양식11";#N/A,#N/A,TRUE,"양식12";#N/A,#N/A,TRUE,"양식13_1_2";#N/A,#N/A,TRUE,"양식13_2_2";#N/A,#N/A,TRUE,"양식14"}</definedName>
    <definedName name="ㄷㄷ_5_1" hidden="1">{#N/A,#N/A,TRUE,"양식5";#N/A,#N/A,TRUE,"양식1_2_2";#N/A,#N/A,TRUE,"양식1_1_2";#N/A,#N/A,TRUE,"양식2";#N/A,#N/A,TRUE,"양식4";#N/A,#N/A,TRUE,"양식3";#N/A,#N/A,TRUE,"양식6";#N/A,#N/A,TRUE,"양식7";#N/A,#N/A,TRUE,"양식10";#N/A,#N/A,TRUE,"양식11";#N/A,#N/A,TRUE,"양식12";#N/A,#N/A,TRUE,"양식13_1_2";#N/A,#N/A,TRUE,"양식13_2_2";#N/A,#N/A,TRUE,"양식14"}</definedName>
    <definedName name="ㄷㅇ" hidden="1">{#N/A,#N/A,TRUE,"Y생산";#N/A,#N/A,TRUE,"Y판매";#N/A,#N/A,TRUE,"Y총물량";#N/A,#N/A,TRUE,"Y능력";#N/A,#N/A,TRUE,"YKD"}</definedName>
    <definedName name="ㄷㅇㄹ" hidden="1">{#N/A,#N/A,FALSE,"KMC최종회의(7월) 자료"}</definedName>
    <definedName name="ㄷㅎㅅ흇ㄱ" hidden="1">{#N/A,#N/A,FALSE,"KMC최종회의(7월) 자료"}</definedName>
    <definedName name="다" hidden="1">{#N/A,#N/A,FALSE,"정공"}</definedName>
    <definedName name="다나가라" hidden="1">{#N/A,#N/A,FALSE,"단축1";#N/A,#N/A,FALSE,"단축2";#N/A,#N/A,FALSE,"단축3";#N/A,#N/A,FALSE,"장축";#N/A,#N/A,FALSE,"4WD"}</definedName>
    <definedName name="다다" hidden="1">{#N/A,#N/A,FALSE,"정공"}</definedName>
    <definedName name="다다라라다라" hidden="1">{"'5'!$A$1:$BB$147"}</definedName>
    <definedName name="다다익선" hidden="1">{#N/A,#N/A,FALSE,"정공"}</definedName>
    <definedName name="다달이" hidden="1">{#N/A,#N/A,FALSE,"정공"}</definedName>
    <definedName name="다라니경" hidden="1">{#N/A,#N/A,FALSE,"정공"}</definedName>
    <definedName name="다라니경을피우자" hidden="1">{#N/A,#N/A,FALSE,"정공"}</definedName>
    <definedName name="다라다라라" hidden="1">{"'5'!$A$1:$BB$147"}</definedName>
    <definedName name="다라라" hidden="1">{"'5'!$A$1:$BB$147"}</definedName>
    <definedName name="다라자라" hidden="1">{"'5'!$A$1:$BB$147"}</definedName>
    <definedName name="다라자라파" hidden="1">{"'5'!$A$1:$BB$147"}</definedName>
    <definedName name="다시" hidden="1">{#N/A,#N/A,FALSE,"KMC최종회의(7월) 자료"}</definedName>
    <definedName name="다시한번" hidden="1">{"'0808_월별 (2)'!$A$2:$T$28"}</definedName>
    <definedName name="단" hidden="1">{"'5'!$A$1:$BB$147"}</definedName>
    <definedName name="단가" hidden="1">{"'7'!$B$15:$D$32"}</definedName>
    <definedName name="단가기준" hidden="1">{#N/A,#N/A,TRUE,"Y생산";#N/A,#N/A,TRUE,"Y판매";#N/A,#N/A,TRUE,"Y총물량";#N/A,#N/A,TRUE,"Y능력";#N/A,#N/A,TRUE,"YKD"}</definedName>
    <definedName name="단가기준1"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말기" hidden="1">{#N/A,#N/A,FALSE,"정공"}</definedName>
    <definedName name="단말기번호" hidden="1">{#N/A,#N/A,FALSE,"정공"}</definedName>
    <definedName name="단알기" hidden="1">{#N/A,#N/A,FALSE,"정공"}</definedName>
    <definedName name="단조편성표" hidden="1">{#N/A,#N/A,FALSE,"단축1";#N/A,#N/A,FALSE,"단축2";#N/A,#N/A,FALSE,"단축3";#N/A,#N/A,FALSE,"장축";#N/A,#N/A,FALSE,"4WD"}</definedName>
    <definedName name="달성방안최신" hidden="1">{#N/A,#N/A,FALSE,"KMC최종회의(7월) 자료"}</definedName>
    <definedName name="담당별조정" hidden="1">{#N/A,#N/A,FALSE,"신규dep";#N/A,#N/A,FALSE,"신규dep-금형상각후";#N/A,#N/A,FALSE,"신규dep-연구비상각후";#N/A,#N/A,FALSE,"신규dep-기계,공구상각후"}</definedName>
    <definedName name="당분석" hidden="1">{#N/A,#N/A,FALSE,"KMC최종회의(7월) 자료"}</definedName>
    <definedName name="당초기준손이" hidden="1">{#N/A,#N/A,FALSE,"정공"}</definedName>
    <definedName name="당초대비비교표" hidden="1">{#N/A,#N/A,FALSE,"정공"}</definedName>
    <definedName name="당초손익표" hidden="1">{#N/A,#N/A,FALSE,"정공"}</definedName>
    <definedName name="대리님" hidden="1">{#N/A,#N/A,FALSE,"정공"}</definedName>
    <definedName name="대방총괄" hidden="1">{#N/A,#N/A,FALSE,"단축1";#N/A,#N/A,FALSE,"단축2";#N/A,#N/A,FALSE,"단축3";#N/A,#N/A,FALSE,"장축";#N/A,#N/A,FALSE,"4WD"}</definedName>
    <definedName name="대부" hidden="1">{#N/A,#N/A,FALSE,"단축1";#N/A,#N/A,FALSE,"단축2";#N/A,#N/A,FALSE,"단축3";#N/A,#N/A,FALSE,"장축";#N/A,#N/A,FALSE,"4WD"}</definedName>
    <definedName name="대상시트" hidden="1">{#N/A,#N/A,FALSE,"정공"}</definedName>
    <definedName name="대상차종" hidden="1">{#N/A,#N/A,TRUE,"Y생산";#N/A,#N/A,TRUE,"Y판매";#N/A,#N/A,TRUE,"Y총물량";#N/A,#N/A,TRUE,"Y능력";#N/A,#N/A,TRUE,"YKD"}</definedName>
    <definedName name="대승" hidden="1">{#N/A,#N/A,FALSE,"KMC최종회의(7월) 자료"}</definedName>
    <definedName name="대여" hidden="1">{#N/A,#N/A,FALSE,"DAOCM 2차 검토"}</definedName>
    <definedName name="대여_1" hidden="1">{#N/A,#N/A,FALSE,"DAOCM 2차 검토"}</definedName>
    <definedName name="대여_1_1" hidden="1">{#N/A,#N/A,FALSE,"DAOCM 2차 검토"}</definedName>
    <definedName name="대여_2" hidden="1">{#N/A,#N/A,FALSE,"DAOCM 2차 검토"}</definedName>
    <definedName name="대여_2_1" hidden="1">{#N/A,#N/A,FALSE,"DAOCM 2차 검토"}</definedName>
    <definedName name="대여_3" hidden="1">{#N/A,#N/A,FALSE,"DAOCM 2차 검토"}</definedName>
    <definedName name="대여_3_1" hidden="1">{#N/A,#N/A,FALSE,"DAOCM 2차 검토"}</definedName>
    <definedName name="대여_4" hidden="1">{#N/A,#N/A,FALSE,"DAOCM 2차 검토"}</definedName>
    <definedName name="대여_4_1" hidden="1">{#N/A,#N/A,FALSE,"DAOCM 2차 검토"}</definedName>
    <definedName name="대여_5" hidden="1">{#N/A,#N/A,FALSE,"DAOCM 2차 검토"}</definedName>
    <definedName name="대여_5_1" hidden="1">{#N/A,#N/A,FALSE,"DAOCM 2차 검토"}</definedName>
    <definedName name="대우" hidden="1">{#N/A,#N/A,FALSE,"정공"}</definedName>
    <definedName name="대우하세요" hidden="1">{#N/A,#N/A,FALSE,"정공"}</definedName>
    <definedName name="대책서" hidden="1">{#N/A,#N/A,FALSE,"단축1";#N/A,#N/A,FALSE,"단축2";#N/A,#N/A,FALSE,"단축3";#N/A,#N/A,FALSE,"장축";#N/A,#N/A,FALSE,"4WD"}</definedName>
    <definedName name="대책서1" hidden="1">{#N/A,#N/A,FALSE,"해외크레임";#N/A,#N/A,FALSE,"ACCENT현황";#N/A,#N/A,FALSE,"AVANTE";#N/A,#N/A,FALSE,"SONATA(3)";#N/A,#N/A,FALSE,"국내크레임"}</definedName>
    <definedName name="대화상자" hidden="1">{#N/A,#N/A,FALSE,"정공"}</definedName>
    <definedName name="대흥" hidden="1">{#N/A,#N/A,FALSE,"단축1";#N/A,#N/A,FALSE,"단축2";#N/A,#N/A,FALSE,"단축3";#N/A,#N/A,FALSE,"장축";#N/A,#N/A,FALSE,"4WD"}</definedName>
    <definedName name="더" hidden="1">{#N/A,#N/A,TRUE,"Y생산";#N/A,#N/A,TRUE,"Y판매";#N/A,#N/A,TRUE,"Y총물량";#N/A,#N/A,TRUE,"Y능력";#N/A,#N/A,TRUE,"YKD"}</definedName>
    <definedName name="뎌768" hidden="1">{#N/A,#N/A,FALSE,"단축1";#N/A,#N/A,FALSE,"단축2";#N/A,#N/A,FALSE,"단축3";#N/A,#N/A,FALSE,"장축";#N/A,#N/A,FALSE,"4WD"}</definedName>
    <definedName name="도" hidden="1">{"'7'!$B$15:$D$32"}</definedName>
    <definedName name="도공" hidden="1">{"'7'!$B$15:$D$32"}</definedName>
    <definedName name="도공1" hidden="1">{"'7'!$B$15:$D$32"}</definedName>
    <definedName name="도금산출" hidden="1">{#N/A,#N/A,TRUE,"Y생산";#N/A,#N/A,TRUE,"Y판매";#N/A,#N/A,TRUE,"Y총물량";#N/A,#N/A,TRUE,"Y능력";#N/A,#N/A,TRUE,"YKD"}</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어" hidden="1">#REF!</definedName>
    <definedName name="도어1" hidden="1">#REF!</definedName>
    <definedName name="돌" hidden="1">{#N/A,#N/A,FALSE,"KMC최종회의(7월) 자료"}</definedName>
    <definedName name="돌1" hidden="1">{#N/A,#N/A,FALSE,"KMC최종회의(7월) 자료"}</definedName>
    <definedName name="동10" hidden="1">{#N/A,#N/A,FALSE,"KMC최종회의(7월) 자료"}</definedName>
    <definedName name="동12" hidden="1">{#N/A,#N/A,FALSE,"KMC최종회의(7월) 자료"}</definedName>
    <definedName name="동3" hidden="1">{#N/A,#N/A,FALSE,"KMC최종회의(7월) 자료"}</definedName>
    <definedName name="동4" hidden="1">{#N/A,#N/A,FALSE,"KMC최종회의(7월) 자료"}</definedName>
    <definedName name="동45" hidden="1">{#N/A,#N/A,FALSE,"KMC최종회의(7월) 자료"}</definedName>
    <definedName name="동6" hidden="1">{#N/A,#N/A,FALSE,"KMC최종회의(7월) 자료"}</definedName>
    <definedName name="동국"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동" hidden="1">{#N/A,#N/A,FALSE,"KMC최종회의(7월) 자료"}</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번째" hidden="1">{#N/A,#N/A,FALSE,"정공"}</definedName>
    <definedName name="듛ㅎ로ㅛ고" hidden="1">{#N/A,#N/A,FALSE,"KMC최종회의(7월) 자료"}</definedName>
    <definedName name="등속1" hidden="1">{#N/A,#N/A,FALSE,"KMC최종회의(7월) 자료"}</definedName>
    <definedName name="디" hidden="1">{#N/A,#N/A,FALSE,"미판매분"}</definedName>
    <definedName name="디디디디디디이이이이이이이이이이이티티티티타타타타타타타타타타타타타타타타타타타타타타타타타타타타타타타타타타타타타타타타타타타타타타탙" hidden="1">{#N/A,#N/A,FALSE,"KMC최종회의(7월) 자료"}</definedName>
    <definedName name="디디딛다다다다다다다다다다다다다다다다다다다다다다다다닫다" hidden="1">{#N/A,#N/A,FALSE,"KMC최종회의(7월) 자료"}</definedName>
    <definedName name="디젤1" hidden="1">{#N/A,#N/A,FALSE,"단축1";#N/A,#N/A,FALSE,"단축2";#N/A,#N/A,FALSE,"단축3";#N/A,#N/A,FALSE,"장축";#N/A,#N/A,FALSE,"4WD"}</definedName>
    <definedName name="딜" hidden="1">{#N/A,#N/A,FALSE,"미판매분"}</definedName>
    <definedName name="딜러" hidden="1">{#N/A,#N/A,FALSE,"미판매분"}</definedName>
    <definedName name="딜러의" hidden="1">{#N/A,#N/A,FALSE,"미판매분"}</definedName>
    <definedName name="딜러전시" hidden="1">{#N/A,#N/A,FALSE,"미판매분"}</definedName>
    <definedName name="ㄸㄱ구믇226866006" hidden="1">#REF!</definedName>
    <definedName name="ㄸㄱ구믇279342055" hidden="1">#REF!</definedName>
    <definedName name="ㄸㄱ구믇814490019" hidden="1">#REF!</definedName>
    <definedName name="ㄸㄱ구믇824602126" hidden="1">#REF!</definedName>
    <definedName name="ㄸㄱ구믇986093162" hidden="1">#REF!</definedName>
    <definedName name="똥" hidden="1">{"'5'!$A$1:$BB$147"}</definedName>
    <definedName name="똥1" hidden="1">{"'5'!$A$1:$BB$147"}</definedName>
    <definedName name="ㄹ" hidden="1">{#N/A,#N/A,FALSE,"단축1";#N/A,#N/A,FALSE,"단축2";#N/A,#N/A,FALSE,"단축3";#N/A,#N/A,FALSE,"장축";#N/A,#N/A,FALSE,"4WD"}</definedName>
    <definedName name="ㄹㄴ" hidden="1">{#N/A,#N/A,FALSE,"KMC최종회의(7월) 자료"}</definedName>
    <definedName name="ㄹㄴㄹ" hidden="1">{#N/A,#N/A,TRUE,"Y생산";#N/A,#N/A,TRUE,"Y판매";#N/A,#N/A,TRUE,"Y총물량";#N/A,#N/A,TRUE,"Y능력";#N/A,#N/A,TRUE,"YKD"}</definedName>
    <definedName name="ㄹㄴㅇ러ㅏ" hidden="1">{#N/A,#N/A,FALSE,"단축1";#N/A,#N/A,FALSE,"단축2";#N/A,#N/A,FALSE,"단축3";#N/A,#N/A,FALSE,"장축";#N/A,#N/A,FALSE,"4WD"}</definedName>
    <definedName name="ㄹㄹ" hidden="1">{"'7'!$B$15:$D$32"}</definedName>
    <definedName name="ㄹㄹㄴ" hidden="1">{#N/A,#N/A,FALSE,"단축1";#N/A,#N/A,FALSE,"단축2";#N/A,#N/A,FALSE,"단축3";#N/A,#N/A,FALSE,"장축";#N/A,#N/A,FALSE,"4WD"}</definedName>
    <definedName name="ㄹㄹㄹ" hidden="1">{"'7'!$B$15:$D$32"}</definedName>
    <definedName name="ㄹㄹㄽ" hidden="1">{#N/A,#N/A,FALSE,"유첨2-1";#N/A,#N/A,FALSE,"2-2";#N/A,#N/A,FALSE,"2-3";#N/A,#N/A,FALSE,"2-4";#N/A,#N/A,FALSE,"2-5";#N/A,#N/A,FALSE,"2-6";#N/A,#N/A,FALSE,"2-7";#N/A,#N/A,FALSE,"2-8";#N/A,#N/A,FALSE,"2-9"}</definedName>
    <definedName name="ㄹㅀㅎ" hidden="1">{"'5'!$A$1:$BB$147"}</definedName>
    <definedName name="ㄹㅇ" hidden="1">{#N/A,#N/A,TRUE,"Y생산";#N/A,#N/A,TRUE,"Y판매";#N/A,#N/A,TRUE,"Y총물량";#N/A,#N/A,TRUE,"Y능력";#N/A,#N/A,TRUE,"YKD"}</definedName>
    <definedName name="ㄹㅇㄶㄴ" hidden="1">#REF!</definedName>
    <definedName name="ㄹㅇㄹ" hidden="1">{#N/A,#N/A,FALSE,"KMC최종회의(7월) 자료"}</definedName>
    <definedName name="ㄹㅇㄹㄹㄹㄹ" hidden="1">{#N/A,#N/A,FALSE,"정공"}</definedName>
    <definedName name="ㄹㅇㄹㅋ" hidden="1">{#N/A,#N/A,FALSE,"KMC최종회의(7월) 자료"}</definedName>
    <definedName name="ㄹㅇㅀ" hidden="1">{#N/A,#N/A,FALSE,"단축1";#N/A,#N/A,FALSE,"단축2";#N/A,#N/A,FALSE,"단축3";#N/A,#N/A,FALSE,"장축";#N/A,#N/A,FALSE,"4WD"}</definedName>
    <definedName name="ㄹㅇㅇㄹ" hidden="1">{#N/A,#N/A,FALSE,"단축1";#N/A,#N/A,FALSE,"단축2";#N/A,#N/A,FALSE,"단축3";#N/A,#N/A,FALSE,"장축";#N/A,#N/A,FALSE,"4WD"}</definedName>
    <definedName name="ㄹㅇㅎ" hidden="1">{#N/A,#N/A,FALSE,"KMC최종회의(7월) 자료"}</definedName>
    <definedName name="ㄹ어ㅓ럴" hidden="1">{#N/A,#N/A,FALSE,"단축1";#N/A,#N/A,FALSE,"단축2";#N/A,#N/A,FALSE,"단축3";#N/A,#N/A,FALSE,"장축";#N/A,#N/A,FALSE,"4WD"}</definedName>
    <definedName name="ㄹ헝ㅀㅇㄹ" hidden="1">{"'5'!$A$1:$BB$147"}</definedName>
    <definedName name="ㄹ호" hidden="1">{#N/A,#N/A,FALSE,"단축1";#N/A,#N/A,FALSE,"단축2";#N/A,#N/A,FALSE,"단축3";#N/A,#N/A,FALSE,"장축";#N/A,#N/A,FALSE,"4WD"}</definedName>
    <definedName name="ㄹ호ㅓ루" hidden="1">{#N/A,#N/A,FALSE,"KMC최종회의(7월) 자료"}</definedName>
    <definedName name="ㄹ호ㅛㄱㄷㄴ고" hidden="1">{#N/A,#N/A,FALSE,"KMC최종회의(7월) 자료"}</definedName>
    <definedName name="ㄹ홇" hidden="1">{#N/A,#N/A,FALSE,"단축1";#N/A,#N/A,FALSE,"단축2";#N/A,#N/A,FALSE,"단축3";#N/A,#N/A,FALSE,"장축";#N/A,#N/A,FALSE,"4WD"}</definedName>
    <definedName name="ㄹ후후룷훌후" hidden="1">{#N/A,#N/A,FALSE,"KMC최종회의(7월) 자료"}</definedName>
    <definedName name="ㄹ히" hidden="1">{#N/A,#N/A,TRUE,"Y생산";#N/A,#N/A,TRUE,"Y판매";#N/A,#N/A,TRUE,"Y총물량";#N/A,#N/A,TRUE,"Y능력";#N/A,#N/A,TRUE,"YKD"}</definedName>
    <definedName name="라나라" hidden="1">{"'5'!$A$1:$BB$147"}</definedName>
    <definedName name="라라라라라" hidden="1">{"'5'!$A$1:$BB$147"}</definedName>
    <definedName name="라랑" hidden="1">{"'5'!$A$1:$BB$147"}</definedName>
    <definedName name="라인별평가" hidden="1">{#N/A,#N/A,FALSE,"정공"}</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란다리아" hidden="1">{#N/A,#N/A,FALSE,"정공"}</definedName>
    <definedName name="러러러러러러러러러러러러러하하ㅏ하하핳" hidden="1">{#N/A,#N/A,FALSE,"KMC최종회의(7월) 자료"}</definedName>
    <definedName name="러시아" hidden="1">{#N/A,#N/A,FALSE,"단축1";#N/A,#N/A,FALSE,"단축2";#N/A,#N/A,FALSE,"단축3";#N/A,#N/A,FALSE,"장축";#N/A,#N/A,FALSE,"4WD"}</definedName>
    <definedName name="로" hidden="1">{#N/A,#N/A,FALSE,"KMC최종회의(7월) 자료"}</definedName>
    <definedName name="로마2" hidden="1">{#N/A,#N/A,FALSE,"단축1";#N/A,#N/A,FALSE,"단축2";#N/A,#N/A,FALSE,"단축3";#N/A,#N/A,FALSE,"장축";#N/A,#N/A,FALSE,"4WD"}</definedName>
    <definedName name="로커망러ㅏ" hidden="1">{#N/A,#N/A,FALSE,"단축1";#N/A,#N/A,FALSE,"단축2";#N/A,#N/A,FALSE,"단축3";#N/A,#N/A,FALSE,"장축";#N/A,#N/A,FALSE,"4WD"}</definedName>
    <definedName name="로커커버" hidden="1">{#N/A,#N/A,FALSE,"단축1";#N/A,#N/A,FALSE,"단축2";#N/A,#N/A,FALSE,"단축3";#N/A,#N/A,FALSE,"장축";#N/A,#N/A,FALSE,"4WD"}</definedName>
    <definedName name="롤설계1" hidden="1">{"'표지'!$B$5"}</definedName>
    <definedName name="롱" hidden="1">{#N/A,#N/A,FALSE,"단축1";#N/A,#N/A,FALSE,"단축2";#N/A,#N/A,FALSE,"단축3";#N/A,#N/A,FALSE,"장축";#N/A,#N/A,FALSE,"4WD"}</definedName>
    <definedName name="롷ㄹ훟ㄹ" hidden="1">{#N/A,#N/A,FALSE,"KMC최종회의(7월) 자료"}</definedName>
    <definedName name="롸ㅡㅗ" hidden="1">{#N/A,#N/A,FALSE,"단축1";#N/A,#N/A,FALSE,"단축2";#N/A,#N/A,FALSE,"단축3";#N/A,#N/A,FALSE,"장축";#N/A,#N/A,FALSE,"4WD"}</definedName>
    <definedName name="루" hidden="1">{#N/A,#N/A,FALSE,"KMC최종회의(7월) 자료"}</definedName>
    <definedName name="리베로" hidden="1">{#N/A,#N/A,FALSE,"단축1";#N/A,#N/A,FALSE,"단축2";#N/A,#N/A,FALSE,"단축3";#N/A,#N/A,FALSE,"장축";#N/A,#N/A,FALSE,"4WD"}</definedName>
    <definedName name="링오" hidden="1">{#N/A,#N/A,FALSE,"단축1";#N/A,#N/A,FALSE,"단축2";#N/A,#N/A,FALSE,"단축3";#N/A,#N/A,FALSE,"장축";#N/A,#N/A,FALSE,"4WD"}</definedName>
    <definedName name="ㄻㄴ" hidden="1">{#N/A,#N/A,FALSE,"단축1";#N/A,#N/A,FALSE,"단축2";#N/A,#N/A,FALSE,"단축3";#N/A,#N/A,FALSE,"장축";#N/A,#N/A,FALSE,"4WD"}</definedName>
    <definedName name="ㄿㅍㄷㄿ" hidden="1">{#N/A,#N/A,FALSE,"KMC최종회의(7월) 자료"}</definedName>
    <definedName name="ㅀ" hidden="1">{#N/A,#N/A,FALSE,"단축1";#N/A,#N/A,FALSE,"단축2";#N/A,#N/A,FALSE,"단축3";#N/A,#N/A,FALSE,"장축";#N/A,#N/A,FALSE,"4WD"}</definedName>
    <definedName name="ㅀ미리밀ㅎ밈림" hidden="1">{#N/A,#N/A,FALSE,"을지 (4)";#N/A,#N/A,FALSE,"을지 (5)";#N/A,#N/A,FALSE,"을지 (6)"}</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{#N/A,#N/A,TRUE,"Y생산";#N/A,#N/A,TRUE,"Y판매";#N/A,#N/A,TRUE,"Y총물량";#N/A,#N/A,TRUE,"Y능력";#N/A,#N/A,TRUE,"YKD"}</definedName>
    <definedName name="ㅁ_1" hidden="1">{#N/A,#N/A,TRUE,"양식5";#N/A,#N/A,TRUE,"양식1_2_2";#N/A,#N/A,TRUE,"양식1_1_2";#N/A,#N/A,TRUE,"양식2";#N/A,#N/A,TRUE,"양식4";#N/A,#N/A,TRUE,"양식3";#N/A,#N/A,TRUE,"양식6";#N/A,#N/A,TRUE,"양식7";#N/A,#N/A,TRUE,"양식10";#N/A,#N/A,TRUE,"양식11";#N/A,#N/A,TRUE,"양식12";#N/A,#N/A,TRUE,"양식13_1_2";#N/A,#N/A,TRUE,"양식13_2_2";#N/A,#N/A,TRUE,"양식14"}</definedName>
    <definedName name="ㅁ_1_1" hidden="1">{#N/A,#N/A,TRUE,"양식5";#N/A,#N/A,TRUE,"양식1_2_2";#N/A,#N/A,TRUE,"양식1_1_2";#N/A,#N/A,TRUE,"양식2";#N/A,#N/A,TRUE,"양식4";#N/A,#N/A,TRUE,"양식3";#N/A,#N/A,TRUE,"양식6";#N/A,#N/A,TRUE,"양식7";#N/A,#N/A,TRUE,"양식10";#N/A,#N/A,TRUE,"양식11";#N/A,#N/A,TRUE,"양식12";#N/A,#N/A,TRUE,"양식13_1_2";#N/A,#N/A,TRUE,"양식13_2_2";#N/A,#N/A,TRUE,"양식14"}</definedName>
    <definedName name="ㅁ_2" hidden="1">{#N/A,#N/A,TRUE,"양식5";#N/A,#N/A,TRUE,"양식1_2_2";#N/A,#N/A,TRUE,"양식1_1_2";#N/A,#N/A,TRUE,"양식2";#N/A,#N/A,TRUE,"양식4";#N/A,#N/A,TRUE,"양식3";#N/A,#N/A,TRUE,"양식6";#N/A,#N/A,TRUE,"양식7";#N/A,#N/A,TRUE,"양식10";#N/A,#N/A,TRUE,"양식11";#N/A,#N/A,TRUE,"양식12";#N/A,#N/A,TRUE,"양식13_1_2";#N/A,#N/A,TRUE,"양식13_2_2";#N/A,#N/A,TRUE,"양식14"}</definedName>
    <definedName name="ㅁ_2_1" hidden="1">{#N/A,#N/A,TRUE,"양식5";#N/A,#N/A,TRUE,"양식1_2_2";#N/A,#N/A,TRUE,"양식1_1_2";#N/A,#N/A,TRUE,"양식2";#N/A,#N/A,TRUE,"양식4";#N/A,#N/A,TRUE,"양식3";#N/A,#N/A,TRUE,"양식6";#N/A,#N/A,TRUE,"양식7";#N/A,#N/A,TRUE,"양식10";#N/A,#N/A,TRUE,"양식11";#N/A,#N/A,TRUE,"양식12";#N/A,#N/A,TRUE,"양식13_1_2";#N/A,#N/A,TRUE,"양식13_2_2";#N/A,#N/A,TRUE,"양식14"}</definedName>
    <definedName name="ㅁ_3" hidden="1">{#N/A,#N/A,TRUE,"양식5";#N/A,#N/A,TRUE,"양식1_2_2";#N/A,#N/A,TRUE,"양식1_1_2";#N/A,#N/A,TRUE,"양식2";#N/A,#N/A,TRUE,"양식4";#N/A,#N/A,TRUE,"양식3";#N/A,#N/A,TRUE,"양식6";#N/A,#N/A,TRUE,"양식7";#N/A,#N/A,TRUE,"양식10";#N/A,#N/A,TRUE,"양식11";#N/A,#N/A,TRUE,"양식12";#N/A,#N/A,TRUE,"양식13_1_2";#N/A,#N/A,TRUE,"양식13_2_2";#N/A,#N/A,TRUE,"양식14"}</definedName>
    <definedName name="ㅁ_3_1" hidden="1">{#N/A,#N/A,TRUE,"양식5";#N/A,#N/A,TRUE,"양식1_2_2";#N/A,#N/A,TRUE,"양식1_1_2";#N/A,#N/A,TRUE,"양식2";#N/A,#N/A,TRUE,"양식4";#N/A,#N/A,TRUE,"양식3";#N/A,#N/A,TRUE,"양식6";#N/A,#N/A,TRUE,"양식7";#N/A,#N/A,TRUE,"양식10";#N/A,#N/A,TRUE,"양식11";#N/A,#N/A,TRUE,"양식12";#N/A,#N/A,TRUE,"양식13_1_2";#N/A,#N/A,TRUE,"양식13_2_2";#N/A,#N/A,TRUE,"양식14"}</definedName>
    <definedName name="ㅁ_4" hidden="1">{#N/A,#N/A,TRUE,"양식5";#N/A,#N/A,TRUE,"양식1_2_2";#N/A,#N/A,TRUE,"양식1_1_2";#N/A,#N/A,TRUE,"양식2";#N/A,#N/A,TRUE,"양식4";#N/A,#N/A,TRUE,"양식3";#N/A,#N/A,TRUE,"양식6";#N/A,#N/A,TRUE,"양식7";#N/A,#N/A,TRUE,"양식10";#N/A,#N/A,TRUE,"양식11";#N/A,#N/A,TRUE,"양식12";#N/A,#N/A,TRUE,"양식13_1_2";#N/A,#N/A,TRUE,"양식13_2_2";#N/A,#N/A,TRUE,"양식14"}</definedName>
    <definedName name="ㅁ_4_1" hidden="1">{#N/A,#N/A,TRUE,"양식5";#N/A,#N/A,TRUE,"양식1_2_2";#N/A,#N/A,TRUE,"양식1_1_2";#N/A,#N/A,TRUE,"양식2";#N/A,#N/A,TRUE,"양식4";#N/A,#N/A,TRUE,"양식3";#N/A,#N/A,TRUE,"양식6";#N/A,#N/A,TRUE,"양식7";#N/A,#N/A,TRUE,"양식10";#N/A,#N/A,TRUE,"양식11";#N/A,#N/A,TRUE,"양식12";#N/A,#N/A,TRUE,"양식13_1_2";#N/A,#N/A,TRUE,"양식13_2_2";#N/A,#N/A,TRUE,"양식14"}</definedName>
    <definedName name="ㅁ_5" hidden="1">{#N/A,#N/A,TRUE,"양식5";#N/A,#N/A,TRUE,"양식1_2_2";#N/A,#N/A,TRUE,"양식1_1_2";#N/A,#N/A,TRUE,"양식2";#N/A,#N/A,TRUE,"양식4";#N/A,#N/A,TRUE,"양식3";#N/A,#N/A,TRUE,"양식6";#N/A,#N/A,TRUE,"양식7";#N/A,#N/A,TRUE,"양식10";#N/A,#N/A,TRUE,"양식11";#N/A,#N/A,TRUE,"양식12";#N/A,#N/A,TRUE,"양식13_1_2";#N/A,#N/A,TRUE,"양식13_2_2";#N/A,#N/A,TRUE,"양식14"}</definedName>
    <definedName name="ㅁ_5_1" hidden="1">{#N/A,#N/A,TRUE,"양식5";#N/A,#N/A,TRUE,"양식1_2_2";#N/A,#N/A,TRUE,"양식1_1_2";#N/A,#N/A,TRUE,"양식2";#N/A,#N/A,TRUE,"양식4";#N/A,#N/A,TRUE,"양식3";#N/A,#N/A,TRUE,"양식6";#N/A,#N/A,TRUE,"양식7";#N/A,#N/A,TRUE,"양식10";#N/A,#N/A,TRUE,"양식11";#N/A,#N/A,TRUE,"양식12";#N/A,#N/A,TRUE,"양식13_1_2";#N/A,#N/A,TRUE,"양식13_2_2";#N/A,#N/A,TRUE,"양식14"}</definedName>
    <definedName name="ㅁㄴ" hidden="1">{#N/A,#N/A,FALSE,"정공"}</definedName>
    <definedName name="ㅁㄴㄴㅌ" hidden="1">{#N/A,#N/A,FALSE,"KMC최종회의(7월) 자료"}</definedName>
    <definedName name="ㅁㄴㄷㄱㄱㄹ" hidden="1">{#N/A,#N/A,FALSE,"미판매분"}</definedName>
    <definedName name="ㅁㄴㄷㄱ호" hidden="1">{#N/A,#N/A,TRUE,"Y생산";#N/A,#N/A,TRUE,"Y판매";#N/A,#N/A,TRUE,"Y총물량";#N/A,#N/A,TRUE,"Y능력";#N/A,#N/A,TRUE,"YKD"}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hidden="1">{#N/A,#N/A,TRUE,"Y생산";#N/A,#N/A,TRUE,"Y판매";#N/A,#N/A,TRUE,"Y총물량";#N/A,#N/A,TRUE,"Y능력";#N/A,#N/A,TRUE,"YKD"}</definedName>
    <definedName name="ㅁㄴㅁㄴ" hidden="1">{#N/A,#N/A,FALSE,"정공"}</definedName>
    <definedName name="ㅁㄴㅇㄴ" hidden="1">{#N/A,#N/A,FALSE,"정공"}</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hidden="1">{#N/A,#N/A,FALSE,"정공"}</definedName>
    <definedName name="ㅁㄷㄴㄹ" hidden="1">{#N/A,#N/A,TRUE,"Y생산";#N/A,#N/A,TRUE,"Y판매";#N/A,#N/A,TRUE,"Y총물량";#N/A,#N/A,TRUE,"Y능력";#N/A,#N/A,TRUE,"YKD"}</definedName>
    <definedName name="ㅁㄷㄻㅈㄷ" hidden="1">{#N/A,#N/A,FALSE,"KMC최종회의(7월) 자료"}</definedName>
    <definedName name="ㅁㄹ" hidden="1">{#N/A,#N/A,FALSE,"단축1";#N/A,#N/A,FALSE,"단축2";#N/A,#N/A,FALSE,"단축3";#N/A,#N/A,FALSE,"장축";#N/A,#N/A,FALSE,"4WD"}</definedName>
    <definedName name="ㅁㄹㅇ" hidden="1">{#N/A,#N/A,FALSE,"단축1";#N/A,#N/A,FALSE,"단축2";#N/A,#N/A,FALSE,"단축3";#N/A,#N/A,FALSE,"장축";#N/A,#N/A,FALSE,"4WD"}</definedName>
    <definedName name="ㅁㄹㅇㄹ" hidden="1">{#VALUE!,#N/A,FALSE,0}</definedName>
    <definedName name="ㅁㅁㅁ" hidden="1">{"'5'!$A$1:$BB$147"}</definedName>
    <definedName name="ㅁㅁㅁㅁ_1"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1_1"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2"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2_1"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3"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3_1"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4"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4_1"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5"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_5_1" hidden="1">{#N/A,#N/A,TRUE,"양식5";#N/A,#N/A,TRUE,"양식1_2_2";#N/A,#N/A,TRUE,"양식1_1_2";#N/A,#N/A,TRUE,"양식2";#N/A,#N/A,TRUE,"양식4";#N/A,#N/A,TRUE,"양식3";#N/A,#N/A,TRUE,"양식6";#N/A,#N/A,TRUE,"양식7";#N/A,#N/A,TRUE,"양식10";#N/A,#N/A,TRUE,"양식11";#N/A,#N/A,TRUE,"양식12";#N/A,#N/A,TRUE,"양식13_1_2";#N/A,#N/A,TRUE,"양식13_2_2";#N/A,#N/A,TRUE,"양식14"}</definedName>
    <definedName name="ㅁㅁㅁㅁㅁ" hidden="1">{#N/A,#N/A,FALSE,"단축1";#N/A,#N/A,FALSE,"단축2";#N/A,#N/A,FALSE,"단축3";#N/A,#N/A,FALSE,"장축";#N/A,#N/A,FALSE,"4WD"}</definedName>
    <definedName name="ㅁㅁㅁㅁㅁㅁㅁ" hidden="1">{"'7'!$B$15:$D$32"}</definedName>
    <definedName name="ㅁㅁㅁㅁㅁㅁㅁㅁ" hidden="1">{#N/A,#N/A,TRUE,"Y생산";#N/A,#N/A,TRUE,"Y판매";#N/A,#N/A,TRUE,"Y총물량";#N/A,#N/A,TRUE,"Y능력";#N/A,#N/A,TRUE,"YKD"}</definedName>
    <definedName name="ㅁㅁㅁㅁㅁㅁㅁㅁㅁㅁㅁㅁㅁㅁ" hidden="1">{#N/A,#N/A,FALSE,"단축1";#N/A,#N/A,FALSE,"단축2";#N/A,#N/A,FALSE,"단축3";#N/A,#N/A,FALSE,"장축";#N/A,#N/A,FALSE,"4WD"}</definedName>
    <definedName name="ㅁㅁㅁㅇ" hidden="1">{#N/A,#N/A,FALSE,"단축1";#N/A,#N/A,FALSE,"단축2";#N/A,#N/A,FALSE,"단축3";#N/A,#N/A,FALSE,"장축";#N/A,#N/A,FALSE,"4WD"}</definedName>
    <definedName name="ㅁㅁㅇ" hidden="1">{#N/A,#N/A,FALSE,"KMC최종회의(7월) 자료"}</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이" hidden="1">{#N/A,#N/A,FALSE,"단축1";#N/A,#N/A,FALSE,"단축2";#N/A,#N/A,FALSE,"단축3";#N/A,#N/A,FALSE,"장축";#N/A,#N/A,FALSE,"4WD"}</definedName>
    <definedName name="ㅁㅇㅊㅁㄴㅇㄹ" hidden="1">{#N/A,#N/A,FALSE,"단축1";#N/A,#N/A,FALSE,"단축2";#N/A,#N/A,FALSE,"단축3";#N/A,#N/A,FALSE,"장축";#N/A,#N/A,FALSE,"4WD"}</definedName>
    <definedName name="ㅁㅈㄷ4교ㅓㅓㅛ" hidden="1">{#N/A,#N/A,FALSE,"96 3월물량표";#N/A,#N/A,FALSE,"96 4월물량표";#N/A,#N/A,FALSE,"96 5월물량표"}</definedName>
    <definedName name="ㅁㅈㅂㅈㅂ" hidden="1">#REF!</definedName>
    <definedName name="ㅁㅎㄴㅀ" hidden="1">{#N/A,#N/A,FALSE,"미판매분"}</definedName>
    <definedName name="마" hidden="1">{"'5'!$A$1:$BB$147"}</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13" hidden="1">{#N/A,#N/A,TRUE,"Y생산";#N/A,#N/A,TRUE,"Y판매";#N/A,#N/A,TRUE,"Y총물량";#N/A,#N/A,TRUE,"Y능력";#N/A,#N/A,TRUE,"YKD"}</definedName>
    <definedName name="마감2" hidden="1">{#N/A,#N/A,TRUE,"Y생산";#N/A,#N/A,TRUE,"Y판매";#N/A,#N/A,TRUE,"Y총물량";#N/A,#N/A,TRUE,"Y능력";#N/A,#N/A,TRUE,"YKD"}</definedName>
    <definedName name="마감830" hidden="1">{#N/A,#N/A,TRUE,"Y생산";#N/A,#N/A,TRUE,"Y판매";#N/A,#N/A,TRUE,"Y총물량";#N/A,#N/A,TRUE,"Y능력";#N/A,#N/A,TRUE,"YKD"}</definedName>
    <definedName name="마감831" hidden="1">{#N/A,#N/A,FALSE,"96 3월물량표";#N/A,#N/A,FALSE,"96 4월물량표";#N/A,#N/A,FALSE,"96 5월물량표"}</definedName>
    <definedName name="마라톤" hidden="1">{#N/A,#N/A,FALSE,"KMC최종회의(7월) 자료"}</definedName>
    <definedName name="마마보이" hidden="1">{#N/A,#N/A,FALSE,"정공"}</definedName>
    <definedName name="마맘" hidden="1">{#N/A,#N/A,FALSE,"KMC최종회의(7월) 자료"}</definedName>
    <definedName name="마북리" hidden="1">{"'7'!$B$15:$D$32"}</definedName>
    <definedName name="마음" hidden="1">{#N/A,#N/A,FALSE,"단축1";#N/A,#N/A,FALSE,"단축2";#N/A,#N/A,FALSE,"단축3";#N/A,#N/A,FALSE,"장축";#N/A,#N/A,FALSE,"4WD"}</definedName>
    <definedName name="만국어" hidden="1">{#N/A,#N/A,FALSE,"정공"}</definedName>
    <definedName name="만다라어" hidden="1">{#N/A,#N/A,FALSE,"정공"}</definedName>
    <definedName name="만다라어빈국" hidden="1">{#N/A,#N/A,FALSE,"정공"}</definedName>
    <definedName name="만족" hidden="1">{"'7'!$B$15:$D$32"}</definedName>
    <definedName name="말" hidden="1">{#N/A,#N/A,TRUE,"Y생산";#N/A,#N/A,TRUE,"Y판매";#N/A,#N/A,TRUE,"Y총물량";#N/A,#N/A,TRUE,"Y능력";#N/A,#N/A,TRUE,"YKD"}</definedName>
    <definedName name="말라" hidden="1">{#N/A,#N/A,FALSE,"단축1";#N/A,#N/A,FALSE,"단축2";#N/A,#N/A,FALSE,"단축3";#N/A,#N/A,FALSE,"장축";#N/A,#N/A,FALSE,"4WD"}</definedName>
    <definedName name="말타" hidden="1">{#N/A,#N/A,FALSE,"단축1";#N/A,#N/A,FALSE,"단축2";#N/A,#N/A,FALSE,"단축3";#N/A,#N/A,FALSE,"장축";#N/A,#N/A,FALSE,"4WD"}</definedName>
    <definedName name="망망" hidden="1">{#N/A,#N/A,FALSE,"KMC최종회의(7월) 자료"}</definedName>
    <definedName name="매출" hidden="1">{#N/A,#N/A,FALSE,"단축1";#N/A,#N/A,FALSE,"단축2";#N/A,#N/A,FALSE,"단축3";#N/A,#N/A,FALSE,"장축";#N/A,#N/A,FALSE,"4WD"}</definedName>
    <definedName name="매출_1" hidden="1">{#N/A,#N/A,FALSE,"DAOCM 2차 검토"}</definedName>
    <definedName name="매출_1_1" hidden="1">{#N/A,#N/A,FALSE,"DAOCM 2차 검토"}</definedName>
    <definedName name="매출_2" hidden="1">{#N/A,#N/A,FALSE,"DAOCM 2차 검토"}</definedName>
    <definedName name="매출_2_1" hidden="1">{#N/A,#N/A,FALSE,"DAOCM 2차 검토"}</definedName>
    <definedName name="매출_3" hidden="1">{#N/A,#N/A,FALSE,"DAOCM 2차 검토"}</definedName>
    <definedName name="매출_3_1" hidden="1">{#N/A,#N/A,FALSE,"DAOCM 2차 검토"}</definedName>
    <definedName name="매출_4" hidden="1">{#N/A,#N/A,FALSE,"DAOCM 2차 검토"}</definedName>
    <definedName name="매출_4_1" hidden="1">{#N/A,#N/A,FALSE,"DAOCM 2차 검토"}</definedName>
    <definedName name="매출_5" hidden="1">{#N/A,#N/A,FALSE,"DAOCM 2차 검토"}</definedName>
    <definedName name="매출_5_1" hidden="1">{#N/A,#N/A,FALSE,"DAOCM 2차 검토"}</definedName>
    <definedName name="매출기준" hidden="1">{#N/A,#N/A,FALSE,"정공"}</definedName>
    <definedName name="매출손익" hidden="1">{#N/A,#N/A,FALSE,"정공"}</definedName>
    <definedName name="매출전환손익" hidden="1">{#N/A,#N/A,FALSE,"정공"}</definedName>
    <definedName name="매출추1" hidden="1">{#N/A,#N/A,FALSE,"정공"}</definedName>
    <definedName name="매출추정" hidden="1">{#N/A,#N/A,FALSE,"정공"}</definedName>
    <definedName name="맹구" hidden="1">{#N/A,#N/A,FALSE,"KMC최종회의(7월) 자료"}</definedName>
    <definedName name="머냐" hidden="1">{"'Sheet1'!$A$211:$M$235"}</definedName>
    <definedName name="머징" hidden="1">{"'Sheet1'!$A$211:$M$235"}</definedName>
    <definedName name="메뉴" hidden="1">{"'7'!$B$15:$D$32"}</definedName>
    <definedName name="메롱" hidden="1">#REF!</definedName>
    <definedName name="모나리자아" hidden="1">{#N/A,#N/A,FALSE,"정공"}</definedName>
    <definedName name="모델별" hidden="1">{#N/A,#N/A,FALSE,"단축1";#N/A,#N/A,FALSE,"단축2";#N/A,#N/A,FALSE,"단축3";#N/A,#N/A,FALSE,"장축";#N/A,#N/A,FALSE,"4WD"}</definedName>
    <definedName name="모비스" hidden="1">{#N/A,#N/A,FALSE,"단축1";#N/A,#N/A,FALSE,"단축2";#N/A,#N/A,FALSE,"단축3";#N/A,#N/A,FALSE,"장축";#N/A,#N/A,FALSE,"4WD"}</definedName>
    <definedName name="모씨" hidden="1">{#N/A,#N/A,FALSE,"KMC최종회의(7월) 자료"}</definedName>
    <definedName name="목차" hidden="1">{#N/A,#N/A,FALSE,"단축1";#N/A,#N/A,FALSE,"단축2";#N/A,#N/A,FALSE,"단축3";#N/A,#N/A,FALSE,"장축";#N/A,#N/A,FALSE,"4WD"}</definedName>
    <definedName name="목차1" hidden="1">{#N/A,#N/A,TRUE,"Y생산";#N/A,#N/A,TRUE,"Y판매";#N/A,#N/A,TRUE,"Y총물량";#N/A,#N/A,TRUE,"Y능력";#N/A,#N/A,TRUE,"YKD"}</definedName>
    <definedName name="목차2" hidden="1">{"'7'!$B$15:$D$32"}</definedName>
    <definedName name="목차3" hidden="1">{#N/A,#N/A,FALSE,"KMC최종회의(7월) 자료"}</definedName>
    <definedName name="목차도" hidden="1">{#N/A,#N/A,FALSE,"정공"}</definedName>
    <definedName name="목차삽입" hidden="1">{#N/A,#N/A,FALSE,"정공"}</definedName>
    <definedName name="목표관리" hidden="1">{"'5'!$A$1:$BB$147"}</definedName>
    <definedName name="몰라" hidden="1">{#N/A,#N/A,FALSE,"정공"}</definedName>
    <definedName name="몰타" hidden="1">{#N/A,#N/A,FALSE,"단축1";#N/A,#N/A,FALSE,"단축2";#N/A,#N/A,FALSE,"단축3";#N/A,#N/A,FALSE,"장축";#N/A,#N/A,FALSE,"4WD"}</definedName>
    <definedName name="무" hidden="1">{#N/A,#N/A,TRUE,"Y생산";#N/A,#N/A,TRUE,"Y판매";#N/A,#N/A,TRUE,"Y총물량";#N/A,#N/A,TRUE,"Y능력";#N/A,#N/A,TRUE,"YKD"}</definedName>
    <definedName name="문" hidden="1">{"'5'!$A$1:$BB$147"}</definedName>
    <definedName name="문길원" hidden="1">{"'5'!$A$1:$BB$147"}</definedName>
    <definedName name="문서처리" hidden="1">{#N/A,#N/A,FALSE,"단축1";#N/A,#N/A,FALSE,"단축2";#N/A,#N/A,FALSE,"단축3";#N/A,#N/A,FALSE,"장축";#N/A,#N/A,FALSE,"4WD"}</definedName>
    <definedName name="문제3" hidden="1">{#N/A,#N/A,FALSE,"단축1";#N/A,#N/A,FALSE,"단축2";#N/A,#N/A,FALSE,"단축3";#N/A,#N/A,FALSE,"장축";#N/A,#N/A,FALSE,"4WD"}</definedName>
    <definedName name="물가" hidden="1">{"'7'!$B$15:$D$32"}</definedName>
    <definedName name="물가지수2" hidden="1">{"'7'!$B$15:$D$32"}</definedName>
    <definedName name="물라자" hidden="1">{#N/A,#N/A,TRUE,"Y생산";#N/A,#N/A,TRUE,"Y판매";#N/A,#N/A,TRUE,"Y총물량";#N/A,#N/A,TRUE,"Y능력";#N/A,#N/A,TRUE,"YKD"}</definedName>
    <definedName name="물랴자" hidden="1">{#N/A,#N/A,TRUE,"Y생산";#N/A,#N/A,TRUE,"Y판매";#N/A,#N/A,TRUE,"Y총물량";#N/A,#N/A,TRUE,"Y능력";#N/A,#N/A,TRUE,"YKD"}</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{#N/A,#N/A,FALSE,"96 3월물량표";#N/A,#N/A,FALSE,"96 4월물량표";#N/A,#N/A,FALSE,"96 5월물량표"}</definedName>
    <definedName name="물류비검토" hidden="1">{#N/A,#N/A,FALSE,"단축1";#N/A,#N/A,FALSE,"단축2";#N/A,#N/A,FALSE,"단축3";#N/A,#N/A,FALSE,"장축";#N/A,#N/A,FALSE,"4WD"}</definedName>
    <definedName name="물류합리화" hidden="1">{#N/A,#N/A,TRUE,"Y생산";#N/A,#N/A,TRUE,"Y판매";#N/A,#N/A,TRUE,"Y총물량";#N/A,#N/A,TRUE,"Y능력";#N/A,#N/A,TRUE,"YKD"}</definedName>
    <definedName name="물리자" hidden="1">{#N/A,#N/A,TRUE,"Y생산";#N/A,#N/A,TRUE,"Y판매";#N/A,#N/A,TRUE,"Y총물량";#N/A,#N/A,TRUE,"Y능력";#N/A,#N/A,TRUE,"YKD"}</definedName>
    <definedName name="물수" hidden="1">{#N/A,#N/A,TRUE,"Y생산";#N/A,#N/A,TRUE,"Y판매";#N/A,#N/A,TRUE,"Y총물량";#N/A,#N/A,TRUE,"Y능력";#N/A,#N/A,TRUE,"YKD"}</definedName>
    <definedName name="미" hidden="1">{#N/A,#N/A,FALSE,"단축1";#N/A,#N/A,FALSE,"단축2";#N/A,#N/A,FALSE,"단축3";#N/A,#N/A,FALSE,"장축";#N/A,#N/A,FALSE,"4WD"}</definedName>
    <definedName name="미기록지" hidden="1">{#N/A,#N/A,FALSE,"KMC최종회의(7월) 자료"}</definedName>
    <definedName name="미미마마마마맘마미미마마마마마마마마마마마마마마마마마마마마마마마마마마마마맘" hidden="1">{#N/A,#N/A,FALSE,"KMC최종회의(7월) 자료"}</definedName>
    <definedName name="미미미아" hidden="1">{#N/A,#N/A,FALSE,"정공"}</definedName>
    <definedName name="미석" hidden="1">{#N/A,#N/A,FALSE,"정공"}</definedName>
    <definedName name="미수금" hidden="1">{#N/A,#N/A,FALSE,"미판매분"}</definedName>
    <definedName name="미수종합" hidden="1">{#N/A,#N/A,FALSE,"미판매분"}</definedName>
    <definedName name="미수채권" hidden="1">{"'공작'!$A$2:$AH$17"}</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애" hidden="1">{#N/A,#N/A,FALSE,"REPORT"}</definedName>
    <definedName name="미접수" hidden="1">{#N/A,#N/A,FALSE,"해외크레임";#N/A,#N/A,FALSE,"ACCENT현황";#N/A,#N/A,FALSE,"AVANTE";#N/A,#N/A,FALSE,"SONATA(3)";#N/A,#N/A,FALSE,"국내크레임"}</definedName>
    <definedName name="미치겠네" hidden="1">{#N/A,#N/A,FALSE,"100PPM";#N/A,#N/A,FALSE,"3차원대책서";#N/A,#N/A,FALSE,"개선사례"}</definedName>
    <definedName name="미화2" hidden="1">{#N/A,#N/A,FALSE,"이력서&amp;자기소개서"}</definedName>
    <definedName name="민총2" hidden="1">{#N/A,#N/A,FALSE,"을지 (4)";#N/A,#N/A,FALSE,"을지 (5)";#N/A,#N/A,FALSE,"을지 (6)"}</definedName>
    <definedName name="밑그림" hidden="1">{#N/A,#N/A,FALSE,"단축1";#N/A,#N/A,FALSE,"단축2";#N/A,#N/A,FALSE,"단축3";#N/A,#N/A,FALSE,"장축";#N/A,#N/A,FALSE,"4WD"}</definedName>
    <definedName name="ㅂ" hidden="1">{#N/A,#N/A,TRUE,"Y생산";#N/A,#N/A,TRUE,"Y판매";#N/A,#N/A,TRUE,"Y총물량";#N/A,#N/A,TRUE,"Y능력";#N/A,#N/A,TRUE,"YKD"}</definedName>
    <definedName name="ㅂ_1" hidden="1">{#N/A,#N/A,TRUE,"양식5";#N/A,#N/A,TRUE,"양식1_2_2";#N/A,#N/A,TRUE,"양식1_1_2";#N/A,#N/A,TRUE,"양식2";#N/A,#N/A,TRUE,"양식4";#N/A,#N/A,TRUE,"양식3";#N/A,#N/A,TRUE,"양식6";#N/A,#N/A,TRUE,"양식7";#N/A,#N/A,TRUE,"양식10";#N/A,#N/A,TRUE,"양식11";#N/A,#N/A,TRUE,"양식12";#N/A,#N/A,TRUE,"양식13_1_2";#N/A,#N/A,TRUE,"양식13_2_2";#N/A,#N/A,TRUE,"양식14"}</definedName>
    <definedName name="ㅂ_1_1" hidden="1">{#N/A,#N/A,TRUE,"양식5";#N/A,#N/A,TRUE,"양식1_2_2";#N/A,#N/A,TRUE,"양식1_1_2";#N/A,#N/A,TRUE,"양식2";#N/A,#N/A,TRUE,"양식4";#N/A,#N/A,TRUE,"양식3";#N/A,#N/A,TRUE,"양식6";#N/A,#N/A,TRUE,"양식7";#N/A,#N/A,TRUE,"양식10";#N/A,#N/A,TRUE,"양식11";#N/A,#N/A,TRUE,"양식12";#N/A,#N/A,TRUE,"양식13_1_2";#N/A,#N/A,TRUE,"양식13_2_2";#N/A,#N/A,TRUE,"양식14"}</definedName>
    <definedName name="ㅂ_2" hidden="1">{#N/A,#N/A,TRUE,"양식5";#N/A,#N/A,TRUE,"양식1_2_2";#N/A,#N/A,TRUE,"양식1_1_2";#N/A,#N/A,TRUE,"양식2";#N/A,#N/A,TRUE,"양식4";#N/A,#N/A,TRUE,"양식3";#N/A,#N/A,TRUE,"양식6";#N/A,#N/A,TRUE,"양식7";#N/A,#N/A,TRUE,"양식10";#N/A,#N/A,TRUE,"양식11";#N/A,#N/A,TRUE,"양식12";#N/A,#N/A,TRUE,"양식13_1_2";#N/A,#N/A,TRUE,"양식13_2_2";#N/A,#N/A,TRUE,"양식14"}</definedName>
    <definedName name="ㅂ_2_1" hidden="1">{#N/A,#N/A,TRUE,"양식5";#N/A,#N/A,TRUE,"양식1_2_2";#N/A,#N/A,TRUE,"양식1_1_2";#N/A,#N/A,TRUE,"양식2";#N/A,#N/A,TRUE,"양식4";#N/A,#N/A,TRUE,"양식3";#N/A,#N/A,TRUE,"양식6";#N/A,#N/A,TRUE,"양식7";#N/A,#N/A,TRUE,"양식10";#N/A,#N/A,TRUE,"양식11";#N/A,#N/A,TRUE,"양식12";#N/A,#N/A,TRUE,"양식13_1_2";#N/A,#N/A,TRUE,"양식13_2_2";#N/A,#N/A,TRUE,"양식14"}</definedName>
    <definedName name="ㅂ_3" hidden="1">{#N/A,#N/A,TRUE,"양식5";#N/A,#N/A,TRUE,"양식1_2_2";#N/A,#N/A,TRUE,"양식1_1_2";#N/A,#N/A,TRUE,"양식2";#N/A,#N/A,TRUE,"양식4";#N/A,#N/A,TRUE,"양식3";#N/A,#N/A,TRUE,"양식6";#N/A,#N/A,TRUE,"양식7";#N/A,#N/A,TRUE,"양식10";#N/A,#N/A,TRUE,"양식11";#N/A,#N/A,TRUE,"양식12";#N/A,#N/A,TRUE,"양식13_1_2";#N/A,#N/A,TRUE,"양식13_2_2";#N/A,#N/A,TRUE,"양식14"}</definedName>
    <definedName name="ㅂ_3_1" hidden="1">{#N/A,#N/A,TRUE,"양식5";#N/A,#N/A,TRUE,"양식1_2_2";#N/A,#N/A,TRUE,"양식1_1_2";#N/A,#N/A,TRUE,"양식2";#N/A,#N/A,TRUE,"양식4";#N/A,#N/A,TRUE,"양식3";#N/A,#N/A,TRUE,"양식6";#N/A,#N/A,TRUE,"양식7";#N/A,#N/A,TRUE,"양식10";#N/A,#N/A,TRUE,"양식11";#N/A,#N/A,TRUE,"양식12";#N/A,#N/A,TRUE,"양식13_1_2";#N/A,#N/A,TRUE,"양식13_2_2";#N/A,#N/A,TRUE,"양식14"}</definedName>
    <definedName name="ㅂ_4" hidden="1">{#N/A,#N/A,TRUE,"양식5";#N/A,#N/A,TRUE,"양식1_2_2";#N/A,#N/A,TRUE,"양식1_1_2";#N/A,#N/A,TRUE,"양식2";#N/A,#N/A,TRUE,"양식4";#N/A,#N/A,TRUE,"양식3";#N/A,#N/A,TRUE,"양식6";#N/A,#N/A,TRUE,"양식7";#N/A,#N/A,TRUE,"양식10";#N/A,#N/A,TRUE,"양식11";#N/A,#N/A,TRUE,"양식12";#N/A,#N/A,TRUE,"양식13_1_2";#N/A,#N/A,TRUE,"양식13_2_2";#N/A,#N/A,TRUE,"양식14"}</definedName>
    <definedName name="ㅂ_4_1" hidden="1">{#N/A,#N/A,TRUE,"양식5";#N/A,#N/A,TRUE,"양식1_2_2";#N/A,#N/A,TRUE,"양식1_1_2";#N/A,#N/A,TRUE,"양식2";#N/A,#N/A,TRUE,"양식4";#N/A,#N/A,TRUE,"양식3";#N/A,#N/A,TRUE,"양식6";#N/A,#N/A,TRUE,"양식7";#N/A,#N/A,TRUE,"양식10";#N/A,#N/A,TRUE,"양식11";#N/A,#N/A,TRUE,"양식12";#N/A,#N/A,TRUE,"양식13_1_2";#N/A,#N/A,TRUE,"양식13_2_2";#N/A,#N/A,TRUE,"양식14"}</definedName>
    <definedName name="ㅂ_5" hidden="1">{#N/A,#N/A,TRUE,"양식5";#N/A,#N/A,TRUE,"양식1_2_2";#N/A,#N/A,TRUE,"양식1_1_2";#N/A,#N/A,TRUE,"양식2";#N/A,#N/A,TRUE,"양식4";#N/A,#N/A,TRUE,"양식3";#N/A,#N/A,TRUE,"양식6";#N/A,#N/A,TRUE,"양식7";#N/A,#N/A,TRUE,"양식10";#N/A,#N/A,TRUE,"양식11";#N/A,#N/A,TRUE,"양식12";#N/A,#N/A,TRUE,"양식13_1_2";#N/A,#N/A,TRUE,"양식13_2_2";#N/A,#N/A,TRUE,"양식14"}</definedName>
    <definedName name="ㅂ_5_1" hidden="1">{#N/A,#N/A,TRUE,"양식5";#N/A,#N/A,TRUE,"양식1_2_2";#N/A,#N/A,TRUE,"양식1_1_2";#N/A,#N/A,TRUE,"양식2";#N/A,#N/A,TRUE,"양식4";#N/A,#N/A,TRUE,"양식3";#N/A,#N/A,TRUE,"양식6";#N/A,#N/A,TRUE,"양식7";#N/A,#N/A,TRUE,"양식10";#N/A,#N/A,TRUE,"양식11";#N/A,#N/A,TRUE,"양식12";#N/A,#N/A,TRUE,"양식13_1_2";#N/A,#N/A,TRUE,"양식13_2_2";#N/A,#N/A,TRUE,"양식14"}</definedName>
    <definedName name="ㅂㄴㅌ" hidden="1">{#N/A,#N/A,FALSE,"KMC최종회의(7월) 자료"}</definedName>
    <definedName name="ㅂㄷㅂ" hidden="1">{#N/A,#N/A,TRUE,"Y생산";#N/A,#N/A,TRUE,"Y판매";#N/A,#N/A,TRUE,"Y총물량";#N/A,#N/A,TRUE,"Y능력";#N/A,#N/A,TRUE,"YKD"}</definedName>
    <definedName name="ㅂㄷㅂㅈㄷ" hidden="1">{#N/A,#N/A,FALSE,"KMC최종회의(7월) 자료"}</definedName>
    <definedName name="ㅂㅁ" hidden="1">{#N/A,#N/A,FALSE,"KMC최종회의(7월) 자료"}</definedName>
    <definedName name="ㅂㅂ" hidden="1">{#N/A,#N/A,FALSE,"단축1";#N/A,#N/A,FALSE,"단축2";#N/A,#N/A,FALSE,"단축3";#N/A,#N/A,FALSE,"장축";#N/A,#N/A,FALSE,"4WD"}</definedName>
    <definedName name="ㅂㅂ_1" hidden="1">{#N/A,#N/A,TRUE,"양식5";#N/A,#N/A,TRUE,"양식1_2_2";#N/A,#N/A,TRUE,"양식1_1_2";#N/A,#N/A,TRUE,"양식2";#N/A,#N/A,TRUE,"양식4";#N/A,#N/A,TRUE,"양식3";#N/A,#N/A,TRUE,"양식6";#N/A,#N/A,TRUE,"양식7";#N/A,#N/A,TRUE,"양식10";#N/A,#N/A,TRUE,"양식11";#N/A,#N/A,TRUE,"양식12";#N/A,#N/A,TRUE,"양식13_1_2";#N/A,#N/A,TRUE,"양식13_2_2";#N/A,#N/A,TRUE,"양식14"}</definedName>
    <definedName name="ㅂㅂ_1_1" hidden="1">{#N/A,#N/A,TRUE,"양식5";#N/A,#N/A,TRUE,"양식1_2_2";#N/A,#N/A,TRUE,"양식1_1_2";#N/A,#N/A,TRUE,"양식2";#N/A,#N/A,TRUE,"양식4";#N/A,#N/A,TRUE,"양식3";#N/A,#N/A,TRUE,"양식6";#N/A,#N/A,TRUE,"양식7";#N/A,#N/A,TRUE,"양식10";#N/A,#N/A,TRUE,"양식11";#N/A,#N/A,TRUE,"양식12";#N/A,#N/A,TRUE,"양식13_1_2";#N/A,#N/A,TRUE,"양식13_2_2";#N/A,#N/A,TRUE,"양식14"}</definedName>
    <definedName name="ㅂㅂ_2" hidden="1">{#N/A,#N/A,TRUE,"양식5";#N/A,#N/A,TRUE,"양식1_2_2";#N/A,#N/A,TRUE,"양식1_1_2";#N/A,#N/A,TRUE,"양식2";#N/A,#N/A,TRUE,"양식4";#N/A,#N/A,TRUE,"양식3";#N/A,#N/A,TRUE,"양식6";#N/A,#N/A,TRUE,"양식7";#N/A,#N/A,TRUE,"양식10";#N/A,#N/A,TRUE,"양식11";#N/A,#N/A,TRUE,"양식12";#N/A,#N/A,TRUE,"양식13_1_2";#N/A,#N/A,TRUE,"양식13_2_2";#N/A,#N/A,TRUE,"양식14"}</definedName>
    <definedName name="ㅂㅂ_2_1" hidden="1">{#N/A,#N/A,TRUE,"양식5";#N/A,#N/A,TRUE,"양식1_2_2";#N/A,#N/A,TRUE,"양식1_1_2";#N/A,#N/A,TRUE,"양식2";#N/A,#N/A,TRUE,"양식4";#N/A,#N/A,TRUE,"양식3";#N/A,#N/A,TRUE,"양식6";#N/A,#N/A,TRUE,"양식7";#N/A,#N/A,TRUE,"양식10";#N/A,#N/A,TRUE,"양식11";#N/A,#N/A,TRUE,"양식12";#N/A,#N/A,TRUE,"양식13_1_2";#N/A,#N/A,TRUE,"양식13_2_2";#N/A,#N/A,TRUE,"양식14"}</definedName>
    <definedName name="ㅂㅂ_3" hidden="1">{#N/A,#N/A,TRUE,"양식5";#N/A,#N/A,TRUE,"양식1_2_2";#N/A,#N/A,TRUE,"양식1_1_2";#N/A,#N/A,TRUE,"양식2";#N/A,#N/A,TRUE,"양식4";#N/A,#N/A,TRUE,"양식3";#N/A,#N/A,TRUE,"양식6";#N/A,#N/A,TRUE,"양식7";#N/A,#N/A,TRUE,"양식10";#N/A,#N/A,TRUE,"양식11";#N/A,#N/A,TRUE,"양식12";#N/A,#N/A,TRUE,"양식13_1_2";#N/A,#N/A,TRUE,"양식13_2_2";#N/A,#N/A,TRUE,"양식14"}</definedName>
    <definedName name="ㅂㅂ_3_1" hidden="1">{#N/A,#N/A,TRUE,"양식5";#N/A,#N/A,TRUE,"양식1_2_2";#N/A,#N/A,TRUE,"양식1_1_2";#N/A,#N/A,TRUE,"양식2";#N/A,#N/A,TRUE,"양식4";#N/A,#N/A,TRUE,"양식3";#N/A,#N/A,TRUE,"양식6";#N/A,#N/A,TRUE,"양식7";#N/A,#N/A,TRUE,"양식10";#N/A,#N/A,TRUE,"양식11";#N/A,#N/A,TRUE,"양식12";#N/A,#N/A,TRUE,"양식13_1_2";#N/A,#N/A,TRUE,"양식13_2_2";#N/A,#N/A,TRUE,"양식14"}</definedName>
    <definedName name="ㅂㅂ_4" hidden="1">{#N/A,#N/A,TRUE,"양식5";#N/A,#N/A,TRUE,"양식1_2_2";#N/A,#N/A,TRUE,"양식1_1_2";#N/A,#N/A,TRUE,"양식2";#N/A,#N/A,TRUE,"양식4";#N/A,#N/A,TRUE,"양식3";#N/A,#N/A,TRUE,"양식6";#N/A,#N/A,TRUE,"양식7";#N/A,#N/A,TRUE,"양식10";#N/A,#N/A,TRUE,"양식11";#N/A,#N/A,TRUE,"양식12";#N/A,#N/A,TRUE,"양식13_1_2";#N/A,#N/A,TRUE,"양식13_2_2";#N/A,#N/A,TRUE,"양식14"}</definedName>
    <definedName name="ㅂㅂ_4_1" hidden="1">{#N/A,#N/A,TRUE,"양식5";#N/A,#N/A,TRUE,"양식1_2_2";#N/A,#N/A,TRUE,"양식1_1_2";#N/A,#N/A,TRUE,"양식2";#N/A,#N/A,TRUE,"양식4";#N/A,#N/A,TRUE,"양식3";#N/A,#N/A,TRUE,"양식6";#N/A,#N/A,TRUE,"양식7";#N/A,#N/A,TRUE,"양식10";#N/A,#N/A,TRUE,"양식11";#N/A,#N/A,TRUE,"양식12";#N/A,#N/A,TRUE,"양식13_1_2";#N/A,#N/A,TRUE,"양식13_2_2";#N/A,#N/A,TRUE,"양식14"}</definedName>
    <definedName name="ㅂㅂ_5" hidden="1">{#N/A,#N/A,TRUE,"양식5";#N/A,#N/A,TRUE,"양식1_2_2";#N/A,#N/A,TRUE,"양식1_1_2";#N/A,#N/A,TRUE,"양식2";#N/A,#N/A,TRUE,"양식4";#N/A,#N/A,TRUE,"양식3";#N/A,#N/A,TRUE,"양식6";#N/A,#N/A,TRUE,"양식7";#N/A,#N/A,TRUE,"양식10";#N/A,#N/A,TRUE,"양식11";#N/A,#N/A,TRUE,"양식12";#N/A,#N/A,TRUE,"양식13_1_2";#N/A,#N/A,TRUE,"양식13_2_2";#N/A,#N/A,TRUE,"양식14"}</definedName>
    <definedName name="ㅂㅂ_5_1" hidden="1">{#N/A,#N/A,TRUE,"양식5";#N/A,#N/A,TRUE,"양식1_2_2";#N/A,#N/A,TRUE,"양식1_1_2";#N/A,#N/A,TRUE,"양식2";#N/A,#N/A,TRUE,"양식4";#N/A,#N/A,TRUE,"양식3";#N/A,#N/A,TRUE,"양식6";#N/A,#N/A,TRUE,"양식7";#N/A,#N/A,TRUE,"양식10";#N/A,#N/A,TRUE,"양식11";#N/A,#N/A,TRUE,"양식12";#N/A,#N/A,TRUE,"양식13_1_2";#N/A,#N/A,TRUE,"양식13_2_2";#N/A,#N/A,TRUE,"양식14"}</definedName>
    <definedName name="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ㅇㅁㄴㄹㅇㄴ" hidden="1">{"'7'!$B$15:$D$32"}</definedName>
    <definedName name="ㅂㅈ" hidden="1">{#N/A,#N/A,FALSE,"KMC최종회의(7월) 자료"}</definedName>
    <definedName name="ㅂㅈㄱㄷ" hidden="1">{#N/A,#N/A,FALSE,"KMC최종회의(7월) 자료"}</definedName>
    <definedName name="ㅂㅈㄴㅁ" hidden="1">{#N/A,#N/A,FALSE,"정공"}</definedName>
    <definedName name="ㅂㅈㄷㅂ" hidden="1">{#N/A,#N/A,FALSE,"96 3월물량표";#N/A,#N/A,FALSE,"96 4월물량표";#N/A,#N/A,FALSE,"96 5월물량표"}</definedName>
    <definedName name="ㅂㅈㅇㅇ" hidden="1">{#N/A,#N/A,FALSE,"단축1";#N/A,#N/A,FALSE,"단축2";#N/A,#N/A,FALSE,"단축3";#N/A,#N/A,FALSE,"장축";#N/A,#N/A,FALSE,"4WD"}</definedName>
    <definedName name="바" hidden="1">{#N/A,#N/A,FALSE,"정공"}</definedName>
    <definedName name="바다" hidden="1">{#N/A,#N/A,FALSE,"단축1";#N/A,#N/A,FALSE,"단축2";#N/A,#N/A,FALSE,"단축3";#N/A,#N/A,FALSE,"장축";#N/A,#N/A,FALSE,"4WD"}</definedName>
    <definedName name="바랑라" hidden="1">{#N/A,#N/A,FALSE,"정공"}</definedName>
    <definedName name="바로가기" hidden="1">{#N/A,#N/A,FALSE,"단축1";#N/A,#N/A,FALSE,"단축2";#N/A,#N/A,FALSE,"단축3";#N/A,#N/A,FALSE,"장축";#N/A,#N/A,FALSE,"4WD"}</definedName>
    <definedName name="바바라" hidden="1">{#N/A,#N/A,TRUE,"Y생산";#N/A,#N/A,TRUE,"Y판매";#N/A,#N/A,TRUE,"Y총물량";#N/A,#N/A,TRUE,"Y능력";#N/A,#N/A,TRUE,"YKD"}</definedName>
    <definedName name="바바바밥바바바바" hidden="1">{"'5'!$A$1:$BB$147"}</definedName>
    <definedName name="바밥" hidden="1">{"'5'!$A$1:$BB$147"}</definedName>
    <definedName name="바밥바" hidden="1">{"'5'!$A$1:$BB$147"}</definedName>
    <definedName name="바보" hidden="1">{"'7'!$B$15:$D$32"}</definedName>
    <definedName name="바보상자" hidden="1">{#N/A,#N/A,FALSE,"정공"}</definedName>
    <definedName name="바보야" hidden="1">{#N/A,#N/A,TRUE,"Y생산";#N/A,#N/A,TRUE,"Y판매";#N/A,#N/A,TRUE,"Y총물량";#N/A,#N/A,TRUE,"Y능력";#N/A,#N/A,TRUE,"YKD"}</definedName>
    <definedName name="바보ㅗ옹아아러ㅏ" hidden="1">{"'5'!$A$1:$BB$147"}</definedName>
    <definedName name="바이러스" hidden="1">{#N/A,#N/A,TRUE,"Y생산";#N/A,#N/A,TRUE,"Y판매";#N/A,#N/A,TRUE,"Y총물량";#N/A,#N/A,TRUE,"Y능력";#N/A,#N/A,TRUE,"YKD"}</definedName>
    <definedName name="바지락" hidden="1">{#N/A,#N/A,FALSE,"단축1";#N/A,#N/A,FALSE,"단축2";#N/A,#N/A,FALSE,"단축3";#N/A,#N/A,FALSE,"장축";#N/A,#N/A,FALSE,"4WD"}</definedName>
    <definedName name="박가" hidden="1">{#N/A,#N/A,FALSE,"단축1";#N/A,#N/A,FALSE,"단축2";#N/A,#N/A,FALSE,"단축3";#N/A,#N/A,FALSE,"장축";#N/A,#N/A,FALSE,"4WD"}</definedName>
    <definedName name="박기현" hidden="1">{#N/A,#N/A,TRUE,"Y생산";#N/A,#N/A,TRUE,"Y판매";#N/A,#N/A,TRUE,"Y총물량";#N/A,#N/A,TRUE,"Y능력";#N/A,#N/A,TRUE,"YKD"}</definedName>
    <definedName name="박명용" hidden="1">{#N/A,#N/A,TRUE,"Y생산";#N/A,#N/A,TRUE,"Y판매";#N/A,#N/A,TRUE,"Y총물량";#N/A,#N/A,TRUE,"Y능력";#N/A,#N/A,TRUE,"YKD"}</definedName>
    <definedName name="박석용" hidden="1">{#N/A,#N/A,TRUE,"양식5";#N/A,#N/A,TRUE,"양식1_2_2";#N/A,#N/A,TRUE,"양식1_1_2";#N/A,#N/A,TRUE,"양식2";#N/A,#N/A,TRUE,"양식4";#N/A,#N/A,TRUE,"양식3";#N/A,#N/A,TRUE,"양식6";#N/A,#N/A,TRUE,"양식7";#N/A,#N/A,TRUE,"양식10";#N/A,#N/A,TRUE,"양식11";#N/A,#N/A,TRUE,"양식12";#N/A,#N/A,TRUE,"양식13_1_2";#N/A,#N/A,TRUE,"양식13_2_2";#N/A,#N/A,TRUE,"양식14"}</definedName>
    <definedName name="박어쟈루" hidden="1">#REF!</definedName>
    <definedName name="박지호" hidden="1">{#N/A,#N/A,FALSE,"단축1";#N/A,#N/A,FALSE,"단축2";#N/A,#N/A,FALSE,"단축3";#N/A,#N/A,FALSE,"장축";#N/A,#N/A,FALSE,"4WD"}</definedName>
    <definedName name="반기별" hidden="1">{#N/A,#N/A,FALSE,"KMC최종회의(7월) 자료"}</definedName>
    <definedName name="반기별공구비" hidden="1">{#N/A,#N/A,FALSE,"KMC최종회의(7월) 자료"}</definedName>
    <definedName name="받" hidden="1">{#N/A,#N/A,TRUE,"Y생산";#N/A,#N/A,TRUE,"Y판매";#N/A,#N/A,TRUE,"Y총물량";#N/A,#N/A,TRUE,"Y능력";#N/A,#N/A,TRUE,"YKD"}</definedName>
    <definedName name="발안요약123" hidden="1">{#N/A,#N/A,FALSE,"정공"}</definedName>
    <definedName name="밥바" hidden="1">{"'5'!$A$1:$BB$147"}</definedName>
    <definedName name="밥바자" hidden="1">{"'5'!$A$1:$BB$147"}</definedName>
    <definedName name="방안" hidden="1">{#N/A,#N/A,FALSE,"단축1";#N/A,#N/A,FALSE,"단축2";#N/A,#N/A,FALSE,"단축3";#N/A,#N/A,FALSE,"장축";#N/A,#N/A,FALSE,"4WD"}</definedName>
    <definedName name="방진고무" hidden="1">{#N/A,#N/A,FALSE,"단축1";#N/A,#N/A,FALSE,"단축2";#N/A,#N/A,FALSE,"단축3";#N/A,#N/A,FALSE,"장축";#N/A,#N/A,FALSE,"4WD"}</definedName>
    <definedName name="방침" hidden="1">{#N/A,#N/A,FALSE,"단축1";#N/A,#N/A,FALSE,"단축2";#N/A,#N/A,FALSE,"단축3";#N/A,#N/A,FALSE,"장축";#N/A,#N/A,FALSE,"4WD"}</definedName>
    <definedName name="배부기준첨부" hidden="1">{#N/A,#N/A,FALSE,"정공"}</definedName>
    <definedName name="배부기준첨부하오" hidden="1">{#N/A,#N/A,FALSE,"정공"}</definedName>
    <definedName name="배찬식" hidden="1">{#N/A,#N/A,FALSE,"정공"}</definedName>
    <definedName name="버가" hidden="1">{#N/A,#N/A,FALSE,"96 3월물량표";#N/A,#N/A,FALSE,"96 4월물량표";#N/A,#N/A,FALSE,"96 5월물량표"}</definedName>
    <definedName name="버바바" hidden="1">{#N/A,#N/A,FALSE,"정공"}</definedName>
    <definedName name="베어링3" hidden="1">{#N/A,#N/A,FALSE,"단축1";#N/A,#N/A,FALSE,"단축2";#N/A,#N/A,FALSE,"단축3";#N/A,#N/A,FALSE,"장축";#N/A,#N/A,FALSE,"4WD"}</definedName>
    <definedName name="벨트" hidden="1">#REF!</definedName>
    <definedName name="변" hidden="1">{#N/A,#N/A,FALSE,"KMC최종회의(7월) 자료"}</definedName>
    <definedName name="변경목차" hidden="1">{#N/A,#N/A,FALSE,"단축1";#N/A,#N/A,FALSE,"단축2";#N/A,#N/A,FALSE,"단축3";#N/A,#N/A,FALSE,"장축";#N/A,#N/A,FALSE,"4WD"}</definedName>
    <definedName name="변경후" hidden="1">{#N/A,#N/A,FALSE,"단축1";#N/A,#N/A,FALSE,"단축2";#N/A,#N/A,FALSE,"단축3";#N/A,#N/A,FALSE,"장축";#N/A,#N/A,FALSE,"4WD"}</definedName>
    <definedName name="변동" hidden="1">{#N/A,#N/A,FALSE,"단축1";#N/A,#N/A,FALSE,"단축2";#N/A,#N/A,FALSE,"단축3";#N/A,#N/A,FALSE,"장축";#N/A,#N/A,FALSE,"4WD"}</definedName>
    <definedName name="변동내역" hidden="1">{#N/A,#N/A,TRUE,"Y생산";#N/A,#N/A,TRUE,"Y판매";#N/A,#N/A,TRUE,"Y총물량";#N/A,#N/A,TRUE,"Y능력";#N/A,#N/A,TRUE,"YKD"}</definedName>
    <definedName name="변동내용" hidden="1">{#N/A,#N/A,FALSE,"단축1";#N/A,#N/A,FALSE,"단축2";#N/A,#N/A,FALSE,"단축3";#N/A,#N/A,FALSE,"장축";#N/A,#N/A,FALSE,"4WD"}</definedName>
    <definedName name="변동누계" hidden="1">{#N/A,#N/A,FALSE,"신규dep";#N/A,#N/A,FALSE,"신규dep-금형상각후";#N/A,#N/A,FALSE,"신규dep-연구비상각후";#N/A,#N/A,FALSE,"신규dep-기계,공구상각후"}</definedName>
    <definedName name="변속" hidden="1">{#N/A,#N/A,FALSE,"KMC최종회의(7월) 자료"}</definedName>
    <definedName name="변속1" hidden="1">{#N/A,#N/A,FALSE,"KMC최종회의(7월) 자료"}</definedName>
    <definedName name="변속2" hidden="1">{#N/A,#N/A,FALSE,"KMC최종회의(7월) 자료"}</definedName>
    <definedName name="변속3" hidden="1">{#N/A,#N/A,FALSE,"KMC최종회의(7월) 자료"}</definedName>
    <definedName name="변속4" hidden="1">{#N/A,#N/A,FALSE,"KMC최종회의(7월) 자료"}</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별첨3" hidden="1">{#N/A,#N/A,FALSE,"정공"}</definedName>
    <definedName name="별첨그룹3" hidden="1">{#N/A,#N/A,FALSE,"정공"}</definedName>
    <definedName name="별첨추가표" hidden="1">{#N/A,#N/A,FALSE,"정공"}</definedName>
    <definedName name="병" hidden="1">{#N/A,#N/A,FALSE,"단축1";#N/A,#N/A,FALSE,"단축2";#N/A,#N/A,FALSE,"단축3";#N/A,#N/A,FALSE,"장축";#N/A,#N/A,FALSE,"4WD"}</definedName>
    <definedName name="보고" hidden="1">{#N/A,#N/A,FALSE,"단축1";#N/A,#N/A,FALSE,"단축2";#N/A,#N/A,FALSE,"단축3";#N/A,#N/A,FALSE,"장축";#N/A,#N/A,FALSE,"4WD"}</definedName>
    <definedName name="보고222" hidden="1">{#N/A,#N/A,FALSE,"KMC최종회의(7월) 자료"}</definedName>
    <definedName name="보고서1" hidden="1">{#N/A,#N/A,FALSE,"단축1";#N/A,#N/A,FALSE,"단축2";#N/A,#N/A,FALSE,"단축3";#N/A,#N/A,FALSE,"장축";#N/A,#N/A,FALSE,"4WD"}</definedName>
    <definedName name="보고서111" hidden="1">{#N/A,#N/A,FALSE,"KMC최종회의(7월) 자료"}</definedName>
    <definedName name="보사용1" hidden="1">{#N/A,#N/A,FALSE,"정공"}</definedName>
    <definedName name="보전" hidden="1">{#N/A,#N/A,FALSE,"KMC최종회의(7월) 자료"}</definedName>
    <definedName name="보전기획2" hidden="1">{#N/A,#N/A,FALSE,"ROW DATA"}</definedName>
    <definedName name="보지" hidden="1">{"'5'!$A$1:$BB$147"}</definedName>
    <definedName name="보호" hidden="1">{#N/A,#N/A,FALSE,"ENG'G(보호계전기)"}</definedName>
    <definedName name="복사용" hidden="1">{#N/A,#N/A,FALSE,"KMC최종회의(7월) 자료"}</definedName>
    <definedName name="본문" hidden="1">{#N/A,#N/A,FALSE,"단축1";#N/A,#N/A,FALSE,"단축2";#N/A,#N/A,FALSE,"단축3";#N/A,#N/A,FALSE,"장축";#N/A,#N/A,FALSE,"4WD"}</definedName>
    <definedName name="본부" hidden="1">{"'5'!$A$1:$BB$147"}</definedName>
    <definedName name="본부비2" hidden="1">{#N/A,#N/A,FALSE,"BS";#N/A,#N/A,FALSE,"PL";#N/A,#N/A,FALSE,"A";#N/A,#N/A,FALSE,"B";#N/A,#N/A,FALSE,"B1";#N/A,#N/A,FALSE,"C";#N/A,#N/A,FALSE,"C1";#N/A,#N/A,FALSE,"C2";#N/A,#N/A,FALSE,"D";#N/A,#N/A,FALSE,"E";#N/A,#N/A,FALSE,"F";#N/A,#N/A,FALSE,"AA";#N/A,#N/A,FALSE,"BB";#N/A,#N/A,FALSE,"CC";#N/A,#N/A,FALSE,"DD";#N/A,#N/A,FALSE,"EE";#N/A,#N/A,FALSE,"FF";#N/A,#N/A,FALSE,"PL10";#N/A,#N/A,FALSE,"PL20";#N/A,#N/A,FALSE,"PL30"}</definedName>
    <definedName name="본부비2_1" hidden="1">{#N/A,#N/A,FALSE,"BS";#N/A,#N/A,FALSE,"PL";#N/A,#N/A,FALSE,"A";#N/A,#N/A,FALSE,"B";#N/A,#N/A,FALSE,"B1";#N/A,#N/A,FALSE,"C";#N/A,#N/A,FALSE,"C1";#N/A,#N/A,FALSE,"C2";#N/A,#N/A,FALSE,"D";#N/A,#N/A,FALSE,"E";#N/A,#N/A,FALSE,"F";#N/A,#N/A,FALSE,"AA";#N/A,#N/A,FALSE,"BB";#N/A,#N/A,FALSE,"CC";#N/A,#N/A,FALSE,"DD";#N/A,#N/A,FALSE,"EE";#N/A,#N/A,FALSE,"FF";#N/A,#N/A,FALSE,"PL10";#N/A,#N/A,FALSE,"PL20";#N/A,#N/A,FALSE,"PL30"}</definedName>
    <definedName name="본부비2_1_1" hidden="1">{#N/A,#N/A,FALSE,"BS";#N/A,#N/A,FALSE,"PL";#N/A,#N/A,FALSE,"A";#N/A,#N/A,FALSE,"B";#N/A,#N/A,FALSE,"B1";#N/A,#N/A,FALSE,"C";#N/A,#N/A,FALSE,"C1";#N/A,#N/A,FALSE,"C2";#N/A,#N/A,FALSE,"D";#N/A,#N/A,FALSE,"E";#N/A,#N/A,FALSE,"F";#N/A,#N/A,FALSE,"AA";#N/A,#N/A,FALSE,"BB";#N/A,#N/A,FALSE,"CC";#N/A,#N/A,FALSE,"DD";#N/A,#N/A,FALSE,"EE";#N/A,#N/A,FALSE,"FF";#N/A,#N/A,FALSE,"PL10";#N/A,#N/A,FALSE,"PL20";#N/A,#N/A,FALSE,"PL30"}</definedName>
    <definedName name="본부비2_2" hidden="1">{#N/A,#N/A,FALSE,"BS";#N/A,#N/A,FALSE,"PL";#N/A,#N/A,FALSE,"A";#N/A,#N/A,FALSE,"B";#N/A,#N/A,FALSE,"B1";#N/A,#N/A,FALSE,"C";#N/A,#N/A,FALSE,"C1";#N/A,#N/A,FALSE,"C2";#N/A,#N/A,FALSE,"D";#N/A,#N/A,FALSE,"E";#N/A,#N/A,FALSE,"F";#N/A,#N/A,FALSE,"AA";#N/A,#N/A,FALSE,"BB";#N/A,#N/A,FALSE,"CC";#N/A,#N/A,FALSE,"DD";#N/A,#N/A,FALSE,"EE";#N/A,#N/A,FALSE,"FF";#N/A,#N/A,FALSE,"PL10";#N/A,#N/A,FALSE,"PL20";#N/A,#N/A,FALSE,"PL30"}</definedName>
    <definedName name="본부비2_2_1" hidden="1">{#N/A,#N/A,FALSE,"BS";#N/A,#N/A,FALSE,"PL";#N/A,#N/A,FALSE,"A";#N/A,#N/A,FALSE,"B";#N/A,#N/A,FALSE,"B1";#N/A,#N/A,FALSE,"C";#N/A,#N/A,FALSE,"C1";#N/A,#N/A,FALSE,"C2";#N/A,#N/A,FALSE,"D";#N/A,#N/A,FALSE,"E";#N/A,#N/A,FALSE,"F";#N/A,#N/A,FALSE,"AA";#N/A,#N/A,FALSE,"BB";#N/A,#N/A,FALSE,"CC";#N/A,#N/A,FALSE,"DD";#N/A,#N/A,FALSE,"EE";#N/A,#N/A,FALSE,"FF";#N/A,#N/A,FALSE,"PL10";#N/A,#N/A,FALSE,"PL20";#N/A,#N/A,FALSE,"PL30"}</definedName>
    <definedName name="본부비2_3" hidden="1">{#N/A,#N/A,FALSE,"BS";#N/A,#N/A,FALSE,"PL";#N/A,#N/A,FALSE,"A";#N/A,#N/A,FALSE,"B";#N/A,#N/A,FALSE,"B1";#N/A,#N/A,FALSE,"C";#N/A,#N/A,FALSE,"C1";#N/A,#N/A,FALSE,"C2";#N/A,#N/A,FALSE,"D";#N/A,#N/A,FALSE,"E";#N/A,#N/A,FALSE,"F";#N/A,#N/A,FALSE,"AA";#N/A,#N/A,FALSE,"BB";#N/A,#N/A,FALSE,"CC";#N/A,#N/A,FALSE,"DD";#N/A,#N/A,FALSE,"EE";#N/A,#N/A,FALSE,"FF";#N/A,#N/A,FALSE,"PL10";#N/A,#N/A,FALSE,"PL20";#N/A,#N/A,FALSE,"PL30"}</definedName>
    <definedName name="본부비2_3_1" hidden="1">{#N/A,#N/A,FALSE,"BS";#N/A,#N/A,FALSE,"PL";#N/A,#N/A,FALSE,"A";#N/A,#N/A,FALSE,"B";#N/A,#N/A,FALSE,"B1";#N/A,#N/A,FALSE,"C";#N/A,#N/A,FALSE,"C1";#N/A,#N/A,FALSE,"C2";#N/A,#N/A,FALSE,"D";#N/A,#N/A,FALSE,"E";#N/A,#N/A,FALSE,"F";#N/A,#N/A,FALSE,"AA";#N/A,#N/A,FALSE,"BB";#N/A,#N/A,FALSE,"CC";#N/A,#N/A,FALSE,"DD";#N/A,#N/A,FALSE,"EE";#N/A,#N/A,FALSE,"FF";#N/A,#N/A,FALSE,"PL10";#N/A,#N/A,FALSE,"PL20";#N/A,#N/A,FALSE,"PL30"}</definedName>
    <definedName name="본부비2_4" hidden="1">{#N/A,#N/A,FALSE,"BS";#N/A,#N/A,FALSE,"PL";#N/A,#N/A,FALSE,"A";#N/A,#N/A,FALSE,"B";#N/A,#N/A,FALSE,"B1";#N/A,#N/A,FALSE,"C";#N/A,#N/A,FALSE,"C1";#N/A,#N/A,FALSE,"C2";#N/A,#N/A,FALSE,"D";#N/A,#N/A,FALSE,"E";#N/A,#N/A,FALSE,"F";#N/A,#N/A,FALSE,"AA";#N/A,#N/A,FALSE,"BB";#N/A,#N/A,FALSE,"CC";#N/A,#N/A,FALSE,"DD";#N/A,#N/A,FALSE,"EE";#N/A,#N/A,FALSE,"FF";#N/A,#N/A,FALSE,"PL10";#N/A,#N/A,FALSE,"PL20";#N/A,#N/A,FALSE,"PL30"}</definedName>
    <definedName name="본부비2_4_1" hidden="1">{#N/A,#N/A,FALSE,"BS";#N/A,#N/A,FALSE,"PL";#N/A,#N/A,FALSE,"A";#N/A,#N/A,FALSE,"B";#N/A,#N/A,FALSE,"B1";#N/A,#N/A,FALSE,"C";#N/A,#N/A,FALSE,"C1";#N/A,#N/A,FALSE,"C2";#N/A,#N/A,FALSE,"D";#N/A,#N/A,FALSE,"E";#N/A,#N/A,FALSE,"F";#N/A,#N/A,FALSE,"AA";#N/A,#N/A,FALSE,"BB";#N/A,#N/A,FALSE,"CC";#N/A,#N/A,FALSE,"DD";#N/A,#N/A,FALSE,"EE";#N/A,#N/A,FALSE,"FF";#N/A,#N/A,FALSE,"PL10";#N/A,#N/A,FALSE,"PL20";#N/A,#N/A,FALSE,"PL30"}</definedName>
    <definedName name="본부비2_5" hidden="1">{#N/A,#N/A,FALSE,"BS";#N/A,#N/A,FALSE,"PL";#N/A,#N/A,FALSE,"A";#N/A,#N/A,FALSE,"B";#N/A,#N/A,FALSE,"B1";#N/A,#N/A,FALSE,"C";#N/A,#N/A,FALSE,"C1";#N/A,#N/A,FALSE,"C2";#N/A,#N/A,FALSE,"D";#N/A,#N/A,FALSE,"E";#N/A,#N/A,FALSE,"F";#N/A,#N/A,FALSE,"AA";#N/A,#N/A,FALSE,"BB";#N/A,#N/A,FALSE,"CC";#N/A,#N/A,FALSE,"DD";#N/A,#N/A,FALSE,"EE";#N/A,#N/A,FALSE,"FF";#N/A,#N/A,FALSE,"PL10";#N/A,#N/A,FALSE,"PL20";#N/A,#N/A,FALSE,"PL30"}</definedName>
    <definedName name="본부비2_5_1" hidden="1">{#N/A,#N/A,FALSE,"BS";#N/A,#N/A,FALSE,"PL";#N/A,#N/A,FALSE,"A";#N/A,#N/A,FALSE,"B";#N/A,#N/A,FALSE,"B1";#N/A,#N/A,FALSE,"C";#N/A,#N/A,FALSE,"C1";#N/A,#N/A,FALSE,"C2";#N/A,#N/A,FALSE,"D";#N/A,#N/A,FALSE,"E";#N/A,#N/A,FALSE,"F";#N/A,#N/A,FALSE,"AA";#N/A,#N/A,FALSE,"BB";#N/A,#N/A,FALSE,"CC";#N/A,#N/A,FALSE,"DD";#N/A,#N/A,FALSE,"EE";#N/A,#N/A,FALSE,"FF";#N/A,#N/A,FALSE,"PL10";#N/A,#N/A,FALSE,"PL20";#N/A,#N/A,FALSE,"PL30"}</definedName>
    <definedName name="본부장" hidden="1">{#N/A,#N/A,FALSE,"KMC최종회의(7월) 자료"}</definedName>
    <definedName name="본사" hidden="1">{#N/A,#N/A,FALSE,"DAOCM 2차 검토"}</definedName>
    <definedName name="본사_1" hidden="1">{#N/A,#N/A,FALSE,"DAOCM 2차 검토"}</definedName>
    <definedName name="본사_1_1" hidden="1">{#N/A,#N/A,FALSE,"DAOCM 2차 검토"}</definedName>
    <definedName name="본사_2" hidden="1">{#N/A,#N/A,FALSE,"DAOCM 2차 검토"}</definedName>
    <definedName name="본사_2_1" hidden="1">{#N/A,#N/A,FALSE,"DAOCM 2차 검토"}</definedName>
    <definedName name="본사_3" hidden="1">{#N/A,#N/A,FALSE,"DAOCM 2차 검토"}</definedName>
    <definedName name="본사_3_1" hidden="1">{#N/A,#N/A,FALSE,"DAOCM 2차 검토"}</definedName>
    <definedName name="본사_4" hidden="1">{#N/A,#N/A,FALSE,"DAOCM 2차 검토"}</definedName>
    <definedName name="본사_4_1" hidden="1">{#N/A,#N/A,FALSE,"DAOCM 2차 검토"}</definedName>
    <definedName name="본사_5" hidden="1">{#N/A,#N/A,FALSE,"DAOCM 2차 검토"}</definedName>
    <definedName name="본사_5_1" hidden="1">{#N/A,#N/A,FALSE,"DAOCM 2차 검토"}</definedName>
    <definedName name="볼트수정" hidden="1">{#N/A,#N/A,FALSE,"단축1";#N/A,#N/A,FALSE,"단축2";#N/A,#N/A,FALSE,"단축3";#N/A,#N/A,FALSE,"장축";#N/A,#N/A,FALSE,"4WD"}</definedName>
    <definedName name="부개팀2" hidden="1">{#N/A,#N/A,FALSE,"단축1";#N/A,#N/A,FALSE,"단축2";#N/A,#N/A,FALSE,"단축3";#N/A,#N/A,FALSE,"장축";#N/A,#N/A,FALSE,"4WD"}</definedName>
    <definedName name="부서절감계획" hidden="1">{#N/A,#N/A,FALSE,"정공"}</definedName>
    <definedName name="부서절감계획2" hidden="1">{#N/A,#N/A,FALSE,"정공"}</definedName>
    <definedName name="부서종합" hidden="1">{#N/A,#N/A,FALSE,"KMC최종회의(7월) 자료"}</definedName>
    <definedName name="부진" hidden="1">{"'0808_월별 (2)'!$A$2:$T$28"}</definedName>
    <definedName name="부품1" hidden="1">{#N/A,#N/A,FALSE,"해외크레임";#N/A,#N/A,FALSE,"ACCENT현황";#N/A,#N/A,FALSE,"AVANTE";#N/A,#N/A,FALSE,"SONATA(3)";#N/A,#N/A,FALSE,"국내크레임"}</definedName>
    <definedName name="부품별" hidden="1">{#N/A,#N/A,FALSE,"KMC최종회의(7월) 자료"}</definedName>
    <definedName name="분" hidden="1">{#N/A,#N/A,FALSE,"단축1";#N/A,#N/A,FALSE,"단축2";#N/A,#N/A,FALSE,"단축3";#N/A,#N/A,FALSE,"장축";#N/A,#N/A,FALSE,"4WD"}</definedName>
    <definedName name="분기별" hidden="1">{#N/A,#N/A,TRUE,"Y생산";#N/A,#N/A,TRUE,"Y판매";#N/A,#N/A,TRUE,"Y총물량";#N/A,#N/A,TRUE,"Y능력";#N/A,#N/A,TRUE,"YKD"}</definedName>
    <definedName name="분석" hidden="1">{#N/A,#N/A,FALSE,"KMC최종회의(7월) 자료"}</definedName>
    <definedName name="분석1" hidden="1">{#N/A,#N/A,FALSE,"KMC최종회의(7월) 자료"}</definedName>
    <definedName name="불량재고경비실적" hidden="1">{#N/A,#N/A,TRUE,"Y생산";#N/A,#N/A,TRUE,"Y판매";#N/A,#N/A,TRUE,"Y총물량";#N/A,#N/A,TRUE,"Y능력";#N/A,#N/A,TRUE,"YKD"}</definedName>
    <definedName name="비교" hidden="1">{#N/A,#N/A,FALSE,"KMC최종회의(7월) 자료"}</definedName>
    <definedName name="비교손익당초" hidden="1">{#N/A,#N/A,FALSE,"정공"}</definedName>
    <definedName name="비비" hidden="1">{#N/A,#N/A,FALSE,"단축1";#N/A,#N/A,FALSE,"단축2";#N/A,#N/A,FALSE,"단축3";#N/A,#N/A,FALSE,"장축";#N/A,#N/A,FALSE,"4WD"}</definedName>
    <definedName name="비스피엘" hidden="1">{#N/A,#N/A,FALSE,"정공"}</definedName>
    <definedName name="비용분해2" hidden="1">{#N/A,#N/A,FALSE,"정공"}</definedName>
    <definedName name="비이피" hidden="1">#REF!</definedName>
    <definedName name="비이피01년" hidden="1">#REF!</definedName>
    <definedName name="비이피22" hidden="1">{#N/A,#N/A,FALSE,"정공"}</definedName>
    <definedName name="ㅅ" hidden="1">{#N/A,#N/A,TRUE,"Y생산";#N/A,#N/A,TRUE,"Y판매";#N/A,#N/A,TRUE,"Y총물량";#N/A,#N/A,TRUE,"Y능력";#N/A,#N/A,TRUE,"YKD"}</definedName>
    <definedName name="ㅅ4ㅎㅅㄱㅎㅅ" hidden="1">{#N/A,#N/A,FALSE,"KMC최종회의(7월) 자료"}</definedName>
    <definedName name="ㅅㄱ" hidden="1">{#N/A,#N/A,TRUE,"Y생산";#N/A,#N/A,TRUE,"Y판매";#N/A,#N/A,TRUE,"Y총물량";#N/A,#N/A,TRUE,"Y능력";#N/A,#N/A,TRUE,"YKD"}</definedName>
    <definedName name="ㅅㄱㄽㄱㄳㄱ" hidden="1">{#N/A,#N/A,FALSE,"KMC최종회의(7월) 자료"}</definedName>
    <definedName name="ㅅ거ㅏ" hidden="1">{#N/A,#N/A,TRUE,"Y생산";#N/A,#N/A,TRUE,"Y판매";#N/A,#N/A,TRUE,"Y총물량";#N/A,#N/A,TRUE,"Y능력";#N/A,#N/A,TRUE,"YKD"}</definedName>
    <definedName name="ㅅ거ㅛㅕㅣㅏ" hidden="1">{#N/A,#N/A,FALSE,"96 3월물량표";#N/A,#N/A,FALSE,"96 4월물량표";#N/A,#N/A,FALSE,"96 5월물량표"}</definedName>
    <definedName name="ㅅ마호" hidden="1">{"'7'!$B$15:$D$32"}</definedName>
    <definedName name="ㅅㅅㅅ" hidden="1">{#N/A,#N/A,FALSE,"KMC최종회의(7월) 자료"}</definedName>
    <definedName name="ㅅㅎㅅㅅㅎㅅ" hidden="1">{#N/A,#N/A,FALSE,"KMC최종회의(7월) 자료"}</definedName>
    <definedName name="사고뭉치" hidden="1">{#N/A,#N/A,FALSE,"96 3월물량표";#N/A,#N/A,FALSE,"96 4월물량표";#N/A,#N/A,FALSE,"96 5월물량표"}</definedName>
    <definedName name="사내" hidden="1">{"'5'!$A$1:$BB$147"}</definedName>
    <definedName name="사내공문1" hidden="1">{#N/A,#N/A,FALSE,"단축1";#N/A,#N/A,FALSE,"단축2";#N/A,#N/A,FALSE,"단축3";#N/A,#N/A,FALSE,"장축";#N/A,#N/A,FALSE,"4WD"}</definedName>
    <definedName name="사내공문3" hidden="1">{#N/A,#N/A,FALSE,"KMC최종회의(7월) 자료"}</definedName>
    <definedName name="사다라다라" hidden="1">{"'5'!$A$1:$BB$147"}</definedName>
    <definedName name="사다함이" hidden="1">{#N/A,#N/A,FALSE,"정공"}</definedName>
    <definedName name="사라다라사" hidden="1">{"'5'!$A$1:$BB$147"}</definedName>
    <definedName name="사람이야" hidden="1">{#N/A,#N/A,FALSE,"정공"}</definedName>
    <definedName name="사랑" hidden="1">{"'5'!$A$1:$BB$147"}</definedName>
    <definedName name="사랑2" hidden="1">{"'5'!$A$1:$BB$147"}</definedName>
    <definedName name="사랑3" hidden="1">{"'5'!$A$1:$BB$147"}</definedName>
    <definedName name="사랑하오" hidden="1">{#N/A,#N/A,FALSE,"정공"}</definedName>
    <definedName name="사무" hidden="1">{#N/A,#N/A,TRUE,"Y생산";#N/A,#N/A,TRUE,"Y판매";#N/A,#N/A,TRUE,"Y총물량";#N/A,#N/A,TRUE,"Y능력";#N/A,#N/A,TRUE,"YKD"}</definedName>
    <definedName name="사본" hidden="1">{#N/A,#N/A,FALSE,"정공"}</definedName>
    <definedName name="사양" hidden="1">{#N/A,#N/A,FALSE,"신규dep";#N/A,#N/A,FALSE,"신규dep-금형상각후";#N/A,#N/A,FALSE,"신규dep-연구비상각후";#N/A,#N/A,FALSE,"신규dep-기계,공구상각후"}</definedName>
    <definedName name="사양비교1" hidden="1">{#N/A,#N/A,FALSE,"단축1";#N/A,#N/A,FALSE,"단축2";#N/A,#N/A,FALSE,"단축3";#N/A,#N/A,FALSE,"장축";#N/A,#N/A,FALSE,"4WD"}</definedName>
    <definedName name="사양안" hidden="1">{#N/A,#N/A,FALSE,"단축1";#N/A,#N/A,FALSE,"단축2";#N/A,#N/A,FALSE,"단축3";#N/A,#N/A,FALSE,"장축";#N/A,#N/A,FALSE,"4WD"}</definedName>
    <definedName name="사업" hidden="1">{"'0808_월별 (2)'!$A$2:$T$28"}</definedName>
    <definedName name="사업계획" hidden="1">{#N/A,#N/A,TRUE,"Y생산";#N/A,#N/A,TRUE,"Y판매";#N/A,#N/A,TRUE,"Y총물량";#N/A,#N/A,TRUE,"Y능력";#N/A,#N/A,TRUE,"YKD"}</definedName>
    <definedName name="사업계획2" hidden="1">{#N/A,#N/A,FALSE,"정공"}</definedName>
    <definedName name="사업달성방안" hidden="1">{#N/A,#N/A,FALSE,"KMC최종회의(7월) 자료"}</definedName>
    <definedName name="사업비교표" hidden="1">{#N/A,#N/A,FALSE,"정공"}</definedName>
    <definedName name="사업추진" hidden="1">{#N/A,#N/A,FALSE,"정공"}</definedName>
    <definedName name="사원추가합격자" hidden="1">{"'7'!$B$15:$D$32"}</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진복사2" hidden="1">{#N/A,#N/A,TRUE,"Y생산";#N/A,#N/A,TRUE,"Y판매";#N/A,#N/A,TRUE,"Y총물량";#N/A,#N/A,TRUE,"Y능력";#N/A,#N/A,TRUE,"YKD"}</definedName>
    <definedName name="산" hidden="1">{#N/A,#N/A,FALSE,"KMC최종회의(7월) 자료"}</definedName>
    <definedName name="산기3팀" hidden="1">{#N/A,#N/A,FALSE,"KMC최종회의(7월) 자료"}</definedName>
    <definedName name="살려도" hidden="1">{#N/A,#N/A,FALSE,"단축1";#N/A,#N/A,FALSE,"단축2";#N/A,#N/A,FALSE,"단축3";#N/A,#N/A,FALSE,"장축";#N/A,#N/A,FALSE,"4WD"}</definedName>
    <definedName name="삼성" hidden="1">{#N/A,#N/A,FALSE,"정공"}</definedName>
    <definedName name="삼성2" hidden="1">{#N/A,#N/A,FALSE,"정공"}</definedName>
    <definedName name="삼성수나" hidden="1">{#N/A,#N/A,FALSE,"정공"}</definedName>
    <definedName name="삼호" hidden="1">{"'7'!$B$15:$D$32"}</definedName>
    <definedName name="삽입추가2" hidden="1">{#N/A,#N/A,FALSE,"정공"}</definedName>
    <definedName name="상" hidden="1">{"'7'!$B$15:$D$32"}</definedName>
    <definedName name="상권" hidden="1">{"'7'!$B$15:$D$32"}</definedName>
    <definedName name="상도2" hidden="1">{#N/A,#N/A,FALSE,"단축1";#N/A,#N/A,FALSE,"단축2";#N/A,#N/A,FALSE,"단축3";#N/A,#N/A,FALSE,"장축";#N/A,#N/A,FALSE,"4WD"}</definedName>
    <definedName name="상로허호" hidden="1">{#N/A,#N/A,FALSE,"정공"}</definedName>
    <definedName name="상목" hidden="1">{#N/A,#N/A,TRUE,"Y생산";#N/A,#N/A,TRUE,"Y판매";#N/A,#N/A,TRUE,"Y총물량";#N/A,#N/A,TRUE,"Y능력";#N/A,#N/A,TRUE,"YKD"}</definedName>
    <definedName name="상반기실적" hidden="1">{#N/A,#N/A,FALSE,"KMC최종회의(7월) 자료"}</definedName>
    <definedName name="상반기예상실적" hidden="1">{#N/A,#N/A,FALSE,"단축1";#N/A,#N/A,FALSE,"단축2";#N/A,#N/A,FALSE,"단축3";#N/A,#N/A,FALSE,"장축";#N/A,#N/A,FALSE,"4WD"}</definedName>
    <definedName name="상반실분석" hidden="1">#REF!</definedName>
    <definedName name="상반요인편집" hidden="1">{#N/A,#N/A,FALSE,"정공"}</definedName>
    <definedName name="상세" hidden="1">{#N/A,#N/A,FALSE,"KMC최종회의(7월) 자료"}</definedName>
    <definedName name="상품" hidden="1">{"'5'!$A$1:$BB$147"}</definedName>
    <definedName name="상품별" hidden="1">{"'5'!$A$1:$BB$147"}</definedName>
    <definedName name="상품별연체율추이" hidden="1">{"'5'!$A$1:$BB$147"}</definedName>
    <definedName name="상품성1" hidden="1">{#N/A,#N/A,FALSE,"단축1";#N/A,#N/A,FALSE,"단축2";#N/A,#N/A,FALSE,"단축3";#N/A,#N/A,FALSE,"장축";#N/A,#N/A,FALSE,"4WD"}</definedName>
    <definedName name="상품성보고" hidden="1">#REF!</definedName>
    <definedName name="새로" hidden="1">{#N/A,#N/A,FALSE,"KMC최종회의(7월) 자료"}</definedName>
    <definedName name="새로운" hidden="1">{#N/A,#N/A,FALSE,"단축1";#N/A,#N/A,FALSE,"단축2";#N/A,#N/A,FALSE,"단축3";#N/A,#N/A,FALSE,"장축";#N/A,#N/A,FALSE,"4WD"}</definedName>
    <definedName name="새세" hidden="1">{#N/A,#N/A,FALSE,"단축1";#N/A,#N/A,FALSE,"단축2";#N/A,#N/A,FALSE,"단축3";#N/A,#N/A,FALSE,"장축";#N/A,#N/A,FALSE,"4WD"}</definedName>
    <definedName name="새양깃" hidden="1">{#N/A,#N/A,FALSE,"정공"}</definedName>
    <definedName name="새천년" hidden="1">{#N/A,#N/A,TRUE,"Y생산";#N/A,#N/A,TRUE,"Y판매";#N/A,#N/A,TRUE,"Y총물량";#N/A,#N/A,TRUE,"Y능력";#N/A,#N/A,TRUE,"YKD"}</definedName>
    <definedName name="새파일" hidden="1">{#N/A,#N/A,FALSE,"정공"}</definedName>
    <definedName name="새파일편집" hidden="1">{#N/A,#N/A,FALSE,"정공"}</definedName>
    <definedName name="생기" hidden="1">{#N/A,#N/A,FALSE,"KMC최종회의(7월) 자료"}</definedName>
    <definedName name="생기수정" hidden="1">{#N/A,#N/A,FALSE,"KMC최종회의(7월) 자료"}</definedName>
    <definedName name="생기양식" hidden="1">{#N/A,#N/A,TRUE,"Y생산";#N/A,#N/A,TRUE,"Y판매";#N/A,#N/A,TRUE,"Y총물량";#N/A,#N/A,TRUE,"Y능력";#N/A,#N/A,TRUE,"YKD"}</definedName>
    <definedName name="생기종합수정MH" hidden="1">{#N/A,#N/A,FALSE,"KMC최종회의(7월) 자료"}</definedName>
    <definedName name="생산" hidden="1">{#N/A,#N/A,TRUE,"Y생산";#N/A,#N/A,TRUE,"Y판매";#N/A,#N/A,TRUE,"Y총물량";#N/A,#N/A,TRUE,"Y능력";#N/A,#N/A,TRUE,"YKD"}</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능력" hidden="1">{#N/A,#N/A,FALSE,"정공"}</definedName>
    <definedName name="생산성" hidden="1">{#N/A,#N/A,FALSE,"KMC최종회의(7월) 자료"}</definedName>
    <definedName name="생산성향상" hidden="1">{#N/A,#N/A,TRUE,"Y생산";#N/A,#N/A,TRUE,"Y판매";#N/A,#N/A,TRUE,"Y총물량";#N/A,#N/A,TRUE,"Y능력";#N/A,#N/A,TRUE,"YKD"}</definedName>
    <definedName name="생산손익" hidden="1">{#N/A,#N/A,FALSE,"정공"}</definedName>
    <definedName name="생산직실적" hidden="1">{#N/A,#N/A,FALSE,"KMC최종회의(7월) 자료"}</definedName>
    <definedName name="생산특장2" hidden="1">{#N/A,#N/A,TRUE,"Y생산";#N/A,#N/A,TRUE,"Y판매";#N/A,#N/A,TRUE,"Y총물량";#N/A,#N/A,TRUE,"Y능력";#N/A,#N/A,TRUE,"YKD"}</definedName>
    <definedName name="생산품목" hidden="1">{#N/A,#N/A,FALSE,"정공"}</definedName>
    <definedName name="생산합격" hidden="1">{#N/A,#N/A,TRUE,"Y생산";#N/A,#N/A,TRUE,"Y판매";#N/A,#N/A,TRUE,"Y총물량";#N/A,#N/A,TRUE,"Y능력";#N/A,#N/A,TRUE,"YKD"}</definedName>
    <definedName name="생산혁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현황" hidden="1">{#N/A,#N/A,TRUE,"Y생산";#N/A,#N/A,TRUE,"Y판매";#N/A,#N/A,TRUE,"Y총물량";#N/A,#N/A,TRUE,"Y능력";#N/A,#N/A,TRUE,"YKD"}</definedName>
    <definedName name="샤시품예" hidden="1">{#N/A,#N/A,FALSE,"단축1";#N/A,#N/A,FALSE,"단축2";#N/A,#N/A,FALSE,"단축3";#N/A,#N/A,FALSE,"장축";#N/A,#N/A,FALSE,"4WD"}</definedName>
    <definedName name="서" hidden="1">{#N/A,#N/A,FALSE,"KMC최종회의(7월) 자료"}</definedName>
    <definedName name="서광" hidden="1">{"'5'!$A$1:$BB$147"}</definedName>
    <definedName name="서교원" hidden="1">{#N/A,#N/A,TRUE,"Y생산";#N/A,#N/A,TRUE,"Y판매";#N/A,#N/A,TRUE,"Y총물량";#N/A,#N/A,TRUE,"Y능력";#N/A,#N/A,TRUE,"YKD"}</definedName>
    <definedName name="서대원" hidden="1">{"'5'!$A$1:$BB$147"}</definedName>
    <definedName name="서미선" hidden="1">{"'5'!$A$1:$BB$147"}</definedName>
    <definedName name="서미선1" hidden="1">{"'5'!$A$1:$BB$147"}</definedName>
    <definedName name="서미선10" hidden="1">{"'5'!$A$1:$BB$147"}</definedName>
    <definedName name="서미선2" hidden="1">{"'5'!$A$1:$BB$147"}</definedName>
    <definedName name="서미선3" hidden="1">{"'5'!$A$1:$BB$147"}</definedName>
    <definedName name="서미선4" hidden="1">{"'5'!$A$1:$BB$147"}</definedName>
    <definedName name="서미선5" hidden="1">{"'5'!$A$1:$BB$147"}</definedName>
    <definedName name="서미선6" hidden="1">{"'5'!$A$1:$BB$147"}</definedName>
    <definedName name="서미선서미선" hidden="1">{"'5'!$A$1:$BB$147"}</definedName>
    <definedName name="서술요약" hidden="1">{#N/A,#N/A,FALSE,"정공"}</definedName>
    <definedName name="서승수" hidden="1">{#N/A,#N/A,TRUE,"Y생산";#N/A,#N/A,TRUE,"Y판매";#N/A,#N/A,TRUE,"Y총물량";#N/A,#N/A,TRUE,"Y능력";#N/A,#N/A,TRUE,"YKD"}</definedName>
    <definedName name="석빈" hidden="1">{#N/A,#N/A,FALSE,"단축1";#N/A,#N/A,FALSE,"단축2";#N/A,#N/A,FALSE,"단축3";#N/A,#N/A,FALSE,"장축";#N/A,#N/A,FALSE,"4WD"}</definedName>
    <definedName name="설" hidden="1">{#N/A,#N/A,FALSE,"KMC최종회의(7월) 자료"}</definedName>
    <definedName name="설명" hidden="1">{"'0808_월별 (2)'!$A$2:$T$28"}</definedName>
    <definedName name="설명용" hidden="1">{"'0808_월별 (2)'!$A$2:$T$28"}</definedName>
    <definedName name="설변" hidden="1">{#N/A,#N/A,FALSE,"단축1";#N/A,#N/A,FALSE,"단축2";#N/A,#N/A,FALSE,"단축3";#N/A,#N/A,FALSE,"장축";#N/A,#N/A,FALSE,"4WD"}</definedName>
    <definedName name="설변1" hidden="1">{#N/A,#N/A,FALSE,"KMC최종회의(7월) 자료"}</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가동율계획" hidden="1">{#N/A,#N/A,FALSE,"KMC최종회의(7월) 자료"}</definedName>
    <definedName name="설비절감방안" hidden="1">{#N/A,#N/A,FALSE,"단축1";#N/A,#N/A,FALSE,"단축2";#N/A,#N/A,FALSE,"단축3";#N/A,#N/A,FALSE,"장축";#N/A,#N/A,FALSE,"4WD"}</definedName>
    <definedName name="설비투자" hidden="1">{#N/A,#N/A,FALSE,"정공"}</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성" hidden="1">{"'5'!$A$1:$BB$147"}</definedName>
    <definedName name="성능시험2" hidden="1">{#N/A,#N/A,FALSE,"단축1";#N/A,#N/A,FALSE,"단축2";#N/A,#N/A,FALSE,"단축3";#N/A,#N/A,FALSE,"장축";#N/A,#N/A,FALSE,"4WD"}</definedName>
    <definedName name="성우" hidden="1">{#N/A,#N/A,FALSE,"단축1";#N/A,#N/A,FALSE,"단축2";#N/A,#N/A,FALSE,"단축3";#N/A,#N/A,FALSE,"장축";#N/A,#N/A,FALSE,"4WD"}</definedName>
    <definedName name="성은" hidden="1">{#N/A,#N/A,FALSE,"업체선정";#N/A,#N/A,FALSE,"업체선정sheet";#N/A,#N/A,FALSE,"업체실태";#N/A,#N/A,FALSE,"업체실태(1)";#N/A,#N/A,FALSE,"종업원현황(2)";#N/A,#N/A,FALSE,"생산품목(3)";#N/A,#N/A,FALSE,"장비보유현황";#N/A,#N/A,FALSE,"차량및약도";#N/A,#N/A,FALSE,"금형LIST"}</definedName>
    <definedName name="성적2" hidden="1">{#N/A,#N/A,FALSE,"KMC최종회의(7월) 자료"}</definedName>
    <definedName name="성적3" hidden="1">{#N/A,#N/A,FALSE,"KMC최종회의(7월) 자료"}</definedName>
    <definedName name="성적서1" hidden="1">{#N/A,#N/A,FALSE,"KMC최종회의(7월) 자료"}</definedName>
    <definedName name="성적서2" hidden="1">{#N/A,#N/A,FALSE,"KMC최종회의(7월) 자료"}</definedName>
    <definedName name="세부6월" hidden="1">{#N/A,#N/A,FALSE,"단축1";#N/A,#N/A,FALSE,"단축2";#N/A,#N/A,FALSE,"단축3";#N/A,#N/A,FALSE,"장축";#N/A,#N/A,FALSE,"4WD"}</definedName>
    <definedName name="세부LIST2" hidden="1">{#N/A,#N/A,FALSE,"단축1";#N/A,#N/A,FALSE,"단축2";#N/A,#N/A,FALSE,"단축3";#N/A,#N/A,FALSE,"장축";#N/A,#N/A,FALSE,"4WD"}</definedName>
    <definedName name="세부분석3" hidden="1">{#N/A,#N/A,FALSE,"KMC최종회의(7월) 자료"}</definedName>
    <definedName name="세부생산계획" hidden="1">{#N/A,#N/A,TRUE,"Y생산";#N/A,#N/A,TRUE,"Y판매";#N/A,#N/A,TRUE,"Y총물량";#N/A,#N/A,TRUE,"Y능력";#N/A,#N/A,TRUE,"YKD"}</definedName>
    <definedName name="세부월별" hidden="1">{#N/A,#N/A,FALSE,"정공"}</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절감명세서" hidden="1">{#N/A,#N/A,FALSE,"정공"}</definedName>
    <definedName name="세부추진" hidden="1">{#N/A,#N/A,FALSE,"정공"}</definedName>
    <definedName name="세왕123" hidden="1">{#N/A,#N/A,FALSE,"단축1";#N/A,#N/A,FALSE,"단축2";#N/A,#N/A,FALSE,"단축3";#N/A,#N/A,FALSE,"장축";#N/A,#N/A,FALSE,"4WD"}</definedName>
    <definedName name="세피아축소" hidden="1">{#N/A,#N/A,TRUE,"Y생산";#N/A,#N/A,TRUE,"Y판매";#N/A,#N/A,TRUE,"Y총물량";#N/A,#N/A,TRUE,"Y능력";#N/A,#N/A,TRUE,"YKD"}</definedName>
    <definedName name="셀리카" hidden="1">#REF!</definedName>
    <definedName name="소" hidden="1">{#N/A,#N/A,TRUE,"Y생산";#N/A,#N/A,TRUE,"Y판매";#N/A,#N/A,TRUE,"Y총물량";#N/A,#N/A,TRUE,"Y능력";#N/A,#N/A,TRUE,"YKD"}</definedName>
    <definedName name="소나타" hidden="1">{#N/A,#N/A,FALSE,"100PPM";#N/A,#N/A,FALSE,"3차원대책서";#N/A,#N/A,FALSE,"개선사례"}</definedName>
    <definedName name="소모푸밉" hidden="1">#REF!</definedName>
    <definedName name="소모품" hidden="1">{#N/A,#N/A,TRUE,"Y생산";#N/A,#N/A,TRUE,"Y판매";#N/A,#N/A,TRUE,"Y총물량";#N/A,#N/A,TRUE,"Y능력";#N/A,#N/A,TRUE,"YKD"}</definedName>
    <definedName name="소모품비1" hidden="1">#REF!</definedName>
    <definedName name="소뮨" hidden="1">{#N/A,#N/A,FALSE,"단축1";#N/A,#N/A,FALSE,"단축2";#N/A,#N/A,FALSE,"단축3";#N/A,#N/A,FALSE,"장축";#N/A,#N/A,FALSE,"4WD"}</definedName>
    <definedName name="소요금액" hidden="1">{#N/A,#N/A,FALSE,"단축1";#N/A,#N/A,FALSE,"단축2";#N/A,#N/A,FALSE,"단축3";#N/A,#N/A,FALSE,"장축";#N/A,#N/A,FALSE,"4WD"}</definedName>
    <definedName name="소요기간" hidden="1">{#N/A,#N/A,FALSE,"정공"}</definedName>
    <definedName name="소요예산" hidden="1">{#N/A,#N/A,FALSE,"KMC최종회의(7월) 자료"}</definedName>
    <definedName name="소하리공장" hidden="1">{#N/A,#N/A,FALSE,"단축1";#N/A,#N/A,FALSE,"단축2";#N/A,#N/A,FALSE,"단축3";#N/A,#N/A,FALSE,"장축";#N/A,#N/A,FALSE,"4WD"}</definedName>
    <definedName name="소하프로젝트" hidden="1">{#N/A,#N/A,FALSE,"단축1";#N/A,#N/A,FALSE,"단축2";#N/A,#N/A,FALSE,"단축3";#N/A,#N/A,FALSE,"장축";#N/A,#N/A,FALSE,"4WD"}</definedName>
    <definedName name="소형엔진구동" hidden="1">{#N/A,#N/A,TRUE,"Y생산";#N/A,#N/A,TRUE,"Y판매";#N/A,#N/A,TRUE,"Y총물량";#N/A,#N/A,TRUE,"Y능력";#N/A,#N/A,TRUE,"YKD"}</definedName>
    <definedName name="소화주철장판" hidden="1">{#N/A,#N/A,FALSE,"단축1";#N/A,#N/A,FALSE,"단축2";#N/A,#N/A,FALSE,"단축3";#N/A,#N/A,FALSE,"장축";#N/A,#N/A,FALSE,"4WD"}</definedName>
    <definedName name="소ㅓ" hidden="1">{#N/A,#N/A,FALSE,"KMC최종회의(7월) 자료"}</definedName>
    <definedName name="소ㅜㅛㅕㅓㅓㅕ" hidden="1">{#N/A,#N/A,FALSE,"KMC최종회의(7월) 자료"}</definedName>
    <definedName name="손익1" hidden="1">{#N/A,#N/A,FALSE,"정공"}</definedName>
    <definedName name="손익계산" hidden="1">{#N/A,#N/A,FALSE,"정공"}</definedName>
    <definedName name="손익계산서" hidden="1">{#N/A,#N/A,FALSE,"정공"}</definedName>
    <definedName name="손익관리2" hidden="1">{#N/A,#N/A,FALSE,"정공"}</definedName>
    <definedName name="손익분기점" hidden="1">#REF!</definedName>
    <definedName name="손익비교22" hidden="1">{#N/A,#N/A,FALSE,"정공"}</definedName>
    <definedName name="손익비교표b" hidden="1">{#N/A,#N/A,FALSE,"정공"}</definedName>
    <definedName name="손익양식0903" hidden="1">{#N/A,#N/A,FALSE,"정공"}</definedName>
    <definedName name="손익종합2" hidden="1">{#N/A,#N/A,FALSE,"정공"}</definedName>
    <definedName name="솔" hidden="1">{#N/A,#N/A,FALSE,"KMC최종회의(7월) 자료"}</definedName>
    <definedName name="송" hidden="1">{#N/A,#N/A,TRUE,"Y생산";#N/A,#N/A,TRUE,"Y판매";#N/A,#N/A,TRUE,"Y총물량";#N/A,#N/A,TRUE,"Y능력";#N/A,#N/A,TRUE,"YKD"}</definedName>
    <definedName name="송익" hidden="1">{#N/A,#N/A,FALSE,"정공"}</definedName>
    <definedName name="송창기" hidden="1">{#N/A,#N/A,TRUE,"Y생산";#N/A,#N/A,TRUE,"Y판매";#N/A,#N/A,TRUE,"Y총물량";#N/A,#N/A,TRUE,"Y능력";#N/A,#N/A,TRUE,"YKD"}</definedName>
    <definedName name="쇼" hidden="1">{#N/A,#N/A,TRUE,"Y생산";#N/A,#N/A,TRUE,"Y판매";#N/A,#N/A,TRUE,"Y총물량";#N/A,#N/A,TRUE,"Y능력";#N/A,#N/A,TRUE,"YKD"}</definedName>
    <definedName name="쇼바2" hidden="1">{#N/A,#N/A,FALSE,"단축1";#N/A,#N/A,FALSE,"단축2";#N/A,#N/A,FALSE,"단축3";#N/A,#N/A,FALSE,"장축";#N/A,#N/A,FALSE,"4WD"}</definedName>
    <definedName name="쇼쇼쇼" hidden="1">{#N/A,#N/A,FALSE,"단축1";#N/A,#N/A,FALSE,"단축2";#N/A,#N/A,FALSE,"단축3";#N/A,#N/A,FALSE,"장축";#N/A,#N/A,FALSE,"4WD"}</definedName>
    <definedName name="쇼ㅏㅓㅘㅡ" hidden="1">{#N/A,#N/A,TRUE,"Y생산";#N/A,#N/A,TRUE,"Y판매";#N/A,#N/A,TRUE,"Y총물량";#N/A,#N/A,TRUE,"Y능력";#N/A,#N/A,TRUE,"YKD"}</definedName>
    <definedName name="쇼ㅓ" hidden="1">{#N/A,#N/A,FALSE,"96 3월물량표";#N/A,#N/A,FALSE,"96 4월물량표";#N/A,#N/A,FALSE,"96 5월물량표"}</definedName>
    <definedName name="쇼ㅓㅑㅛㅕㅏㅣ" hidden="1">{#N/A,#N/A,TRUE,"Y생산";#N/A,#N/A,TRUE,"Y판매";#N/A,#N/A,TRUE,"Y총물량";#N/A,#N/A,TRUE,"Y능력";#N/A,#N/A,TRUE,"YKD"}</definedName>
    <definedName name="쇼ㅓㅡㅜ" hidden="1">{#N/A,#N/A,TRUE,"Y생산";#N/A,#N/A,TRUE,"Y판매";#N/A,#N/A,TRUE,"Y총물량";#N/A,#N/A,TRUE,"Y능력";#N/A,#N/A,TRUE,"YKD"}</definedName>
    <definedName name="쇼ㅛㄱ" hidden="1">{#N/A,#N/A,FALSE,"단축1";#N/A,#N/A,FALSE,"단축2";#N/A,#N/A,FALSE,"단축3";#N/A,#N/A,FALSE,"장축";#N/A,#N/A,FALSE,"4WD"}</definedName>
    <definedName name="쇼ㅛㅕㅓㅛ" hidden="1">{#N/A,#N/A,FALSE,"KMC최종회의(7월) 자료"}</definedName>
    <definedName name="쇽더ㅓㅕ6ㅛ" hidden="1">{#N/A,#N/A,FALSE,"KMC최종회의(7월) 자료"}</definedName>
    <definedName name="수금양식" hidden="1">{#N/A,#N/A,FALSE,"KMC최종회의(7월) 자료"}</definedName>
    <definedName name="수량추정" hidden="1">{#N/A,#N/A,FALSE,"정공"}</definedName>
    <definedName name="수선비" hidden="1">#REF!</definedName>
    <definedName name="수선비3" hidden="1">#REF!</definedName>
    <definedName name="수선비세부" hidden="1">#REF!</definedName>
    <definedName name="수수료" hidden="1">{#N/A,#N/A,FALSE,"DAOCM 2차 검토"}</definedName>
    <definedName name="수수료_1" hidden="1">{#N/A,#N/A,FALSE,"DAOCM 2차 검토"}</definedName>
    <definedName name="수수료_1_1" hidden="1">{#N/A,#N/A,FALSE,"DAOCM 2차 검토"}</definedName>
    <definedName name="수수료_2" hidden="1">{#N/A,#N/A,FALSE,"DAOCM 2차 검토"}</definedName>
    <definedName name="수수료_2_1" hidden="1">{#N/A,#N/A,FALSE,"DAOCM 2차 검토"}</definedName>
    <definedName name="수수료_3" hidden="1">{#N/A,#N/A,FALSE,"DAOCM 2차 검토"}</definedName>
    <definedName name="수수료_3_1" hidden="1">{#N/A,#N/A,FALSE,"DAOCM 2차 검토"}</definedName>
    <definedName name="수수료_4" hidden="1">{#N/A,#N/A,FALSE,"DAOCM 2차 검토"}</definedName>
    <definedName name="수수료_4_1" hidden="1">{#N/A,#N/A,FALSE,"DAOCM 2차 검토"}</definedName>
    <definedName name="수수료_5" hidden="1">{#N/A,#N/A,FALSE,"DAOCM 2차 검토"}</definedName>
    <definedName name="수수료_5_1" hidden="1">{#N/A,#N/A,FALSE,"DAOCM 2차 검토"}</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수수수숫" hidden="1">{#N/A,#N/A,FALSE,"KMC최종회의(7월) 자료"}</definedName>
    <definedName name="수익4속" hidden="1">{#N/A,#N/A,FALSE,"단축1";#N/A,#N/A,FALSE,"단축2";#N/A,#N/A,FALSE,"단축3";#N/A,#N/A,FALSE,"장축";#N/A,#N/A,FALSE,"4WD"}</definedName>
    <definedName name="수익성_1" hidden="1">{"'0808_월별 (2)'!$A$2:$T$28"}</definedName>
    <definedName name="수익성_1_1" hidden="1">{"'0808_월별 (2)'!$A$2:$T$28"}</definedName>
    <definedName name="수익성_2" hidden="1">{"'0808_월별 (2)'!$A$2:$T$28"}</definedName>
    <definedName name="수익성_2_1" hidden="1">{"'0808_월별 (2)'!$A$2:$T$28"}</definedName>
    <definedName name="수익성_3" hidden="1">{"'0808_월별 (2)'!$A$2:$T$28"}</definedName>
    <definedName name="수익성_3_1" hidden="1">{"'0808_월별 (2)'!$A$2:$T$28"}</definedName>
    <definedName name="수익성_4" hidden="1">{"'0808_월별 (2)'!$A$2:$T$28"}</definedName>
    <definedName name="수익성_4_1" hidden="1">{"'0808_월별 (2)'!$A$2:$T$28"}</definedName>
    <definedName name="수익성_5" hidden="1">{"'0808_월별 (2)'!$A$2:$T$28"}</definedName>
    <definedName name="수익성_5_1" hidden="1">{"'0808_월별 (2)'!$A$2:$T$28"}</definedName>
    <definedName name="수익성검토" hidden="1">#REF!</definedName>
    <definedName name="수입" hidden="1">{#N/A,#N/A,FALSE,"DAOCM 2차 검토"}</definedName>
    <definedName name="수입_1" hidden="1">{#N/A,#N/A,FALSE,"DAOCM 2차 검토"}</definedName>
    <definedName name="수입_1_1" hidden="1">{#N/A,#N/A,FALSE,"DAOCM 2차 검토"}</definedName>
    <definedName name="수입_2" hidden="1">{#N/A,#N/A,FALSE,"DAOCM 2차 검토"}</definedName>
    <definedName name="수입_2_1" hidden="1">{#N/A,#N/A,FALSE,"DAOCM 2차 검토"}</definedName>
    <definedName name="수입_3" hidden="1">{#N/A,#N/A,FALSE,"DAOCM 2차 검토"}</definedName>
    <definedName name="수입_3_1" hidden="1">{#N/A,#N/A,FALSE,"DAOCM 2차 검토"}</definedName>
    <definedName name="수입_4" hidden="1">{#N/A,#N/A,FALSE,"DAOCM 2차 검토"}</definedName>
    <definedName name="수입_4_1" hidden="1">{#N/A,#N/A,FALSE,"DAOCM 2차 검토"}</definedName>
    <definedName name="수입_5" hidden="1">{#N/A,#N/A,FALSE,"DAOCM 2차 검토"}</definedName>
    <definedName name="수입_5_1" hidden="1">{#N/A,#N/A,FALSE,"DAOCM 2차 검토"}</definedName>
    <definedName name="수정15변속기MH" hidden="1">{#N/A,#N/A,FALSE,"KMC최종회의(7월) 자료"}</definedName>
    <definedName name="수정2" hidden="1">{#N/A,#N/A,FALSE,"KMC최종회의(7월) 자료"}</definedName>
    <definedName name="수정GRAPH" hidden="1">{#N/A,#N/A,TRUE,"Y생산";#N/A,#N/A,TRUE,"Y판매";#N/A,#N/A,TRUE,"Y총물량";#N/A,#N/A,TRUE,"Y능력";#N/A,#N/A,TRUE,"YKD"}</definedName>
    <definedName name="수정물량" hidden="1">{#N/A,#N/A,TRUE,"Y생산";#N/A,#N/A,TRUE,"Y판매";#N/A,#N/A,TRUE,"Y총물량";#N/A,#N/A,TRUE,"Y능력";#N/A,#N/A,TRUE,"YKD"}</definedName>
    <definedName name="수정본" hidden="1">{#N/A,#N/A,FALSE,"단축1";#N/A,#N/A,FALSE,"단축2";#N/A,#N/A,FALSE,"단축3";#N/A,#N/A,FALSE,"장축";#N/A,#N/A,FALSE,"4WD"}</definedName>
    <definedName name="수정사업달성방안" hidden="1">{#N/A,#N/A,FALSE,"KMC최종회의(7월) 자료"}</definedName>
    <definedName name="수정사항" hidden="1">{#N/A,#N/A,FALSE,"KMC최종회의(7월) 자료"}</definedName>
    <definedName name="수정손익" hidden="1">{#N/A,#N/A,FALSE,"정공"}</definedName>
    <definedName name="수정칼라GRAPH" hidden="1">{#N/A,#N/A,TRUE,"Y생산";#N/A,#N/A,TRUE,"Y판매";#N/A,#N/A,TRUE,"Y총물량";#N/A,#N/A,TRUE,"Y능력";#N/A,#N/A,TRUE,"YKD"}</definedName>
    <definedName name="수주" hidden="1">{#N/A,#N/A,FALSE,"KMC최종회의(7월) 자료"}</definedName>
    <definedName name="수주2" hidden="1">{"'7'!$B$15:$D$32"}</definedName>
    <definedName name="수출3" hidden="1">{#N/A,#N/A,FALSE,"DAOCM 2차 검토"}</definedName>
    <definedName name="수출3_1" hidden="1">{#N/A,#N/A,FALSE,"DAOCM 2차 검토"}</definedName>
    <definedName name="수출3_1_1" hidden="1">{#N/A,#N/A,FALSE,"DAOCM 2차 검토"}</definedName>
    <definedName name="수출3_2" hidden="1">{#N/A,#N/A,FALSE,"DAOCM 2차 검토"}</definedName>
    <definedName name="수출3_2_1" hidden="1">{#N/A,#N/A,FALSE,"DAOCM 2차 검토"}</definedName>
    <definedName name="수출3_3" hidden="1">{#N/A,#N/A,FALSE,"DAOCM 2차 검토"}</definedName>
    <definedName name="수출3_3_1" hidden="1">{#N/A,#N/A,FALSE,"DAOCM 2차 검토"}</definedName>
    <definedName name="수출3_4" hidden="1">{#N/A,#N/A,FALSE,"DAOCM 2차 검토"}</definedName>
    <definedName name="수출3_4_1" hidden="1">{#N/A,#N/A,FALSE,"DAOCM 2차 검토"}</definedName>
    <definedName name="수출3_5" hidden="1">{#N/A,#N/A,FALSE,"DAOCM 2차 검토"}</definedName>
    <definedName name="수출3_5_1" hidden="1">{#N/A,#N/A,FALSE,"DAOCM 2차 검토"}</definedName>
    <definedName name="수출P2지원" hidden="1">{#N/A,#N/A,FALSE,"단축1";#N/A,#N/A,FALSE,"단축2";#N/A,#N/A,FALSE,"단축3";#N/A,#N/A,FALSE,"장축";#N/A,#N/A,FALSE,"4WD"}</definedName>
    <definedName name="수출오더현황12월" hidden="1">{#N/A,#N/A,TRUE,"Y생산";#N/A,#N/A,TRUE,"Y판매";#N/A,#N/A,TRUE,"Y총물량";#N/A,#N/A,TRUE,"Y능력";#N/A,#N/A,TRUE,"YKD"}</definedName>
    <definedName name="수출판촉비총괄" hidden="1">#N/A</definedName>
    <definedName name="슈퓨퓨ㅠ" hidden="1">{#N/A,#N/A,FALSE,"KMC최종회의(7월) 자료"}</definedName>
    <definedName name="슈ㅗㅗㅜ" hidden="1">{#N/A,#N/A,FALSE,"KMC최종회의(7월) 자료"}</definedName>
    <definedName name="스타렉스" hidden="1">{#N/A,#N/A,FALSE,"단축1";#N/A,#N/A,FALSE,"단축2";#N/A,#N/A,FALSE,"단축3";#N/A,#N/A,FALSE,"장축";#N/A,#N/A,FALSE,"4WD"}</definedName>
    <definedName name="스타렉스2" hidden="1">{#N/A,#N/A,FALSE,"단축1";#N/A,#N/A,FALSE,"단축2";#N/A,#N/A,FALSE,"단축3";#N/A,#N/A,FALSE,"장축";#N/A,#N/A,FALSE,"4WD"}</definedName>
    <definedName name="승인권한2" hidden="1">{#N/A,#N/A,FALSE,"단축1";#N/A,#N/A,FALSE,"단축2";#N/A,#N/A,FALSE,"단축3";#N/A,#N/A,FALSE,"장축";#N/A,#N/A,FALSE,"4WD"}</definedName>
    <definedName name="시1" hidden="1">{#N/A,#N/A,FALSE,"KMC최종회의(7월) 자료"}</definedName>
    <definedName name="시간" hidden="1">{#N/A,#N/A,TRUE,"Y생산";#N/A,#N/A,TRUE,"Y판매";#N/A,#N/A,TRUE,"Y총물량";#N/A,#N/A,TRUE,"Y능력";#N/A,#N/A,TRUE,"YKD"}</definedName>
    <definedName name="시작계획" hidden="1">{#N/A,#N/A,FALSE,"단축1";#N/A,#N/A,FALSE,"단축2";#N/A,#N/A,FALSE,"단축3";#N/A,#N/A,FALSE,"장축";#N/A,#N/A,FALSE,"4WD"}</definedName>
    <definedName name="시작품의서독촉MTG" hidden="1">{#N/A,#N/A,FALSE,"단축1";#N/A,#N/A,FALSE,"단축2";#N/A,#N/A,FALSE,"단축3";#N/A,#N/A,FALSE,"장축";#N/A,#N/A,FALSE,"4WD"}</definedName>
    <definedName name="시장동향" hidden="1">{#N/A,#N/A,TRUE,"Y생산";#N/A,#N/A,TRUE,"Y판매";#N/A,#N/A,TRUE,"Y총물량";#N/A,#N/A,TRUE,"Y능력";#N/A,#N/A,TRUE,"YKD"}</definedName>
    <definedName name="시장특성" hidden="1">{#N/A,#N/A,FALSE,"KMC최종회의(7월) 자료"}</definedName>
    <definedName name="시트" hidden="1">{#N/A,#N/A,FALSE,"협조전";#N/A,#N/A,FALSE,"원가절감계획 ";#N/A,#N/A,FALSE,"항목별원가절감계획"}</definedName>
    <definedName name="시험비처리내역" hidden="1">{#N/A,#N/A,TRUE,"Y생산";#N/A,#N/A,TRUE,"Y판매";#N/A,#N/A,TRUE,"Y총물량";#N/A,#N/A,TRUE,"Y능력";#N/A,#N/A,TRUE,"YKD"}</definedName>
    <definedName name="시험일정p2" hidden="1">{#N/A,#N/A,FALSE,"단축1";#N/A,#N/A,FALSE,"단축2";#N/A,#N/A,FALSE,"단축3";#N/A,#N/A,FALSE,"장축";#N/A,#N/A,FALSE,"4WD"}</definedName>
    <definedName name="시험현황3" hidden="1">{#N/A,#N/A,FALSE,"단축1";#N/A,#N/A,FALSE,"단축2";#N/A,#N/A,FALSE,"단축3";#N/A,#N/A,FALSE,"장축";#N/A,#N/A,FALSE,"4WD"}</definedName>
    <definedName name="신" hidden="1">{"'표지'!$B$5"}</definedName>
    <definedName name="신AT종합" hidden="1">{#N/A,#N/A,FALSE,"단축1";#N/A,#N/A,FALSE,"단축2";#N/A,#N/A,FALSE,"단축3";#N/A,#N/A,FALSE,"장축";#N/A,#N/A,FALSE,"4WD"}</definedName>
    <definedName name="신개선" hidden="1">{#N/A,#N/A,TRUE,"Y생산";#N/A,#N/A,TRUE,"Y판매";#N/A,#N/A,TRUE,"Y총물량";#N/A,#N/A,TRUE,"Y능력";#N/A,#N/A,TRUE,"YKD"}</definedName>
    <definedName name="신개선실적" hidden="1">{#N/A,#N/A,TRUE,"Y생산";#N/A,#N/A,TRUE,"Y판매";#N/A,#N/A,TRUE,"Y총물량";#N/A,#N/A,TRUE,"Y능력";#N/A,#N/A,TRUE,"YKD"}</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 hidden="1">{#N/A,#N/A,FALSE,"KMC최종회의(7월) 자료"}</definedName>
    <definedName name="신세대종합"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신품질개선" hidden="1">{#N/A,#N/A,TRUE,"Y생산";#N/A,#N/A,TRUE,"Y판매";#N/A,#N/A,TRUE,"Y총물량";#N/A,#N/A,TRUE,"Y능력";#N/A,#N/A,TRUE,"YKD"}</definedName>
    <definedName name="신품질개선3" hidden="1">{#N/A,#N/A,TRUE,"Y생산";#N/A,#N/A,TRUE,"Y판매";#N/A,#N/A,TRUE,"Y총물량";#N/A,#N/A,TRUE,"Y능력";#N/A,#N/A,TRUE,"YKD"}</definedName>
    <definedName name="신형" hidden="1">{#N/A,#N/A,FALSE,"단축1";#N/A,#N/A,FALSE,"단축2";#N/A,#N/A,FALSE,"단축3";#N/A,#N/A,FALSE,"장축";#N/A,#N/A,FALSE,"4WD"}</definedName>
    <definedName name="신형1"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요약" hidden="1">{#N/A,#N/A,FALSE,"단축1";#N/A,#N/A,FALSE,"단축2";#N/A,#N/A,FALSE,"단축3";#N/A,#N/A,FALSE,"장축";#N/A,#N/A,FALSE,"4WD"}</definedName>
    <definedName name="실적종합" hidden="1">{#N/A,#N/A,FALSE,"KMC최종회의(7월) 자료"}</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ㅇ4년" hidden="1">{"'7'!$B$15:$D$32"}</definedName>
    <definedName name="ㅇ9" hidden="1">{0}</definedName>
    <definedName name="ㅇㄴ" hidden="1">{#N/A,#N/A,TRUE,"Y생산";#N/A,#N/A,TRUE,"Y판매";#N/A,#N/A,TRUE,"Y총물량";#N/A,#N/A,TRUE,"Y능력";#N/A,#N/A,TRUE,"YKD"}</definedName>
    <definedName name="ㅇㄴㄹ" hidden="1">{"DOM",#N/A,FALSE,"A8CONTENT"}</definedName>
    <definedName name="ㅇㄴㄹㅇㄴㄹ" hidden="1">{#N/A,#N/A,TRUE,"Y생산";#N/A,#N/A,TRUE,"Y판매";#N/A,#N/A,TRUE,"Y총물량";#N/A,#N/A,TRUE,"Y능력";#N/A,#N/A,TRUE,"YKD"}</definedName>
    <definedName name="ㅇㄴㅀㅇ" hidden="1">{#N/A,#N/A,FALSE,"단축1";#N/A,#N/A,FALSE,"단축2";#N/A,#N/A,FALSE,"단축3";#N/A,#N/A,FALSE,"장축";#N/A,#N/A,FALSE,"4WD"}</definedName>
    <definedName name="ㅇㄴㅁㅇ" hidden="1">{#N/A,#N/A,FALSE,"미판매분"}</definedName>
    <definedName name="ㅇㄴㅇㄴㄹ" hidden="1">{"'7'!$B$15:$D$32"}</definedName>
    <definedName name="ㅇㄴㅇㄹㄴㅁㅎㄴㅇㅎㅁㅁㅁㅎㅁㅇㄴㄹㄹㅇㄴㅁㅎㅇㄶㅁㅁㅇㄴㅀㄴㅇㅁ" hidden="1">#REF!</definedName>
    <definedName name="ㅇㄴㅇㅀㄴㅇ" hidden="1">{#N/A,#N/A,FALSE,"KMC최종회의(7월) 자료"}</definedName>
    <definedName name="ㅇㄷㄷ" hidden="1">{#N/A,#N/A,TRUE,"Y생산";#N/A,#N/A,TRUE,"Y판매";#N/A,#N/A,TRUE,"Y총물량";#N/A,#N/A,TRUE,"Y능력";#N/A,#N/A,TRUE,"YKD"}</definedName>
    <definedName name="ㅇㄹ" hidden="1">{#N/A,#N/A,FALSE,"단축1";#N/A,#N/A,FALSE,"단축2";#N/A,#N/A,FALSE,"단축3";#N/A,#N/A,FALSE,"장축";#N/A,#N/A,FALSE,"4WD"}</definedName>
    <definedName name="ㅇㄹㄴ" hidden="1">{#N/A,#N/A,FALSE,"단축1";#N/A,#N/A,FALSE,"단축2";#N/A,#N/A,FALSE,"단축3";#N/A,#N/A,FALSE,"장축";#N/A,#N/A,FALSE,"4WD"}</definedName>
    <definedName name="ㅇㄹㄹㄹㄴㄹ" hidden="1">{#N/A,#N/A,FALSE,"단축1";#N/A,#N/A,FALSE,"단축2";#N/A,#N/A,FALSE,"단축3";#N/A,#N/A,FALSE,"장축";#N/A,#N/A,FALSE,"4WD"}</definedName>
    <definedName name="ㅇㄹㄹㄹㄹ" hidden="1">{#N/A,#N/A,FALSE,"정공"}</definedName>
    <definedName name="ㅇㄹㄹㄹㅇㄴ" hidden="1">{#N/A,#N/A,FALSE,"KMC최종회의(7월) 자료"}</definedName>
    <definedName name="ㅇㄹㄹㅇㅇㄹ" hidden="1">{#N/A,#N/A,TRUE,"Y생산";#N/A,#N/A,TRUE,"Y판매";#N/A,#N/A,TRUE,"Y총물량";#N/A,#N/A,TRUE,"Y능력";#N/A,#N/A,TRUE,"YKD"}</definedName>
    <definedName name="ㅇㄹ뮤ㅠㄹ" hidden="1">{#N/A,#N/A,FALSE,"KMC최종회의(7월) 자료"}</definedName>
    <definedName name="ㅇㄹㅇㄹㅇ" hidden="1">{#N/A,#N/A,FALSE,"정공"}</definedName>
    <definedName name="ㅇㄹㅇ륭로ㅠ" hidden="1">{#N/A,#N/A,FALSE,"KMC최종회의(7월) 자료"}</definedName>
    <definedName name="ㅇㄹ호" hidden="1">{#N/A,#N/A,FALSE,"단축1";#N/A,#N/A,FALSE,"단축2";#N/A,#N/A,FALSE,"단축3";#N/A,#N/A,FALSE,"장축";#N/A,#N/A,FALSE,"4WD"}</definedName>
    <definedName name="ㅇㄹ훌후ㅜ" hidden="1">{#N/A,#N/A,FALSE,"KMC최종회의(7월) 자료"}</definedName>
    <definedName name="ㅇㄹ흏ㅎ" hidden="1">{#N/A,#N/A,FALSE,"KMC최종회의(7월) 자료"}</definedName>
    <definedName name="ㅇ롱" hidden="1">{#N/A,#N/A,FALSE,"단축1";#N/A,#N/A,FALSE,"단축2";#N/A,#N/A,FALSE,"단축3";#N/A,#N/A,FALSE,"장축";#N/A,#N/A,FALSE,"4WD"}</definedName>
    <definedName name="ㅇ류" hidden="1">{#N/A,#N/A,FALSE,"단축1";#N/A,#N/A,FALSE,"단축2";#N/A,#N/A,FALSE,"단축3";#N/A,#N/A,FALSE,"장축";#N/A,#N/A,FALSE,"4WD"}</definedName>
    <definedName name="ㅇ류류ㅗㅠ" hidden="1">{#N/A,#N/A,FALSE,"KMC최종회의(7월) 자료"}</definedName>
    <definedName name="ㅇ류뮤" hidden="1">{#N/A,#N/A,FALSE,"KMC최종회의(7월) 자료"}</definedName>
    <definedName name="ㅇ륭" hidden="1">{#N/A,#N/A,FALSE,"단축1";#N/A,#N/A,FALSE,"단축2";#N/A,#N/A,FALSE,"단축3";#N/A,#N/A,FALSE,"장축";#N/A,#N/A,FALSE,"4WD"}</definedName>
    <definedName name="ㅇ륭ㅎㄴ모" hidden="1">{#N/A,#N/A,FALSE,"KMC최종회의(7월) 자료"}</definedName>
    <definedName name="ㅇㄻㄴㅇ롸ㅣ" hidden="1">{#N/A,#N/A,FALSE,"단축1";#N/A,#N/A,FALSE,"단축2";#N/A,#N/A,FALSE,"단축3";#N/A,#N/A,FALSE,"장축";#N/A,#N/A,FALSE,"4WD"}</definedName>
    <definedName name="ㅇㅀㅎ" hidden="1">{#N/A,#N/A,FALSE,"정공"}</definedName>
    <definedName name="ㅇㅀ호" hidden="1">{#N/A,#N/A,FALSE,"단축1";#N/A,#N/A,FALSE,"단축2";#N/A,#N/A,FALSE,"단축3";#N/A,#N/A,FALSE,"장축";#N/A,#N/A,FALSE,"4WD"}</definedName>
    <definedName name="ㅇㅁ" hidden="1">{#N/A,#N/A,FALSE,"KMC최종회의(7월) 자료"}</definedName>
    <definedName name="ㅇㅁㄴㅇ" hidden="1">{#N/A,#N/A,FALSE,"단축1";#N/A,#N/A,FALSE,"단축2";#N/A,#N/A,FALSE,"단축3";#N/A,#N/A,FALSE,"장축";#N/A,#N/A,FALSE,"4WD"}</definedName>
    <definedName name="ㅇㅁㄶㅎ" hidden="1">{#N/A,#N/A,FALSE,"미판매분"}</definedName>
    <definedName name="ㅇㅁㄹㅇㄴ" hidden="1">{#N/A,#N/A,FALSE,"DATA SHEET"}</definedName>
    <definedName name="ㅇㅁ류ㅠㅁ유" hidden="1">{#N/A,#N/A,FALSE,"KMC최종회의(7월) 자료"}</definedName>
    <definedName name="ㅇㅇ" hidden="1">{#N/A,#N/A,FALSE,"단축1";#N/A,#N/A,FALSE,"단축2";#N/A,#N/A,FALSE,"단축3";#N/A,#N/A,FALSE,"장축";#N/A,#N/A,FALSE,"4WD"}</definedName>
    <definedName name="ㅇㅇ_1" hidden="1">{#N/A,#N/A,FALSE,"DAOCM 2차 검토"}</definedName>
    <definedName name="ㅇㅇ_1_1" hidden="1">{#N/A,#N/A,FALSE,"DAOCM 2차 검토"}</definedName>
    <definedName name="ㅇㅇ_2" hidden="1">{#N/A,#N/A,FALSE,"DAOCM 2차 검토"}</definedName>
    <definedName name="ㅇㅇ_2_1" hidden="1">{#N/A,#N/A,FALSE,"DAOCM 2차 검토"}</definedName>
    <definedName name="ㅇㅇ_3" hidden="1">{#N/A,#N/A,FALSE,"DAOCM 2차 검토"}</definedName>
    <definedName name="ㅇㅇ_3_1" hidden="1">{#N/A,#N/A,FALSE,"DAOCM 2차 검토"}</definedName>
    <definedName name="ㅇㅇ_4" hidden="1">{#N/A,#N/A,FALSE,"DAOCM 2차 검토"}</definedName>
    <definedName name="ㅇㅇ_4_1" hidden="1">{#N/A,#N/A,FALSE,"DAOCM 2차 검토"}</definedName>
    <definedName name="ㅇㅇ_5" hidden="1">{#N/A,#N/A,FALSE,"DAOCM 2차 검토"}</definedName>
    <definedName name="ㅇㅇ_5_1" hidden="1">{#N/A,#N/A,FALSE,"DAOCM 2차 검토"}</definedName>
    <definedName name="ㅇㅇㄴㅇㄴ" hidden="1">{#N/A,#N/A,FALSE,"정공"}</definedName>
    <definedName name="ㅇㅇㄹㄹ" hidden="1">{#N/A,#N/A,FALSE,"표지";#N/A,#N/A,FALSE,"전제";#N/A,#N/A,FALSE,"손익-자 (2)";#N/A,#N/A,FALSE,"손익-자";#N/A,#N/A,FALSE,"손익-마 (2)";#N/A,#N/A,FALSE,"손익-마";#N/A,#N/A,FALSE,"총손최종"}</definedName>
    <definedName name="ㅇㅇㄹㅇㄹㅇㄹㄴ" hidden="1">{"'7'!$B$15:$D$32"}</definedName>
    <definedName name="ㅇㅇㅇ" hidden="1">{#N/A,#N/A,FALSE,"단축1";#N/A,#N/A,FALSE,"단축2";#N/A,#N/A,FALSE,"단축3";#N/A,#N/A,FALSE,"장축";#N/A,#N/A,FALSE,"4WD"}</definedName>
    <definedName name="ㅇㅇㅇㄴㄴ" hidden="1">{#N/A,#N/A,FALSE,"정공"}</definedName>
    <definedName name="ㅇㅇㅇㅇ" hidden="1">{#N/A,#N/A,FALSE,"KMC최종회의(7월) 자료"}</definedName>
    <definedName name="ㅇㅇㅇㅇㄹㅇㅇ" hidden="1">{#N/A,#N/A,FALSE,"KMC최종회의(7월) 자료"}</definedName>
    <definedName name="ㅇㅇㅇㅇㅇ" hidden="1">{"'7'!$B$15:$D$32"}</definedName>
    <definedName name="ㅇㅇㅇㅇㅇㅇ" hidden="1">{#N/A,#N/A,FALSE,"정공"}</definedName>
    <definedName name="ㅇㅇㅇㅇㅇㅇㅇㅇㅇ" hidden="1">{"'7'!$B$15:$D$32"}</definedName>
    <definedName name="ㅇㅇㅇㅇㅇㅇㅇㅇㅇㅇㅇㅇㅇㅇㅇㅇ" hidden="1">{#VALUE!,#N/A,FALSE,0}</definedName>
    <definedName name="ㅇㅇㅇㅇㅎㄱ" hidden="1">{#N/A,#N/A,FALSE,"유첨1-1";#N/A,#N/A,FALSE,"1-2";#N/A,#N/A,FALSE,"1-3";#N/A,#N/A,FALSE,"1-4";#N/A,#N/A,FALSE,"1-5";#N/A,#N/A,FALSE,"1-6";#N/A,#N/A,FALSE,"1-7";#N/A,#N/A,FALSE,"1-8";#N/A,#N/A,FALSE,"1-9"}</definedName>
    <definedName name="ㅇ아아ㅏ앙" hidden="1">{#N/A,#N/A,TRUE,"Y생산";#N/A,#N/A,TRUE,"Y판매";#N/A,#N/A,TRUE,"Y총물량";#N/A,#N/A,TRUE,"Y능력";#N/A,#N/A,TRUE,"YKD"}</definedName>
    <definedName name="ㅇㅊㅇㄴ" hidden="1">{#N/A,#N/A,FALSE,"단축1";#N/A,#N/A,FALSE,"단축2";#N/A,#N/A,FALSE,"단축3";#N/A,#N/A,FALSE,"장축";#N/A,#N/A,FALSE,"4WD"}</definedName>
    <definedName name="ㅇㅎ" hidden="1">{#N/A,#N/A,FALSE,"단축1";#N/A,#N/A,FALSE,"단축2";#N/A,#N/A,FALSE,"단축3";#N/A,#N/A,FALSE,"장축";#N/A,#N/A,FALSE,"4WD"}</definedName>
    <definedName name="ㅇㅎㄴㅇㅎㄴㄹ" hidden="1">{#N/A,#N/A,FALSE,"KMC최종회의(7월) 자료"}</definedName>
    <definedName name="ㅇㅎㄹ"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 hidden="1">{"'7'!$B$15:$D$32"}</definedName>
    <definedName name="아나나" hidden="1">{#N/A,#N/A,FALSE,"정공"}</definedName>
    <definedName name="아나마오" hidden="1">{#N/A,#N/A,FALSE,"정공"}</definedName>
    <definedName name="아니래요" hidden="1">{#N/A,#N/A,FALSE,"정공"}</definedName>
    <definedName name="아니면말고" hidden="1">{#N/A,#N/A,FALSE,"정공"}</definedName>
    <definedName name="아니오" hidden="1">{#N/A,#N/A,FALSE,"정공"}</definedName>
    <definedName name="아니오아" hidden="1">{#N/A,#N/A,FALSE,"KMC최종회의(7월) 자료"}</definedName>
    <definedName name="아니오옹" hidden="1">{#N/A,#N/A,FALSE,"정공"}</definedName>
    <definedName name="아니요표지" hidden="1">{#N/A,#N/A,FALSE,"정공"}</definedName>
    <definedName name="아닙니다" hidden="1">{#N/A,#N/A,FALSE,"정공"}</definedName>
    <definedName name="아들" hidden="1">{"'7'!$B$15:$D$32"}</definedName>
    <definedName name="아라" hidden="1">{"'5'!$A$1:$BB$147"}</definedName>
    <definedName name="아리랑" hidden="1">{#N/A,#N/A,FALSE,"정공"}</definedName>
    <definedName name="아리랑동동" hidden="1">{#N/A,#N/A,FALSE,"정공"}</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알" hidden="1">{"'5'!$A$1:$BB$147"}</definedName>
    <definedName name="아앙" hidden="1">{#N/A,#N/A,FALSE,"KMC최종회의(7월) 자료"}</definedName>
    <definedName name="아이" hidden="1">{#N/A,#N/A,FALSE,"정공"}</definedName>
    <definedName name="아자" hidden="1">{"'5'!$A$1:$BB$147"}</definedName>
    <definedName name="아폴로" hidden="1">{#N/A,#N/A,FALSE,"해외크레임";#N/A,#N/A,FALSE,"ACCENT현황";#N/A,#N/A,FALSE,"AVANTE";#N/A,#N/A,FALSE,"SONATA(3)";#N/A,#N/A,FALSE,"국내크레임"}</definedName>
    <definedName name="안녕" hidden="1">{"'5'!$A$1:$BB$147"}</definedName>
    <definedName name="안현모" hidden="1">{#N/A,#N/A,FALSE,"단축1";#N/A,#N/A,FALSE,"단축2";#N/A,#N/A,FALSE,"단축3";#N/A,#N/A,FALSE,"장축";#N/A,#N/A,FALSE,"4WD"}</definedName>
    <definedName name="앗서" hidden="1">{#N/A,#N/A,FALSE,"정공"}</definedName>
    <definedName name="앙럼" hidden="1">{#N/A,#N/A,FALSE,"해외크레임";#N/A,#N/A,FALSE,"ACCENT현황";#N/A,#N/A,FALSE,"AVANTE";#N/A,#N/A,FALSE,"SONATA(3)";#N/A,#N/A,FALSE,"국내크레임"}</definedName>
    <definedName name="야" hidden="1">{#N/A,#N/A,TRUE,"Y생산";#N/A,#N/A,TRUE,"Y판매";#N/A,#N/A,TRUE,"Y총물량";#N/A,#N/A,TRUE,"Y능력";#N/A,#N/A,TRUE,"YKD"}</definedName>
    <definedName name="약식손익" hidden="1">{#N/A,#N/A,FALSE,"정공"}</definedName>
    <definedName name="약정상환2" hidden="1">{#N/A,#N/A,FALSE,"KMC최종회의(7월) 자료"}</definedName>
    <definedName name="약정잉자" hidden="1">{#N/A,#N/A,FALSE,"정공"}</definedName>
    <definedName name="양대호" hidden="1">{#N/A,#N/A,FALSE,"단축1";#N/A,#N/A,FALSE,"단축2";#N/A,#N/A,FALSE,"단축3";#N/A,#N/A,FALSE,"장축";#N/A,#N/A,FALSE,"4WD"}</definedName>
    <definedName name="양산품질1" hidden="1">{#N/A,#N/A,FALSE,"KMC최종회의(7월) 자료"}</definedName>
    <definedName name="양식" hidden="1">{#N/A,#N/A,FALSE,"단축1";#N/A,#N/A,FALSE,"단축2";#N/A,#N/A,FALSE,"단축3";#N/A,#N/A,FALSE,"장축";#N/A,#N/A,FALSE,"4WD"}</definedName>
    <definedName name="양식100" hidden="1">#REF!</definedName>
    <definedName name="양식117" hidden="1">{#N/A,#N/A,TRUE,"양식5";#N/A,#N/A,TRUE,"양식1_2_2";#N/A,#N/A,TRUE,"양식1_1_2";#N/A,#N/A,TRUE,"양식2";#N/A,#N/A,TRUE,"양식4";#N/A,#N/A,TRUE,"양식3";#N/A,#N/A,TRUE,"양식6";#N/A,#N/A,TRUE,"양식7";#N/A,#N/A,TRUE,"양식10";#N/A,#N/A,TRUE,"양식11";#N/A,#N/A,TRUE,"양식12";#N/A,#N/A,TRUE,"양식13_1_2";#N/A,#N/A,TRUE,"양식13_2_2";#N/A,#N/A,TRUE,"양식14"}</definedName>
    <definedName name="양식117_1" hidden="1">{#N/A,#N/A,TRUE,"양식5";#N/A,#N/A,TRUE,"양식1_2_2";#N/A,#N/A,TRUE,"양식1_1_2";#N/A,#N/A,TRUE,"양식2";#N/A,#N/A,TRUE,"양식4";#N/A,#N/A,TRUE,"양식3";#N/A,#N/A,TRUE,"양식6";#N/A,#N/A,TRUE,"양식7";#N/A,#N/A,TRUE,"양식10";#N/A,#N/A,TRUE,"양식11";#N/A,#N/A,TRUE,"양식12";#N/A,#N/A,TRUE,"양식13_1_2";#N/A,#N/A,TRUE,"양식13_2_2";#N/A,#N/A,TRUE,"양식14"}</definedName>
    <definedName name="양식117_1_1" hidden="1">{#N/A,#N/A,TRUE,"양식5";#N/A,#N/A,TRUE,"양식1_2_2";#N/A,#N/A,TRUE,"양식1_1_2";#N/A,#N/A,TRUE,"양식2";#N/A,#N/A,TRUE,"양식4";#N/A,#N/A,TRUE,"양식3";#N/A,#N/A,TRUE,"양식6";#N/A,#N/A,TRUE,"양식7";#N/A,#N/A,TRUE,"양식10";#N/A,#N/A,TRUE,"양식11";#N/A,#N/A,TRUE,"양식12";#N/A,#N/A,TRUE,"양식13_1_2";#N/A,#N/A,TRUE,"양식13_2_2";#N/A,#N/A,TRUE,"양식14"}</definedName>
    <definedName name="양식117_2" hidden="1">{#N/A,#N/A,TRUE,"양식5";#N/A,#N/A,TRUE,"양식1_2_2";#N/A,#N/A,TRUE,"양식1_1_2";#N/A,#N/A,TRUE,"양식2";#N/A,#N/A,TRUE,"양식4";#N/A,#N/A,TRUE,"양식3";#N/A,#N/A,TRUE,"양식6";#N/A,#N/A,TRUE,"양식7";#N/A,#N/A,TRUE,"양식10";#N/A,#N/A,TRUE,"양식11";#N/A,#N/A,TRUE,"양식12";#N/A,#N/A,TRUE,"양식13_1_2";#N/A,#N/A,TRUE,"양식13_2_2";#N/A,#N/A,TRUE,"양식14"}</definedName>
    <definedName name="양식117_2_1" hidden="1">{#N/A,#N/A,TRUE,"양식5";#N/A,#N/A,TRUE,"양식1_2_2";#N/A,#N/A,TRUE,"양식1_1_2";#N/A,#N/A,TRUE,"양식2";#N/A,#N/A,TRUE,"양식4";#N/A,#N/A,TRUE,"양식3";#N/A,#N/A,TRUE,"양식6";#N/A,#N/A,TRUE,"양식7";#N/A,#N/A,TRUE,"양식10";#N/A,#N/A,TRUE,"양식11";#N/A,#N/A,TRUE,"양식12";#N/A,#N/A,TRUE,"양식13_1_2";#N/A,#N/A,TRUE,"양식13_2_2";#N/A,#N/A,TRUE,"양식14"}</definedName>
    <definedName name="양식117_3" hidden="1">{#N/A,#N/A,TRUE,"양식5";#N/A,#N/A,TRUE,"양식1_2_2";#N/A,#N/A,TRUE,"양식1_1_2";#N/A,#N/A,TRUE,"양식2";#N/A,#N/A,TRUE,"양식4";#N/A,#N/A,TRUE,"양식3";#N/A,#N/A,TRUE,"양식6";#N/A,#N/A,TRUE,"양식7";#N/A,#N/A,TRUE,"양식10";#N/A,#N/A,TRUE,"양식11";#N/A,#N/A,TRUE,"양식12";#N/A,#N/A,TRUE,"양식13_1_2";#N/A,#N/A,TRUE,"양식13_2_2";#N/A,#N/A,TRUE,"양식14"}</definedName>
    <definedName name="양식117_3_1" hidden="1">{#N/A,#N/A,TRUE,"양식5";#N/A,#N/A,TRUE,"양식1_2_2";#N/A,#N/A,TRUE,"양식1_1_2";#N/A,#N/A,TRUE,"양식2";#N/A,#N/A,TRUE,"양식4";#N/A,#N/A,TRUE,"양식3";#N/A,#N/A,TRUE,"양식6";#N/A,#N/A,TRUE,"양식7";#N/A,#N/A,TRUE,"양식10";#N/A,#N/A,TRUE,"양식11";#N/A,#N/A,TRUE,"양식12";#N/A,#N/A,TRUE,"양식13_1_2";#N/A,#N/A,TRUE,"양식13_2_2";#N/A,#N/A,TRUE,"양식14"}</definedName>
    <definedName name="양식117_4" hidden="1">{#N/A,#N/A,TRUE,"양식5";#N/A,#N/A,TRUE,"양식1_2_2";#N/A,#N/A,TRUE,"양식1_1_2";#N/A,#N/A,TRUE,"양식2";#N/A,#N/A,TRUE,"양식4";#N/A,#N/A,TRUE,"양식3";#N/A,#N/A,TRUE,"양식6";#N/A,#N/A,TRUE,"양식7";#N/A,#N/A,TRUE,"양식10";#N/A,#N/A,TRUE,"양식11";#N/A,#N/A,TRUE,"양식12";#N/A,#N/A,TRUE,"양식13_1_2";#N/A,#N/A,TRUE,"양식13_2_2";#N/A,#N/A,TRUE,"양식14"}</definedName>
    <definedName name="양식117_4_1" hidden="1">{#N/A,#N/A,TRUE,"양식5";#N/A,#N/A,TRUE,"양식1_2_2";#N/A,#N/A,TRUE,"양식1_1_2";#N/A,#N/A,TRUE,"양식2";#N/A,#N/A,TRUE,"양식4";#N/A,#N/A,TRUE,"양식3";#N/A,#N/A,TRUE,"양식6";#N/A,#N/A,TRUE,"양식7";#N/A,#N/A,TRUE,"양식10";#N/A,#N/A,TRUE,"양식11";#N/A,#N/A,TRUE,"양식12";#N/A,#N/A,TRUE,"양식13_1_2";#N/A,#N/A,TRUE,"양식13_2_2";#N/A,#N/A,TRUE,"양식14"}</definedName>
    <definedName name="양식117_5" hidden="1">{#N/A,#N/A,TRUE,"양식5";#N/A,#N/A,TRUE,"양식1_2_2";#N/A,#N/A,TRUE,"양식1_1_2";#N/A,#N/A,TRUE,"양식2";#N/A,#N/A,TRUE,"양식4";#N/A,#N/A,TRUE,"양식3";#N/A,#N/A,TRUE,"양식6";#N/A,#N/A,TRUE,"양식7";#N/A,#N/A,TRUE,"양식10";#N/A,#N/A,TRUE,"양식11";#N/A,#N/A,TRUE,"양식12";#N/A,#N/A,TRUE,"양식13_1_2";#N/A,#N/A,TRUE,"양식13_2_2";#N/A,#N/A,TRUE,"양식14"}</definedName>
    <definedName name="양식117_5_1" hidden="1">{#N/A,#N/A,TRUE,"양식5";#N/A,#N/A,TRUE,"양식1_2_2";#N/A,#N/A,TRUE,"양식1_1_2";#N/A,#N/A,TRUE,"양식2";#N/A,#N/A,TRUE,"양식4";#N/A,#N/A,TRUE,"양식3";#N/A,#N/A,TRUE,"양식6";#N/A,#N/A,TRUE,"양식7";#N/A,#N/A,TRUE,"양식10";#N/A,#N/A,TRUE,"양식11";#N/A,#N/A,TRUE,"양식12";#N/A,#N/A,TRUE,"양식13_1_2";#N/A,#N/A,TRUE,"양식13_2_2";#N/A,#N/A,TRUE,"양식14"}</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1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17_2_1" hidden="1">{#N/A,#N/A,TRUE,"양식5";#N/A,#N/A,TRUE,"양식1_2_2";#N/A,#N/A,TRUE,"양식1_1_2";#N/A,#N/A,TRUE,"양식2";#N/A,#N/A,TRUE,"양식4";#N/A,#N/A,TRUE,"양식3";#N/A,#N/A,TRUE,"양식6";#N/A,#N/A,TRUE,"양식7";#N/A,#N/A,TRUE,"양식10";#N/A,#N/A,TRUE,"양식11";#N/A,#N/A,TRUE,"양식12";#N/A,#N/A,TRUE,"양식13_1_2";#N/A,#N/A,TRUE,"양식13_2_2";#N/A,#N/A,TRUE,"양식14"}</definedName>
    <definedName name="양식17_3" hidden="1">{#N/A,#N/A,TRUE,"양식5";#N/A,#N/A,TRUE,"양식1_2_2";#N/A,#N/A,TRUE,"양식1_1_2";#N/A,#N/A,TRUE,"양식2";#N/A,#N/A,TRUE,"양식4";#N/A,#N/A,TRUE,"양식3";#N/A,#N/A,TRUE,"양식6";#N/A,#N/A,TRUE,"양식7";#N/A,#N/A,TRUE,"양식10";#N/A,#N/A,TRUE,"양식11";#N/A,#N/A,TRUE,"양식12";#N/A,#N/A,TRUE,"양식13_1_2";#N/A,#N/A,TRUE,"양식13_2_2";#N/A,#N/A,TRUE,"양식14"}</definedName>
    <definedName name="양식17_3_1" hidden="1">{#N/A,#N/A,TRUE,"양식5";#N/A,#N/A,TRUE,"양식1_2_2";#N/A,#N/A,TRUE,"양식1_1_2";#N/A,#N/A,TRUE,"양식2";#N/A,#N/A,TRUE,"양식4";#N/A,#N/A,TRUE,"양식3";#N/A,#N/A,TRUE,"양식6";#N/A,#N/A,TRUE,"양식7";#N/A,#N/A,TRUE,"양식10";#N/A,#N/A,TRUE,"양식11";#N/A,#N/A,TRUE,"양식12";#N/A,#N/A,TRUE,"양식13_1_2";#N/A,#N/A,TRUE,"양식13_2_2";#N/A,#N/A,TRUE,"양식14"}</definedName>
    <definedName name="양식17_4" hidden="1">{#N/A,#N/A,TRUE,"양식5";#N/A,#N/A,TRUE,"양식1_2_2";#N/A,#N/A,TRUE,"양식1_1_2";#N/A,#N/A,TRUE,"양식2";#N/A,#N/A,TRUE,"양식4";#N/A,#N/A,TRUE,"양식3";#N/A,#N/A,TRUE,"양식6";#N/A,#N/A,TRUE,"양식7";#N/A,#N/A,TRUE,"양식10";#N/A,#N/A,TRUE,"양식11";#N/A,#N/A,TRUE,"양식12";#N/A,#N/A,TRUE,"양식13_1_2";#N/A,#N/A,TRUE,"양식13_2_2";#N/A,#N/A,TRUE,"양식14"}</definedName>
    <definedName name="양식17_4_1" hidden="1">{#N/A,#N/A,TRUE,"양식5";#N/A,#N/A,TRUE,"양식1_2_2";#N/A,#N/A,TRUE,"양식1_1_2";#N/A,#N/A,TRUE,"양식2";#N/A,#N/A,TRUE,"양식4";#N/A,#N/A,TRUE,"양식3";#N/A,#N/A,TRUE,"양식6";#N/A,#N/A,TRUE,"양식7";#N/A,#N/A,TRUE,"양식10";#N/A,#N/A,TRUE,"양식11";#N/A,#N/A,TRUE,"양식12";#N/A,#N/A,TRUE,"양식13_1_2";#N/A,#N/A,TRUE,"양식13_2_2";#N/A,#N/A,TRUE,"양식14"}</definedName>
    <definedName name="양식17_5" hidden="1">{#N/A,#N/A,TRUE,"양식5";#N/A,#N/A,TRUE,"양식1_2_2";#N/A,#N/A,TRUE,"양식1_1_2";#N/A,#N/A,TRUE,"양식2";#N/A,#N/A,TRUE,"양식4";#N/A,#N/A,TRUE,"양식3";#N/A,#N/A,TRUE,"양식6";#N/A,#N/A,TRUE,"양식7";#N/A,#N/A,TRUE,"양식10";#N/A,#N/A,TRUE,"양식11";#N/A,#N/A,TRUE,"양식12";#N/A,#N/A,TRUE,"양식13_1_2";#N/A,#N/A,TRUE,"양식13_2_2";#N/A,#N/A,TRUE,"양식14"}</definedName>
    <definedName name="양식17_5_1" hidden="1">{#N/A,#N/A,TRUE,"양식5";#N/A,#N/A,TRUE,"양식1_2_2";#N/A,#N/A,TRUE,"양식1_1_2";#N/A,#N/A,TRUE,"양식2";#N/A,#N/A,TRUE,"양식4";#N/A,#N/A,TRUE,"양식3";#N/A,#N/A,TRUE,"양식6";#N/A,#N/A,TRUE,"양식7";#N/A,#N/A,TRUE,"양식10";#N/A,#N/A,TRUE,"양식11";#N/A,#N/A,TRUE,"양식12";#N/A,#N/A,TRUE,"양식13_1_2";#N/A,#N/A,TRUE,"양식13_2_2";#N/A,#N/A,TRUE,"양식14"}</definedName>
    <definedName name="양식18" hidden="1">{#N/A,#N/A,TRUE,"양식5";#N/A,#N/A,TRUE,"양식1_2_2";#N/A,#N/A,TRUE,"양식1_1_2";#N/A,#N/A,TRUE,"양식2";#N/A,#N/A,TRUE,"양식4";#N/A,#N/A,TRUE,"양식3";#N/A,#N/A,TRUE,"양식6";#N/A,#N/A,TRUE,"양식7";#N/A,#N/A,TRUE,"양식10";#N/A,#N/A,TRUE,"양식11";#N/A,#N/A,TRUE,"양식12";#N/A,#N/A,TRUE,"양식13_1_2";#N/A,#N/A,TRUE,"양식13_2_2";#N/A,#N/A,TRUE,"양식14"}</definedName>
    <definedName name="양식18_1" hidden="1">{#N/A,#N/A,TRUE,"양식5";#N/A,#N/A,TRUE,"양식1_2_2";#N/A,#N/A,TRUE,"양식1_1_2";#N/A,#N/A,TRUE,"양식2";#N/A,#N/A,TRUE,"양식4";#N/A,#N/A,TRUE,"양식3";#N/A,#N/A,TRUE,"양식6";#N/A,#N/A,TRUE,"양식7";#N/A,#N/A,TRUE,"양식10";#N/A,#N/A,TRUE,"양식11";#N/A,#N/A,TRUE,"양식12";#N/A,#N/A,TRUE,"양식13_1_2";#N/A,#N/A,TRUE,"양식13_2_2";#N/A,#N/A,TRUE,"양식14"}</definedName>
    <definedName name="양식18_1_1" hidden="1">{#N/A,#N/A,TRUE,"양식5";#N/A,#N/A,TRUE,"양식1_2_2";#N/A,#N/A,TRUE,"양식1_1_2";#N/A,#N/A,TRUE,"양식2";#N/A,#N/A,TRUE,"양식4";#N/A,#N/A,TRUE,"양식3";#N/A,#N/A,TRUE,"양식6";#N/A,#N/A,TRUE,"양식7";#N/A,#N/A,TRUE,"양식10";#N/A,#N/A,TRUE,"양식11";#N/A,#N/A,TRUE,"양식12";#N/A,#N/A,TRUE,"양식13_1_2";#N/A,#N/A,TRUE,"양식13_2_2";#N/A,#N/A,TRUE,"양식14"}</definedName>
    <definedName name="양식18_2" hidden="1">{#N/A,#N/A,TRUE,"양식5";#N/A,#N/A,TRUE,"양식1_2_2";#N/A,#N/A,TRUE,"양식1_1_2";#N/A,#N/A,TRUE,"양식2";#N/A,#N/A,TRUE,"양식4";#N/A,#N/A,TRUE,"양식3";#N/A,#N/A,TRUE,"양식6";#N/A,#N/A,TRUE,"양식7";#N/A,#N/A,TRUE,"양식10";#N/A,#N/A,TRUE,"양식11";#N/A,#N/A,TRUE,"양식12";#N/A,#N/A,TRUE,"양식13_1_2";#N/A,#N/A,TRUE,"양식13_2_2";#N/A,#N/A,TRUE,"양식14"}</definedName>
    <definedName name="양식18_2_1" hidden="1">{#N/A,#N/A,TRUE,"양식5";#N/A,#N/A,TRUE,"양식1_2_2";#N/A,#N/A,TRUE,"양식1_1_2";#N/A,#N/A,TRUE,"양식2";#N/A,#N/A,TRUE,"양식4";#N/A,#N/A,TRUE,"양식3";#N/A,#N/A,TRUE,"양식6";#N/A,#N/A,TRUE,"양식7";#N/A,#N/A,TRUE,"양식10";#N/A,#N/A,TRUE,"양식11";#N/A,#N/A,TRUE,"양식12";#N/A,#N/A,TRUE,"양식13_1_2";#N/A,#N/A,TRUE,"양식13_2_2";#N/A,#N/A,TRUE,"양식14"}</definedName>
    <definedName name="양식18_3" hidden="1">{#N/A,#N/A,TRUE,"양식5";#N/A,#N/A,TRUE,"양식1_2_2";#N/A,#N/A,TRUE,"양식1_1_2";#N/A,#N/A,TRUE,"양식2";#N/A,#N/A,TRUE,"양식4";#N/A,#N/A,TRUE,"양식3";#N/A,#N/A,TRUE,"양식6";#N/A,#N/A,TRUE,"양식7";#N/A,#N/A,TRUE,"양식10";#N/A,#N/A,TRUE,"양식11";#N/A,#N/A,TRUE,"양식12";#N/A,#N/A,TRUE,"양식13_1_2";#N/A,#N/A,TRUE,"양식13_2_2";#N/A,#N/A,TRUE,"양식14"}</definedName>
    <definedName name="양식18_3_1" hidden="1">{#N/A,#N/A,TRUE,"양식5";#N/A,#N/A,TRUE,"양식1_2_2";#N/A,#N/A,TRUE,"양식1_1_2";#N/A,#N/A,TRUE,"양식2";#N/A,#N/A,TRUE,"양식4";#N/A,#N/A,TRUE,"양식3";#N/A,#N/A,TRUE,"양식6";#N/A,#N/A,TRUE,"양식7";#N/A,#N/A,TRUE,"양식10";#N/A,#N/A,TRUE,"양식11";#N/A,#N/A,TRUE,"양식12";#N/A,#N/A,TRUE,"양식13_1_2";#N/A,#N/A,TRUE,"양식13_2_2";#N/A,#N/A,TRUE,"양식14"}</definedName>
    <definedName name="양식18_4" hidden="1">{#N/A,#N/A,TRUE,"양식5";#N/A,#N/A,TRUE,"양식1_2_2";#N/A,#N/A,TRUE,"양식1_1_2";#N/A,#N/A,TRUE,"양식2";#N/A,#N/A,TRUE,"양식4";#N/A,#N/A,TRUE,"양식3";#N/A,#N/A,TRUE,"양식6";#N/A,#N/A,TRUE,"양식7";#N/A,#N/A,TRUE,"양식10";#N/A,#N/A,TRUE,"양식11";#N/A,#N/A,TRUE,"양식12";#N/A,#N/A,TRUE,"양식13_1_2";#N/A,#N/A,TRUE,"양식13_2_2";#N/A,#N/A,TRUE,"양식14"}</definedName>
    <definedName name="양식18_4_1" hidden="1">{#N/A,#N/A,TRUE,"양식5";#N/A,#N/A,TRUE,"양식1_2_2";#N/A,#N/A,TRUE,"양식1_1_2";#N/A,#N/A,TRUE,"양식2";#N/A,#N/A,TRUE,"양식4";#N/A,#N/A,TRUE,"양식3";#N/A,#N/A,TRUE,"양식6";#N/A,#N/A,TRUE,"양식7";#N/A,#N/A,TRUE,"양식10";#N/A,#N/A,TRUE,"양식11";#N/A,#N/A,TRUE,"양식12";#N/A,#N/A,TRUE,"양식13_1_2";#N/A,#N/A,TRUE,"양식13_2_2";#N/A,#N/A,TRUE,"양식14"}</definedName>
    <definedName name="양식18_5" hidden="1">{#N/A,#N/A,TRUE,"양식5";#N/A,#N/A,TRUE,"양식1_2_2";#N/A,#N/A,TRUE,"양식1_1_2";#N/A,#N/A,TRUE,"양식2";#N/A,#N/A,TRUE,"양식4";#N/A,#N/A,TRUE,"양식3";#N/A,#N/A,TRUE,"양식6";#N/A,#N/A,TRUE,"양식7";#N/A,#N/A,TRUE,"양식10";#N/A,#N/A,TRUE,"양식11";#N/A,#N/A,TRUE,"양식12";#N/A,#N/A,TRUE,"양식13_1_2";#N/A,#N/A,TRUE,"양식13_2_2";#N/A,#N/A,TRUE,"양식14"}</definedName>
    <definedName name="양식18_5_1" hidden="1">{#N/A,#N/A,TRUE,"양식5";#N/A,#N/A,TRUE,"양식1_2_2";#N/A,#N/A,TRUE,"양식1_1_2";#N/A,#N/A,TRUE,"양식2";#N/A,#N/A,TRUE,"양식4";#N/A,#N/A,TRUE,"양식3";#N/A,#N/A,TRUE,"양식6";#N/A,#N/A,TRUE,"양식7";#N/A,#N/A,TRUE,"양식10";#N/A,#N/A,TRUE,"양식11";#N/A,#N/A,TRUE,"양식12";#N/A,#N/A,TRUE,"양식13_1_2";#N/A,#N/A,TRUE,"양식13_2_2";#N/A,#N/A,TRUE,"양식14"}</definedName>
    <definedName name="양식99" hidden="1">{#N/A,#N/A,TRUE,"양식5";#N/A,#N/A,TRUE,"양식1_2_2";#N/A,#N/A,TRUE,"양식1_1_2";#N/A,#N/A,TRUE,"양식2";#N/A,#N/A,TRUE,"양식4";#N/A,#N/A,TRUE,"양식3";#N/A,#N/A,TRUE,"양식6";#N/A,#N/A,TRUE,"양식7";#N/A,#N/A,TRUE,"양식10";#N/A,#N/A,TRUE,"양식11";#N/A,#N/A,TRUE,"양식12";#N/A,#N/A,TRUE,"양식13_1_2";#N/A,#N/A,TRUE,"양식13_2_2";#N/A,#N/A,TRUE,"양식14"}</definedName>
    <definedName name="양식99_1" hidden="1">{#N/A,#N/A,TRUE,"양식5";#N/A,#N/A,TRUE,"양식1_2_2";#N/A,#N/A,TRUE,"양식1_1_2";#N/A,#N/A,TRUE,"양식2";#N/A,#N/A,TRUE,"양식4";#N/A,#N/A,TRUE,"양식3";#N/A,#N/A,TRUE,"양식6";#N/A,#N/A,TRUE,"양식7";#N/A,#N/A,TRUE,"양식10";#N/A,#N/A,TRUE,"양식11";#N/A,#N/A,TRUE,"양식12";#N/A,#N/A,TRUE,"양식13_1_2";#N/A,#N/A,TRUE,"양식13_2_2";#N/A,#N/A,TRUE,"양식14"}</definedName>
    <definedName name="양식99_1_1" hidden="1">{#N/A,#N/A,TRUE,"양식5";#N/A,#N/A,TRUE,"양식1_2_2";#N/A,#N/A,TRUE,"양식1_1_2";#N/A,#N/A,TRUE,"양식2";#N/A,#N/A,TRUE,"양식4";#N/A,#N/A,TRUE,"양식3";#N/A,#N/A,TRUE,"양식6";#N/A,#N/A,TRUE,"양식7";#N/A,#N/A,TRUE,"양식10";#N/A,#N/A,TRUE,"양식11";#N/A,#N/A,TRUE,"양식12";#N/A,#N/A,TRUE,"양식13_1_2";#N/A,#N/A,TRUE,"양식13_2_2";#N/A,#N/A,TRUE,"양식14"}</definedName>
    <definedName name="양식99_2" hidden="1">{#N/A,#N/A,TRUE,"양식5";#N/A,#N/A,TRUE,"양식1_2_2";#N/A,#N/A,TRUE,"양식1_1_2";#N/A,#N/A,TRUE,"양식2";#N/A,#N/A,TRUE,"양식4";#N/A,#N/A,TRUE,"양식3";#N/A,#N/A,TRUE,"양식6";#N/A,#N/A,TRUE,"양식7";#N/A,#N/A,TRUE,"양식10";#N/A,#N/A,TRUE,"양식11";#N/A,#N/A,TRUE,"양식12";#N/A,#N/A,TRUE,"양식13_1_2";#N/A,#N/A,TRUE,"양식13_2_2";#N/A,#N/A,TRUE,"양식14"}</definedName>
    <definedName name="양식99_2_1" hidden="1">{#N/A,#N/A,TRUE,"양식5";#N/A,#N/A,TRUE,"양식1_2_2";#N/A,#N/A,TRUE,"양식1_1_2";#N/A,#N/A,TRUE,"양식2";#N/A,#N/A,TRUE,"양식4";#N/A,#N/A,TRUE,"양식3";#N/A,#N/A,TRUE,"양식6";#N/A,#N/A,TRUE,"양식7";#N/A,#N/A,TRUE,"양식10";#N/A,#N/A,TRUE,"양식11";#N/A,#N/A,TRUE,"양식12";#N/A,#N/A,TRUE,"양식13_1_2";#N/A,#N/A,TRUE,"양식13_2_2";#N/A,#N/A,TRUE,"양식14"}</definedName>
    <definedName name="양식99_3" hidden="1">{#N/A,#N/A,TRUE,"양식5";#N/A,#N/A,TRUE,"양식1_2_2";#N/A,#N/A,TRUE,"양식1_1_2";#N/A,#N/A,TRUE,"양식2";#N/A,#N/A,TRUE,"양식4";#N/A,#N/A,TRUE,"양식3";#N/A,#N/A,TRUE,"양식6";#N/A,#N/A,TRUE,"양식7";#N/A,#N/A,TRUE,"양식10";#N/A,#N/A,TRUE,"양식11";#N/A,#N/A,TRUE,"양식12";#N/A,#N/A,TRUE,"양식13_1_2";#N/A,#N/A,TRUE,"양식13_2_2";#N/A,#N/A,TRUE,"양식14"}</definedName>
    <definedName name="양식99_3_1" hidden="1">{#N/A,#N/A,TRUE,"양식5";#N/A,#N/A,TRUE,"양식1_2_2";#N/A,#N/A,TRUE,"양식1_1_2";#N/A,#N/A,TRUE,"양식2";#N/A,#N/A,TRUE,"양식4";#N/A,#N/A,TRUE,"양식3";#N/A,#N/A,TRUE,"양식6";#N/A,#N/A,TRUE,"양식7";#N/A,#N/A,TRUE,"양식10";#N/A,#N/A,TRUE,"양식11";#N/A,#N/A,TRUE,"양식12";#N/A,#N/A,TRUE,"양식13_1_2";#N/A,#N/A,TRUE,"양식13_2_2";#N/A,#N/A,TRUE,"양식14"}</definedName>
    <definedName name="양식99_4" hidden="1">{#N/A,#N/A,TRUE,"양식5";#N/A,#N/A,TRUE,"양식1_2_2";#N/A,#N/A,TRUE,"양식1_1_2";#N/A,#N/A,TRUE,"양식2";#N/A,#N/A,TRUE,"양식4";#N/A,#N/A,TRUE,"양식3";#N/A,#N/A,TRUE,"양식6";#N/A,#N/A,TRUE,"양식7";#N/A,#N/A,TRUE,"양식10";#N/A,#N/A,TRUE,"양식11";#N/A,#N/A,TRUE,"양식12";#N/A,#N/A,TRUE,"양식13_1_2";#N/A,#N/A,TRUE,"양식13_2_2";#N/A,#N/A,TRUE,"양식14"}</definedName>
    <definedName name="양식99_4_1" hidden="1">{#N/A,#N/A,TRUE,"양식5";#N/A,#N/A,TRUE,"양식1_2_2";#N/A,#N/A,TRUE,"양식1_1_2";#N/A,#N/A,TRUE,"양식2";#N/A,#N/A,TRUE,"양식4";#N/A,#N/A,TRUE,"양식3";#N/A,#N/A,TRUE,"양식6";#N/A,#N/A,TRUE,"양식7";#N/A,#N/A,TRUE,"양식10";#N/A,#N/A,TRUE,"양식11";#N/A,#N/A,TRUE,"양식12";#N/A,#N/A,TRUE,"양식13_1_2";#N/A,#N/A,TRUE,"양식13_2_2";#N/A,#N/A,TRUE,"양식14"}</definedName>
    <definedName name="양식99_5" hidden="1">{#N/A,#N/A,TRUE,"양식5";#N/A,#N/A,TRUE,"양식1_2_2";#N/A,#N/A,TRUE,"양식1_1_2";#N/A,#N/A,TRUE,"양식2";#N/A,#N/A,TRUE,"양식4";#N/A,#N/A,TRUE,"양식3";#N/A,#N/A,TRUE,"양식6";#N/A,#N/A,TRUE,"양식7";#N/A,#N/A,TRUE,"양식10";#N/A,#N/A,TRUE,"양식11";#N/A,#N/A,TRUE,"양식12";#N/A,#N/A,TRUE,"양식13_1_2";#N/A,#N/A,TRUE,"양식13_2_2";#N/A,#N/A,TRUE,"양식14"}</definedName>
    <definedName name="양식99_5_1" hidden="1">{#N/A,#N/A,TRUE,"양식5";#N/A,#N/A,TRUE,"양식1_2_2";#N/A,#N/A,TRUE,"양식1_1_2";#N/A,#N/A,TRUE,"양식2";#N/A,#N/A,TRUE,"양식4";#N/A,#N/A,TRUE,"양식3";#N/A,#N/A,TRUE,"양식6";#N/A,#N/A,TRUE,"양식7";#N/A,#N/A,TRUE,"양식10";#N/A,#N/A,TRUE,"양식11";#N/A,#N/A,TRUE,"양식12";#N/A,#N/A,TRUE,"양식13_1_2";#N/A,#N/A,TRUE,"양식13_2_2";#N/A,#N/A,TRUE,"양식14"}</definedName>
    <definedName name="업무계획" hidden="1">{#N/A,#N/A,FALSE,"KMC최종회의(7월) 자료"}</definedName>
    <definedName name="업무보고2002" hidden="1">{#N/A,#N/A,TRUE,"Y생산";#N/A,#N/A,TRUE,"Y판매";#N/A,#N/A,TRUE,"Y총물량";#N/A,#N/A,TRUE,"Y능력";#N/A,#N/A,TRUE,"YKD"}</definedName>
    <definedName name="업무보고용" hidden="1">{#N/A,#N/A,FALSE,"정공"}</definedName>
    <definedName name="업체별" hidden="1">{#N/A,#N/A,FALSE,"단축1";#N/A,#N/A,FALSE,"단축2";#N/A,#N/A,FALSE,"단축3";#N/A,#N/A,FALSE,"장축";#N/A,#N/A,FALSE,"4WD"}</definedName>
    <definedName name="업체카파" hidden="1">{#N/A,#N/A,FALSE,"단축1";#N/A,#N/A,FALSE,"단축2";#N/A,#N/A,FALSE,"단축3";#N/A,#N/A,FALSE,"장축";#N/A,#N/A,FALSE,"4WD"}</definedName>
    <definedName name="없음" hidden="1">{#N/A,#N/A,FALSE,"KMC최종회의(7월) 자료"}</definedName>
    <definedName name="에어벤트"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일정1" hidden="1">{#N/A,#N/A,FALSE,"단축1";#N/A,#N/A,FALSE,"단축2";#N/A,#N/A,FALSE,"단축3";#N/A,#N/A,FALSE,"장축";#N/A,#N/A,FALSE,"4WD"}</definedName>
    <definedName name="엔진표지" hidden="1">{#N/A,#N/A,FALSE,"단축1";#N/A,#N/A,FALSE,"단축2";#N/A,#N/A,FALSE,"단축3";#N/A,#N/A,FALSE,"장축";#N/A,#N/A,FALSE,"4WD"}</definedName>
    <definedName name="여력" hidden="1">{#N/A,#N/A,TRUE,"Y생산";#N/A,#N/A,TRUE,"Y판매";#N/A,#N/A,TRUE,"Y총물량";#N/A,#N/A,TRUE,"Y능력";#N/A,#N/A,TRUE,"YKD"}</definedName>
    <definedName name="여력인원" hidden="1">{#N/A,#N/A,FALSE,"96 3월물량표";#N/A,#N/A,FALSE,"96 4월물량표";#N/A,#N/A,FALSE,"96 5월물량표"}</definedName>
    <definedName name="여신" hidden="1">{"'5'!$A$1:$BB$147"}</definedName>
    <definedName name="역전경주" hidden="1">{#N/A,#N/A,FALSE,"KMC최종회의(7월) 자료"}</definedName>
    <definedName name="연간손익추" hidden="1">{#N/A,#N/A,FALSE,"정공"}</definedName>
    <definedName name="연구" hidden="1">{"'7'!$B$15:$D$32"}</definedName>
    <definedName name="연료2" hidden="1">{#N/A,#N/A,FALSE,"단축1";#N/A,#N/A,FALSE,"단축2";#N/A,#N/A,FALSE,"단축3";#N/A,#N/A,FALSE,"장축";#N/A,#N/A,FALSE,"4WD"}</definedName>
    <definedName name="연료펌프" hidden="1">#REF!</definedName>
    <definedName name="연월차" hidden="1">{#N/A,#N/A,TRUE,"Y생산";#N/A,#N/A,TRUE,"Y판매";#N/A,#N/A,TRUE,"Y총물량";#N/A,#N/A,TRUE,"Y능력";#N/A,#N/A,TRUE,"YKD"}</definedName>
    <definedName name="연주얀" hidden="1">{#N/A,#N/A,FALSE,"정공"}</definedName>
    <definedName name="연체" hidden="1">{"'5'!$A$1:$BB$147"}</definedName>
    <definedName name="연체이자탕감" hidden="1">{#N/A,#N/A,FALSE,"KMC최종회의(7월) 자료"}</definedName>
    <definedName name="열처리" hidden="1">{#N/A,#N/A,FALSE,"단축1";#N/A,#N/A,FALSE,"단축2";#N/A,#N/A,FALSE,"단축3";#N/A,#N/A,FALSE,"장축";#N/A,#N/A,FALSE,"4WD"}</definedName>
    <definedName name="영업" hidden="1">#REF!</definedName>
    <definedName name="영업일" hidden="1">{#N/A,#N/A,FALSE,"KMC최종회의(7월) 자료"}</definedName>
    <definedName name="영희" hidden="1">{"'5'!$A$1:$BB$147"}</definedName>
    <definedName name="예1" hidden="1">{#N/A,#N/A,FALSE,"유첨1-1";#N/A,#N/A,FALSE,"1-2";#N/A,#N/A,FALSE,"1-3";#N/A,#N/A,FALSE,"1-4";#N/A,#N/A,FALSE,"1-5";#N/A,#N/A,FALSE,"1-6";#N/A,#N/A,FALSE,"1-7";#N/A,#N/A,FALSE,"1-8";#N/A,#N/A,FALSE,"1-9"}</definedName>
    <definedName name="예2" hidden="1">{#N/A,#N/A,FALSE,"정공"}</definedName>
    <definedName name="예3" hidden="1">{#N/A,#N/A,FALSE,"정공"}</definedName>
    <definedName name="예산" hidden="1">{#N/A,#N/A,FALSE,"단축1";#N/A,#N/A,FALSE,"단축2";#N/A,#N/A,FALSE,"단축3";#N/A,#N/A,FALSE,"장축";#N/A,#N/A,FALSE,"4WD"}</definedName>
    <definedName name="예산4" hidden="1">{#N/A,#N/A,TRUE,"Y생산";#N/A,#N/A,TRUE,"Y판매";#N/A,#N/A,TRUE,"Y총물량";#N/A,#N/A,TRUE,"Y능력";#N/A,#N/A,TRUE,"YKD"}</definedName>
    <definedName name="예산수정" hidden="1">{#N/A,#N/A,TRUE,"Y생산";#N/A,#N/A,TRUE,"Y판매";#N/A,#N/A,TRUE,"Y총물량";#N/A,#N/A,TRUE,"Y능력";#N/A,#N/A,TRUE,"YKD"}</definedName>
    <definedName name="예스" hidden="1">{#N/A,#N/A,FALSE,"KMC최종회의(7월) 자료"}</definedName>
    <definedName name="오" hidden="1">{#N/A,#N/A,FALSE,"단축1";#N/A,#N/A,FALSE,"단축2";#N/A,#N/A,FALSE,"단축3";#N/A,#N/A,FALSE,"장축";#N/A,#N/A,FALSE,"4WD"}</definedName>
    <definedName name="오늘" hidden="1">{#N/A,#N/A,TRUE,"Y생산";#N/A,#N/A,TRUE,"Y판매";#N/A,#N/A,TRUE,"Y총물량";#N/A,#N/A,TRUE,"Y능력";#N/A,#N/A,TRUE,"YKD"}</definedName>
    <definedName name="오성협" hidden="1">{#N/A,#N/A,TRUE,"Y생산";#N/A,#N/A,TRUE,"Y판매";#N/A,#N/A,TRUE,"Y총물량";#N/A,#N/A,TRUE,"Y능력";#N/A,#N/A,TRUE,"YKD"}</definedName>
    <definedName name="오성히" hidden="1">{#N/A,#N/A,TRUE,"Y생산";#N/A,#N/A,TRUE,"Y판매";#N/A,#N/A,TRUE,"Y총물량";#N/A,#N/A,TRUE,"Y능력";#N/A,#N/A,TRUE,"YKD"}</definedName>
    <definedName name="오이" hidden="1">{#N/A,#N/A,FALSE,"단축1";#N/A,#N/A,FALSE,"단축2";#N/A,#N/A,FALSE,"단축3";#N/A,#N/A,FALSE,"장축";#N/A,#N/A,FALSE,"4WD"}</definedName>
    <definedName name="오익환" hidden="1">{#N/A,#N/A,FALSE,"단축1";#N/A,#N/A,FALSE,"단축2";#N/A,#N/A,FALSE,"단축3";#N/A,#N/A,FALSE,"장축";#N/A,#N/A,FALSE,"4WD"}</definedName>
    <definedName name="오일건" hidden="1">{#N/A,#N/A,FALSE,"단축1";#N/A,#N/A,FALSE,"단축2";#N/A,#N/A,FALSE,"단축3";#N/A,#N/A,FALSE,"장축";#N/A,#N/A,FALSE,"4WD"}</definedName>
    <definedName name="오주3" hidden="1">{#N/A,#N/A,FALSE,"KMC최종회의(7월) 자료"}</definedName>
    <definedName name="오토" hidden="1">{"'5'!$A$1:$BB$147"}</definedName>
    <definedName name="오토리스" hidden="1">{"'5'!$A$1:$BB$147"}</definedName>
    <definedName name="오토리스1" hidden="1">{"'5'!$A$1:$BB$147"}</definedName>
    <definedName name="오토리스실적" hidden="1">{"'5'!$A$1:$BB$147"}</definedName>
    <definedName name="오토본부" hidden="1">{"'5'!$A$1:$BB$147"}</definedName>
    <definedName name="오토토" hidden="1">{"'5'!$A$1:$BB$147"}</definedName>
    <definedName name="오포" hidden="1">{"'5'!$A$1:$BB$147"}</definedName>
    <definedName name="외주4" hidden="1">{#N/A,#N/A,FALSE,"KMC최종회의(7월) 자료"}</definedName>
    <definedName name="외주계획" hidden="1">{#N/A,#N/A,TRUE,"Y생산";#N/A,#N/A,TRUE,"Y판매";#N/A,#N/A,TRUE,"Y총물량";#N/A,#N/A,TRUE,"Y능력";#N/A,#N/A,TRUE,"YKD"}</definedName>
    <definedName name="외형분석" hidden="1">{#N/A,#N/A,FALSE,"정공"}</definedName>
    <definedName name="외형비교표" hidden="1">{#N/A,#N/A,FALSE,"정공"}</definedName>
    <definedName name="외형종합표" hidden="1">{#N/A,#N/A,FALSE,"정공"}</definedName>
    <definedName name="요약" hidden="1">#REF!</definedName>
    <definedName name="요약1" hidden="1">{"'7'!$B$15:$D$32"}</definedName>
    <definedName name="요약3" hidden="1">{#N/A,#N/A,FALSE,"정공"}</definedName>
    <definedName name="요약5" hidden="1">{#N/A,#N/A,FALSE,"정공"}</definedName>
    <definedName name="요약총괄" hidden="1">{#N/A,#N/A,FALSE,"정공"}</definedName>
    <definedName name="용도차" hidden="1">{#N/A,#N/A,FALSE,"단축1";#N/A,#N/A,FALSE,"단축2";#N/A,#N/A,FALSE,"단축3";#N/A,#N/A,FALSE,"장축";#N/A,#N/A,FALSE,"4WD"}</definedName>
    <definedName name="용역비" hidden="1">{"'7'!$B$15:$D$32"}</definedName>
    <definedName name="우" hidden="1">{#N/A,#N/A,FALSE,"단축1";#N/A,#N/A,FALSE,"단축2";#N/A,#N/A,FALSE,"단축3";#N/A,#N/A,FALSE,"장축";#N/A,#N/A,FALSE,"4WD"}</definedName>
    <definedName name="우라" hidden="1">{#N/A,#N/A,FALSE,"KMC최종회의(7월) 자료"}</definedName>
    <definedName name="우리" hidden="1">{#N/A,#N/A,FALSE,"단축1";#N/A,#N/A,FALSE,"단축2";#N/A,#N/A,FALSE,"단축3";#N/A,#N/A,FALSE,"장축";#N/A,#N/A,FALSE,"4WD"}</definedName>
    <definedName name="우리나라" hidden="1">{#N/A,#N/A,TRUE,"Y생산";#N/A,#N/A,TRUE,"Y판매";#N/A,#N/A,TRUE,"Y총물량";#N/A,#N/A,TRUE,"Y능력";#N/A,#N/A,TRUE,"YKD"}</definedName>
    <definedName name="우리는" hidden="1">{#N/A,#N/A,FALSE,"KMC최종회의(7월) 자료"}</definedName>
    <definedName name="운영" hidden="1">{"'7'!$B$15:$D$32"}</definedName>
    <definedName name="운영1" hidden="1">{#N/A,#N/A,FALSE,"단축1";#N/A,#N/A,FALSE,"단축2";#N/A,#N/A,FALSE,"단축3";#N/A,#N/A,FALSE,"장축";#N/A,#N/A,FALSE,"4WD"}</definedName>
    <definedName name="운영개선" hidden="1">{"'7'!$B$15:$D$32"}</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울랄라" hidden="1">{"'5'!$A$1:$BB$147"}</definedName>
    <definedName name="움퍄" hidden="1">{#N/A,#N/A,FALSE,"KMC최종회의(7월) 자료"}</definedName>
    <definedName name="원가" hidden="1">{#N/A,#N/A,FALSE,"KMC최종회의(7월) 자료"}</definedName>
    <definedName name="원가_1" hidden="1">{#N/A,#N/A,FALSE,"DAOCM 2차 검토"}</definedName>
    <definedName name="원가_1_1" hidden="1">{#N/A,#N/A,FALSE,"DAOCM 2차 검토"}</definedName>
    <definedName name="원가_2" hidden="1">{#N/A,#N/A,FALSE,"DAOCM 2차 검토"}</definedName>
    <definedName name="원가_2_1" hidden="1">{#N/A,#N/A,FALSE,"DAOCM 2차 검토"}</definedName>
    <definedName name="원가_3" hidden="1">{#N/A,#N/A,FALSE,"DAOCM 2차 검토"}</definedName>
    <definedName name="원가_3_1" hidden="1">{#N/A,#N/A,FALSE,"DAOCM 2차 검토"}</definedName>
    <definedName name="원가_4" hidden="1">{#N/A,#N/A,FALSE,"DAOCM 2차 검토"}</definedName>
    <definedName name="원가_4_1" hidden="1">{#N/A,#N/A,FALSE,"DAOCM 2차 검토"}</definedName>
    <definedName name="원가_5" hidden="1">{#N/A,#N/A,FALSE,"DAOCM 2차 검토"}</definedName>
    <definedName name="원가_5_1" hidden="1">{#N/A,#N/A,FALSE,"DAOCM 2차 검토"}</definedName>
    <definedName name="원가관리라" hidden="1">{#N/A,#N/A,FALSE,"정공"}</definedName>
    <definedName name="원가적용" hidden="1">{#N/A,#N/A,FALSE,"정공"}</definedName>
    <definedName name="원가절감" hidden="1">#REF!</definedName>
    <definedName name="원가절감2" hidden="1">{#N/A,#N/A,FALSE,"정공"}</definedName>
    <definedName name="원가절감22" hidden="1">{#N/A,#N/A,FALSE,"정공"}</definedName>
    <definedName name="원가절감반영후" hidden="1">{#N/A,#N/A,FALSE,"정공"}</definedName>
    <definedName name="원가절감싯트" hidden="1">{#N/A,#N/A,FALSE,"정공"}</definedName>
    <definedName name="원가절감양식" hidden="1">{#N/A,#N/A,TRUE,"Y생산";#N/A,#N/A,TRUE,"Y판매";#N/A,#N/A,TRUE,"Y총물량";#N/A,#N/A,TRUE,"Y능력";#N/A,#N/A,TRUE,"YKD"}</definedName>
    <definedName name="원단" hidden="1">{#N/A,#N/A,TRUE,"Y생산";#N/A,#N/A,TRUE,"Y판매";#N/A,#N/A,TRUE,"Y총물량";#N/A,#N/A,TRUE,"Y능력";#N/A,#N/A,TRUE,"YKD"}</definedName>
    <definedName name="원단운영안" hidden="1">{#N/A,#N/A,FALSE,"단축1";#N/A,#N/A,FALSE,"단축2";#N/A,#N/A,FALSE,"단축3";#N/A,#N/A,FALSE,"장축";#N/A,#N/A,FALSE,"4WD"}</definedName>
    <definedName name="원단위테라칸" hidden="1">{#N/A,#N/A,FALSE,"정공"}</definedName>
    <definedName name="원단위표" hidden="1">{#N/A,#N/A,FALSE,"정공"}</definedName>
    <definedName name="원자재종합" hidden="1">{#N/A,#N/A,FALSE,"단축1";#N/A,#N/A,FALSE,"단축2";#N/A,#N/A,FALSE,"단축3";#N/A,#N/A,FALSE,"장축";#N/A,#N/A,FALSE,"4WD"}</definedName>
    <definedName name="원절감" hidden="1">{#N/A,#N/A,FALSE,"정공"}</definedName>
    <definedName name="월노무비절1" hidden="1">{#N/A,#N/A,FALSE,"KMC최종회의(7월) 자료"}</definedName>
    <definedName name="월별원가절감상세" hidden="1">{#N/A,#N/A,FALSE,"정공"}</definedName>
    <definedName name="월별재경" hidden="1">{#N/A,#N/A,TRUE,"Y생산";#N/A,#N/A,TRUE,"Y판매";#N/A,#N/A,TRUE,"Y총물량";#N/A,#N/A,TRUE,"Y능력";#N/A,#N/A,TRUE,"YKD"}</definedName>
    <definedName name="월별재경안" hidden="1">{#N/A,#N/A,TRUE,"Y생산";#N/A,#N/A,TRUE,"Y판매";#N/A,#N/A,TRUE,"Y총물량";#N/A,#N/A,TRUE,"Y능력";#N/A,#N/A,TRUE,"YKD"}</definedName>
    <definedName name="위생" hidden="1">{"'7'!$B$15:$D$32"}</definedName>
    <definedName name="위스코생산부" hidden="1">{#N/A,#N/A,TRUE,"Y생산";#N/A,#N/A,TRUE,"Y판매";#N/A,#N/A,TRUE,"Y총물량";#N/A,#N/A,TRUE,"Y능력";#N/A,#N/A,TRUE,"YKD"}</definedName>
    <definedName name="유" hidden="1">{#N/A,#N/A,FALSE,"KMC최종회의(7월) 자료"}</definedName>
    <definedName name="유럽"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유" hidden="1">{#N/A,#N/A,FALSE,"KMC최종회의(7월) 자료"}</definedName>
    <definedName name="유첨4가동및인원계획" hidden="1">{#N/A,#N/A,FALSE,"96 3월물량표";#N/A,#N/A,FALSE,"96 4월물량표";#N/A,#N/A,FALSE,"96 5월물량표"}</definedName>
    <definedName name="유첨7" hidden="1">{#N/A,#N/A,FALSE,"해외크레임";#N/A,#N/A,FALSE,"ACCENT현황";#N/A,#N/A,FALSE,"AVANTE";#N/A,#N/A,FALSE,"SONATA(3)";#N/A,#N/A,FALSE,"국내크레임"}</definedName>
    <definedName name="유형" hidden="1">{#N/A,#N/A,TRUE,"Y생산";#N/A,#N/A,TRUE,"Y판매";#N/A,#N/A,TRUE,"Y총물량";#N/A,#N/A,TRUE,"Y능력";#N/A,#N/A,TRUE,"YKD"}</definedName>
    <definedName name="윤" hidden="1">{"'5'!$A$1:$BB$147"}</definedName>
    <definedName name="융ㅎㅀ류" hidden="1">{#N/A,#N/A,FALSE,"KMC최종회의(7월) 자료"}</definedName>
    <definedName name="으" hidden="1">{#N/A,#N/A,TRUE,"Y생산";#N/A,#N/A,TRUE,"Y판매";#N/A,#N/A,TRUE,"Y총물량";#N/A,#N/A,TRUE,"Y능력";#N/A,#N/A,TRUE,"YKD"}</definedName>
    <definedName name="의장" hidden="1">{#N/A,#N/A,FALSE,"신규dep";#N/A,#N/A,FALSE,"신규dep-금형상각후";#N/A,#N/A,FALSE,"신규dep-연구비상각후";#N/A,#N/A,FALSE,"신규dep-기계,공구상각후"}</definedName>
    <definedName name="이거" hidden="1">{#N/A,#N/A,TRUE,"양식5";#N/A,#N/A,TRUE,"양식1_2_2";#N/A,#N/A,TRUE,"양식1_1_2";#N/A,#N/A,TRUE,"양식2";#N/A,#N/A,TRUE,"양식4";#N/A,#N/A,TRUE,"양식3";#N/A,#N/A,TRUE,"양식6";#N/A,#N/A,TRUE,"양식7";#N/A,#N/A,TRUE,"양식10";#N/A,#N/A,TRUE,"양식11";#N/A,#N/A,TRUE,"양식12";#N/A,#N/A,TRUE,"양식13_1_2";#N/A,#N/A,TRUE,"양식13_2_2";#N/A,#N/A,TRUE,"양식14"}</definedName>
    <definedName name="이근" hidden="1">{#N/A,#N/A,FALSE,"단축1";#N/A,#N/A,FALSE,"단축2";#N/A,#N/A,FALSE,"단축3";#N/A,#N/A,FALSE,"장축";#N/A,#N/A,FALSE,"4WD"}</definedName>
    <definedName name="이근한" hidden="1">{#N/A,#N/A,FALSE,"단축1";#N/A,#N/A,FALSE,"단축2";#N/A,#N/A,FALSE,"단축3";#N/A,#N/A,FALSE,"장축";#N/A,#N/A,FALSE,"4WD"}</definedName>
    <definedName name="이기성" hidden="1">{"'5'!$A$1:$BB$147"}</definedName>
    <definedName name="이름충돌\" hidden="1">{#N/A,#N/A,TRUE,"Y생산";#N/A,#N/A,TRUE,"Y판매";#N/A,#N/A,TRUE,"Y총물량";#N/A,#N/A,TRUE,"Y능력";#N/A,#N/A,TRUE,"YKD"}</definedName>
    <definedName name="이미" hidden="1">{#N/A,#N/A,FALSE,"KMC최종회의(7월) 자료"}</definedName>
    <definedName name="이병석" hidden="1">{"'5'!$A$1:$BB$147"}</definedName>
    <definedName name="이상" hidden="1">{#N/A,#N/A,TRUE,"Y생산";#N/A,#N/A,TRUE,"Y판매";#N/A,#N/A,TRUE,"Y총물량";#N/A,#N/A,TRUE,"Y능력";#N/A,#N/A,TRUE,"YKD"}</definedName>
    <definedName name="이상근" hidden="1">{#N/A,#N/A,TRUE,"Y생산";#N/A,#N/A,TRUE,"Y판매";#N/A,#N/A,TRUE,"Y총물량";#N/A,#N/A,TRUE,"Y능력";#N/A,#N/A,TRUE,"YKD"}</definedName>
    <definedName name="이상목" hidden="1">{#N/A,#N/A,FALSE,"단축1";#N/A,#N/A,FALSE,"단축2";#N/A,#N/A,FALSE,"단축3";#N/A,#N/A,FALSE,"장축";#N/A,#N/A,FALSE,"4WD"}</definedName>
    <definedName name="이상하다" hidden="1">{"'0808_월별 (2)'!$A$2:$T$28"}</definedName>
    <definedName name="이상현" hidden="1">{#N/A,#N/A,TRUE,"Y생산";#N/A,#N/A,TRUE,"Y판매";#N/A,#N/A,TRUE,"Y총물량";#N/A,#N/A,TRUE,"Y능력";#N/A,#N/A,TRUE,"YKD"}</definedName>
    <definedName name="이석홍" hidden="1">{#N/A,#N/A,TRUE,"Y생산";#N/A,#N/A,TRUE,"Y판매";#N/A,#N/A,TRUE,"Y총물량";#N/A,#N/A,TRUE,"Y능력";#N/A,#N/A,TRUE,"YKD"}</definedName>
    <definedName name="이시혁" hidden="1">{#N/A,#N/A,FALSE,"단축1";#N/A,#N/A,FALSE,"단축2";#N/A,#N/A,FALSE,"단축3";#N/A,#N/A,FALSE,"장축";#N/A,#N/A,FALSE,"4WD"}</definedName>
    <definedName name="이용욱" hidden="1">{#N/A,#N/A,FALSE,"KMC최종회의(7월) 자료"}</definedName>
    <definedName name="이자" hidden="1">{#N/A,#N/A,FALSE,"정공"}</definedName>
    <definedName name="이자계산내역" hidden="1">{#N/A,#N/A,FALSE,"KMC최종회의(7월) 자료"}</definedName>
    <definedName name="이자이" hidden="1">{#N/A,#N/A,FALSE,"정공"}</definedName>
    <definedName name="이정례" hidden="1">{#N/A,#N/A,TRUE,"Y생산";#N/A,#N/A,TRUE,"Y판매";#N/A,#N/A,TRUE,"Y총물량";#N/A,#N/A,TRUE,"Y능력";#N/A,#N/A,TRUE,"YKD"}</definedName>
    <definedName name="이정희" hidden="1">{#N/A,#N/A,TRUE,"Y생산";#N/A,#N/A,TRUE,"Y판매";#N/A,#N/A,TRUE,"Y총물량";#N/A,#N/A,TRUE,"Y능력";#N/A,#N/A,TRUE,"YKD"}</definedName>
    <definedName name="이지수" hidden="1">{#N/A,#N/A,FALSE,"정공"}</definedName>
    <definedName name="이태리리" hidden="1">{#N/A,#N/A,FALSE,"신규dep";#N/A,#N/A,FALSE,"신규dep-금형상각후";#N/A,#N/A,FALSE,"신규dep-연구비상각후";#N/A,#N/A,FALSE,"신규dep-기계,공구상각후"}</definedName>
    <definedName name="이통" hidden="1">{#N/A,#N/A,FALSE,"DAOCM 2차 검토"}</definedName>
    <definedName name="이통_1" hidden="1">{#N/A,#N/A,FALSE,"DAOCM 2차 검토"}</definedName>
    <definedName name="이통_1_1" hidden="1">{#N/A,#N/A,FALSE,"DAOCM 2차 검토"}</definedName>
    <definedName name="이통_2" hidden="1">{#N/A,#N/A,FALSE,"DAOCM 2차 검토"}</definedName>
    <definedName name="이통_2_1" hidden="1">{#N/A,#N/A,FALSE,"DAOCM 2차 검토"}</definedName>
    <definedName name="이통_3" hidden="1">{#N/A,#N/A,FALSE,"DAOCM 2차 검토"}</definedName>
    <definedName name="이통_3_1" hidden="1">{#N/A,#N/A,FALSE,"DAOCM 2차 검토"}</definedName>
    <definedName name="이통_4" hidden="1">{#N/A,#N/A,FALSE,"DAOCM 2차 검토"}</definedName>
    <definedName name="이통_4_1" hidden="1">{#N/A,#N/A,FALSE,"DAOCM 2차 검토"}</definedName>
    <definedName name="이통_5" hidden="1">{#N/A,#N/A,FALSE,"DAOCM 2차 검토"}</definedName>
    <definedName name="이통_5_1" hidden="1">{#N/A,#N/A,FALSE,"DAOCM 2차 검토"}</definedName>
    <definedName name="이혁준" hidden="1">{#N/A,#N/A,FALSE,"단축1";#N/A,#N/A,FALSE,"단축2";#N/A,#N/A,FALSE,"단축3";#N/A,#N/A,FALSE,"장축";#N/A,#N/A,FALSE,"4WD"}</definedName>
    <definedName name="이환욱" hidden="1">{#N/A,#N/A,TRUE,"Y생산";#N/A,#N/A,TRUE,"Y판매";#N/A,#N/A,TRUE,"Y총물량";#N/A,#N/A,TRUE,"Y능력";#N/A,#N/A,TRUE,"YKD"}</definedName>
    <definedName name="인" hidden="1">{"'7'!$B$15:$D$32"}</definedName>
    <definedName name="인건비내역" hidden="1">#REF!</definedName>
    <definedName name="인계" hidden="1">{#N/A,#N/A,TRUE,"Y생산";#N/A,#N/A,TRUE,"Y판매";#N/A,#N/A,TRUE,"Y총물량";#N/A,#N/A,TRUE,"Y능력";#N/A,#N/A,TRUE,"YKD"}</definedName>
    <definedName name="인계획" hidden="1">{#N/A,#N/A,TRUE,"Y생산";#N/A,#N/A,TRUE,"Y판매";#N/A,#N/A,TRUE,"Y총물량";#N/A,#N/A,TRUE,"Y능력";#N/A,#N/A,TRUE,"YKD"}</definedName>
    <definedName name="인동초" hidden="1">{#N/A,#N/A,TRUE,"Y생산";#N/A,#N/A,TRUE,"Y판매";#N/A,#N/A,TRUE,"Y총물량";#N/A,#N/A,TRUE,"Y능력";#N/A,#N/A,TRUE,"YKD"}</definedName>
    <definedName name="인력조정" hidden="1">{#N/A,#N/A,FALSE,"정공"}</definedName>
    <definedName name="인ㅁㅇㅇ" hidden="1">{"'7'!$B$15:$D$32"}</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상분상세" hidden="1">{"'7'!$B$15:$D$32"}</definedName>
    <definedName name="인수" hidden="1">{"'5'!$A$1:$BB$147"}</definedName>
    <definedName name="인수보고" hidden="1">{"'5'!$A$1:$BB$147"}</definedName>
    <definedName name="인수보고종합" hidden="1">{"'5'!$A$1:$BB$147"}</definedName>
    <definedName name="인숭" hidden="1">{"'5'!$A$1:$BB$147"}</definedName>
    <definedName name="인원" hidden="1">{#N/A,#N/A,FALSE,"정공"}</definedName>
    <definedName name="인원개선" hidden="1">{#N/A,#N/A,FALSE,"KMC최종회의(7월) 자료"}</definedName>
    <definedName name="인원계획" hidden="1">{#N/A,#N/A,TRUE,"Y생산";#N/A,#N/A,TRUE,"Y판매";#N/A,#N/A,TRUE,"Y총물량";#N/A,#N/A,TRUE,"Y능력";#N/A,#N/A,TRUE,"YKD"}</definedName>
    <definedName name="인원세부" hidden="1">{#N/A,#N/A,TRUE,"Y생산";#N/A,#N/A,TRUE,"Y판매";#N/A,#N/A,TRUE,"Y총물량";#N/A,#N/A,TRUE,"Y능력";#N/A,#N/A,TRUE,"YKD"}</definedName>
    <definedName name="인원수정" hidden="1">{#N/A,#N/A,FALSE,"KMC최종회의(7월) 자료"}</definedName>
    <definedName name="인원조정2" hidden="1">{#N/A,#N/A,FALSE,"정공"}</definedName>
    <definedName name="인테리어관련품의" hidden="1">{"'7'!$B$15:$D$32"}</definedName>
    <definedName name="인테리어품의" hidden="1">{"'7'!$B$15:$D$32"}</definedName>
    <definedName name="일동" hidden="1">{#N/A,#N/A,TRUE,"Y생산";#N/A,#N/A,TRUE,"Y판매";#N/A,#N/A,TRUE,"Y총물량";#N/A,#N/A,TRUE,"Y능력";#N/A,#N/A,TRUE,"YKD"}</definedName>
    <definedName name="일동성" hidden="1">{#N/A,#N/A,TRUE,"Y생산";#N/A,#N/A,TRUE,"Y판매";#N/A,#N/A,TRUE,"Y총물량";#N/A,#N/A,TRUE,"Y능력";#N/A,#N/A,TRUE,"YKD"}</definedName>
    <definedName name="일면" hidden="1">{#N/A,#N/A,FALSE,"96 3월물량표";#N/A,#N/A,FALSE,"96 4월물량표";#N/A,#N/A,FALSE,"96 5월물량표"}</definedName>
    <definedName name="일반경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이삼" hidden="1">{#N/A,#N/A,FALSE,"단축1";#N/A,#N/A,FALSE,"단축2";#N/A,#N/A,FALSE,"단축3";#N/A,#N/A,FALSE,"장축";#N/A,#N/A,FALSE,"4WD"}</definedName>
    <definedName name="일이일" hidden="1">{#N/A,#N/A,FALSE,"현대기술상추천서(2-1)";#N/A,#N/A,FALSE,"2-2";#N/A,#N/A,FALSE,"2-3";#N/A,#N/A,FALSE,"서식2-4";#N/A,#N/A,FALSE,"(2-5)";#N/A,#N/A,FALSE,"(2-6)";#N/A,#N/A,FALSE,"(2-7)"}</definedName>
    <definedName name="일이ㅏㄹ" hidden="1">{#N/A,#N/A,FALSE,"단축1";#N/A,#N/A,FALSE,"단축2";#N/A,#N/A,FALSE,"단축3";#N/A,#N/A,FALSE,"장축";#N/A,#N/A,FALSE,"4WD"}</definedName>
    <definedName name="일일" hidden="1">{#N/A,#N/A,FALSE,"KMC최종회의(7월) 자료"}</definedName>
    <definedName name="일자별" hidden="1">{#N/A,#N/A,TRUE,"Y생산";#N/A,#N/A,TRUE,"Y판매";#N/A,#N/A,TRUE,"Y총물량";#N/A,#N/A,TRUE,"Y능력";#N/A,#N/A,TRUE,"YKD"}</definedName>
    <definedName name="일자별현황" hidden="1">{"'5'!$A$1:$BB$147"}</definedName>
    <definedName name="일전" hidden="1">{#N/A,#N/A,TRUE,"Y생산";#N/A,#N/A,TRUE,"Y판매";#N/A,#N/A,TRUE,"Y총물량";#N/A,#N/A,TRUE,"Y능력";#N/A,#N/A,TRUE,"YKD"}</definedName>
    <definedName name="일정계획" hidden="1">{#N/A,#N/A,FALSE,"신규dep";#N/A,#N/A,FALSE,"신규dep-금형상각후";#N/A,#N/A,FALSE,"신규dep-연구비상각후";#N/A,#N/A,FALSE,"신규dep-기계,공구상각후"}</definedName>
    <definedName name="일정표02년" hidden="1">{#N/A,#N/A,FALSE,"정공"}</definedName>
    <definedName name="일총" hidden="1">{#N/A,#N/A,TRUE,"Y생산";#N/A,#N/A,TRUE,"Y판매";#N/A,#N/A,TRUE,"Y총물량";#N/A,#N/A,TRUE,"Y능력";#N/A,#N/A,TRUE,"YKD"}</definedName>
    <definedName name="임동원" hidden="1">{#N/A,#N/A,FALSE,"정공"}</definedName>
    <definedName name="ㅈ" hidden="1">#REF!</definedName>
    <definedName name="ㅈ_1" hidden="1">{#N/A,#N/A,TRUE,"양식5";#N/A,#N/A,TRUE,"양식1_2_2";#N/A,#N/A,TRUE,"양식1_1_2";#N/A,#N/A,TRUE,"양식2";#N/A,#N/A,TRUE,"양식4";#N/A,#N/A,TRUE,"양식3";#N/A,#N/A,TRUE,"양식6";#N/A,#N/A,TRUE,"양식7";#N/A,#N/A,TRUE,"양식10";#N/A,#N/A,TRUE,"양식11";#N/A,#N/A,TRUE,"양식12";#N/A,#N/A,TRUE,"양식13_1_2";#N/A,#N/A,TRUE,"양식13_2_2";#N/A,#N/A,TRUE,"양식14"}</definedName>
    <definedName name="ㅈ_1_1" hidden="1">{#N/A,#N/A,TRUE,"양식5";#N/A,#N/A,TRUE,"양식1_2_2";#N/A,#N/A,TRUE,"양식1_1_2";#N/A,#N/A,TRUE,"양식2";#N/A,#N/A,TRUE,"양식4";#N/A,#N/A,TRUE,"양식3";#N/A,#N/A,TRUE,"양식6";#N/A,#N/A,TRUE,"양식7";#N/A,#N/A,TRUE,"양식10";#N/A,#N/A,TRUE,"양식11";#N/A,#N/A,TRUE,"양식12";#N/A,#N/A,TRUE,"양식13_1_2";#N/A,#N/A,TRUE,"양식13_2_2";#N/A,#N/A,TRUE,"양식14"}</definedName>
    <definedName name="ㅈ_2" hidden="1">{#N/A,#N/A,TRUE,"양식5";#N/A,#N/A,TRUE,"양식1_2_2";#N/A,#N/A,TRUE,"양식1_1_2";#N/A,#N/A,TRUE,"양식2";#N/A,#N/A,TRUE,"양식4";#N/A,#N/A,TRUE,"양식3";#N/A,#N/A,TRUE,"양식6";#N/A,#N/A,TRUE,"양식7";#N/A,#N/A,TRUE,"양식10";#N/A,#N/A,TRUE,"양식11";#N/A,#N/A,TRUE,"양식12";#N/A,#N/A,TRUE,"양식13_1_2";#N/A,#N/A,TRUE,"양식13_2_2";#N/A,#N/A,TRUE,"양식14"}</definedName>
    <definedName name="ㅈ_2_1" hidden="1">{#N/A,#N/A,TRUE,"양식5";#N/A,#N/A,TRUE,"양식1_2_2";#N/A,#N/A,TRUE,"양식1_1_2";#N/A,#N/A,TRUE,"양식2";#N/A,#N/A,TRUE,"양식4";#N/A,#N/A,TRUE,"양식3";#N/A,#N/A,TRUE,"양식6";#N/A,#N/A,TRUE,"양식7";#N/A,#N/A,TRUE,"양식10";#N/A,#N/A,TRUE,"양식11";#N/A,#N/A,TRUE,"양식12";#N/A,#N/A,TRUE,"양식13_1_2";#N/A,#N/A,TRUE,"양식13_2_2";#N/A,#N/A,TRUE,"양식14"}</definedName>
    <definedName name="ㅈ_3" hidden="1">{#N/A,#N/A,TRUE,"양식5";#N/A,#N/A,TRUE,"양식1_2_2";#N/A,#N/A,TRUE,"양식1_1_2";#N/A,#N/A,TRUE,"양식2";#N/A,#N/A,TRUE,"양식4";#N/A,#N/A,TRUE,"양식3";#N/A,#N/A,TRUE,"양식6";#N/A,#N/A,TRUE,"양식7";#N/A,#N/A,TRUE,"양식10";#N/A,#N/A,TRUE,"양식11";#N/A,#N/A,TRUE,"양식12";#N/A,#N/A,TRUE,"양식13_1_2";#N/A,#N/A,TRUE,"양식13_2_2";#N/A,#N/A,TRUE,"양식14"}</definedName>
    <definedName name="ㅈ_3_1" hidden="1">{#N/A,#N/A,TRUE,"양식5";#N/A,#N/A,TRUE,"양식1_2_2";#N/A,#N/A,TRUE,"양식1_1_2";#N/A,#N/A,TRUE,"양식2";#N/A,#N/A,TRUE,"양식4";#N/A,#N/A,TRUE,"양식3";#N/A,#N/A,TRUE,"양식6";#N/A,#N/A,TRUE,"양식7";#N/A,#N/A,TRUE,"양식10";#N/A,#N/A,TRUE,"양식11";#N/A,#N/A,TRUE,"양식12";#N/A,#N/A,TRUE,"양식13_1_2";#N/A,#N/A,TRUE,"양식13_2_2";#N/A,#N/A,TRUE,"양식14"}</definedName>
    <definedName name="ㅈ_4" hidden="1">{#N/A,#N/A,TRUE,"양식5";#N/A,#N/A,TRUE,"양식1_2_2";#N/A,#N/A,TRUE,"양식1_1_2";#N/A,#N/A,TRUE,"양식2";#N/A,#N/A,TRUE,"양식4";#N/A,#N/A,TRUE,"양식3";#N/A,#N/A,TRUE,"양식6";#N/A,#N/A,TRUE,"양식7";#N/A,#N/A,TRUE,"양식10";#N/A,#N/A,TRUE,"양식11";#N/A,#N/A,TRUE,"양식12";#N/A,#N/A,TRUE,"양식13_1_2";#N/A,#N/A,TRUE,"양식13_2_2";#N/A,#N/A,TRUE,"양식14"}</definedName>
    <definedName name="ㅈ_4_1" hidden="1">{#N/A,#N/A,TRUE,"양식5";#N/A,#N/A,TRUE,"양식1_2_2";#N/A,#N/A,TRUE,"양식1_1_2";#N/A,#N/A,TRUE,"양식2";#N/A,#N/A,TRUE,"양식4";#N/A,#N/A,TRUE,"양식3";#N/A,#N/A,TRUE,"양식6";#N/A,#N/A,TRUE,"양식7";#N/A,#N/A,TRUE,"양식10";#N/A,#N/A,TRUE,"양식11";#N/A,#N/A,TRUE,"양식12";#N/A,#N/A,TRUE,"양식13_1_2";#N/A,#N/A,TRUE,"양식13_2_2";#N/A,#N/A,TRUE,"양식14"}</definedName>
    <definedName name="ㅈ_5" hidden="1">{#N/A,#N/A,TRUE,"양식5";#N/A,#N/A,TRUE,"양식1_2_2";#N/A,#N/A,TRUE,"양식1_1_2";#N/A,#N/A,TRUE,"양식2";#N/A,#N/A,TRUE,"양식4";#N/A,#N/A,TRUE,"양식3";#N/A,#N/A,TRUE,"양식6";#N/A,#N/A,TRUE,"양식7";#N/A,#N/A,TRUE,"양식10";#N/A,#N/A,TRUE,"양식11";#N/A,#N/A,TRUE,"양식12";#N/A,#N/A,TRUE,"양식13_1_2";#N/A,#N/A,TRUE,"양식13_2_2";#N/A,#N/A,TRUE,"양식14"}</definedName>
    <definedName name="ㅈ_5_1" hidden="1">{#N/A,#N/A,TRUE,"양식5";#N/A,#N/A,TRUE,"양식1_2_2";#N/A,#N/A,TRUE,"양식1_1_2";#N/A,#N/A,TRUE,"양식2";#N/A,#N/A,TRUE,"양식4";#N/A,#N/A,TRUE,"양식3";#N/A,#N/A,TRUE,"양식6";#N/A,#N/A,TRUE,"양식7";#N/A,#N/A,TRUE,"양식10";#N/A,#N/A,TRUE,"양식11";#N/A,#N/A,TRUE,"양식12";#N/A,#N/A,TRUE,"양식13_1_2";#N/A,#N/A,TRUE,"양식13_2_2";#N/A,#N/A,TRUE,"양식14"}</definedName>
    <definedName name="ㅈㄱㄹ" hidden="1">{#N/A,#N/A,FALSE,"단축1";#N/A,#N/A,FALSE,"단축2";#N/A,#N/A,FALSE,"단축3";#N/A,#N/A,FALSE,"장축";#N/A,#N/A,FALSE,"4WD"}</definedName>
    <definedName name="ㅈ고모" hidden="1">{#N/A,#N/A,FALSE,"단축1";#N/A,#N/A,FALSE,"단축2";#N/A,#N/A,FALSE,"단축3";#N/A,#N/A,FALSE,"장축";#N/A,#N/A,FALSE,"4WD"}</definedName>
    <definedName name="ㅈㄴㄴ" hidden="1">{#N/A,#N/A,FALSE,"단축1";#N/A,#N/A,FALSE,"단축2";#N/A,#N/A,FALSE,"단축3";#N/A,#N/A,FALSE,"장축";#N/A,#N/A,FALSE,"4WD"}</definedName>
    <definedName name="ㅈㄴㅇ" hidden="1">{#N/A,#N/A,FALSE,"KMC최종회의(7월) 자료"}</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ㄳ" hidden="1">{#N/A,#N/A,FALSE,"신규dep";#N/A,#N/A,FALSE,"신규dep-금형상각후";#N/A,#N/A,FALSE,"신규dep-연구비상각후";#N/A,#N/A,FALSE,"신규dep-기계,공구상각후"}</definedName>
    <definedName name="ㅈㄷㄹㅈㄷㅎ" hidden="1">{#N/A,#N/A,TRUE,"Y생산";#N/A,#N/A,TRUE,"Y판매";#N/A,#N/A,TRUE,"Y총물량";#N/A,#N/A,TRUE,"Y능력";#N/A,#N/A,TRUE,"YKD"}</definedName>
    <definedName name="ㅈㄷㅎㅇ륲" hidden="1">{#N/A,#N/A,TRUE,"Y생산";#N/A,#N/A,TRUE,"Y판매";#N/A,#N/A,TRUE,"Y총물량";#N/A,#N/A,TRUE,"Y능력";#N/A,#N/A,TRUE,"YKD"}</definedName>
    <definedName name="ㅈㄹ" hidden="1">{#N/A,#N/A,FALSE,"단축1";#N/A,#N/A,FALSE,"단축2";#N/A,#N/A,FALSE,"단축3";#N/A,#N/A,FALSE,"장축";#N/A,#N/A,FALSE,"4WD"}</definedName>
    <definedName name="ㅈㅁㅇㄴ" hidden="1">{#N/A,#N/A,FALSE,"단축1";#N/A,#N/A,FALSE,"단축2";#N/A,#N/A,FALSE,"단축3";#N/A,#N/A,FALSE,"장축";#N/A,#N/A,FALSE,"4WD"}</definedName>
    <definedName name="ㅈㅂㅈㄹㄴㅁ" hidden="1">{#N/A,#N/A,FALSE,"KMC최종회의(7월) 자료"}</definedName>
    <definedName name="ㅈㅂㅎㄹㅈㄷㅎ" hidden="1">{"'5'!$A$1:$BB$147"}</definedName>
    <definedName name="ㅈㅇㅈ" hidden="1">{#N/A,#N/A,FALSE,"미판매분"}</definedName>
    <definedName name="ㅈㅈ" hidden="1">{#N/A,#N/A,FALSE,"전제";#N/A,#N/A,FALSE,"표지";#N/A,#N/A,FALSE,"6D16";#N/A,#N/A,FALSE,"6D22";#N/A,#N/A,FALSE,"6D22-T";#N/A,#N/A,FALSE,"Q-DEG";#N/A,#N/A,FALSE,"총손";#N/A,#N/A,FALSE,"대당";#N/A,#N/A,FALSE,"가공비"}</definedName>
    <definedName name="ㅈㅈ_1" hidden="1">{#N/A,#N/A,TRUE,"양식5";#N/A,#N/A,TRUE,"양식1_2_2";#N/A,#N/A,TRUE,"양식1_1_2";#N/A,#N/A,TRUE,"양식2";#N/A,#N/A,TRUE,"양식4";#N/A,#N/A,TRUE,"양식3";#N/A,#N/A,TRUE,"양식6";#N/A,#N/A,TRUE,"양식7";#N/A,#N/A,TRUE,"양식10";#N/A,#N/A,TRUE,"양식11";#N/A,#N/A,TRUE,"양식12";#N/A,#N/A,TRUE,"양식13_1_2";#N/A,#N/A,TRUE,"양식13_2_2";#N/A,#N/A,TRUE,"양식14"}</definedName>
    <definedName name="ㅈㅈ_1_1" hidden="1">{#N/A,#N/A,TRUE,"양식5";#N/A,#N/A,TRUE,"양식1_2_2";#N/A,#N/A,TRUE,"양식1_1_2";#N/A,#N/A,TRUE,"양식2";#N/A,#N/A,TRUE,"양식4";#N/A,#N/A,TRUE,"양식3";#N/A,#N/A,TRUE,"양식6";#N/A,#N/A,TRUE,"양식7";#N/A,#N/A,TRUE,"양식10";#N/A,#N/A,TRUE,"양식11";#N/A,#N/A,TRUE,"양식12";#N/A,#N/A,TRUE,"양식13_1_2";#N/A,#N/A,TRUE,"양식13_2_2";#N/A,#N/A,TRUE,"양식14"}</definedName>
    <definedName name="ㅈㅈ_2" hidden="1">{#N/A,#N/A,TRUE,"양식5";#N/A,#N/A,TRUE,"양식1_2_2";#N/A,#N/A,TRUE,"양식1_1_2";#N/A,#N/A,TRUE,"양식2";#N/A,#N/A,TRUE,"양식4";#N/A,#N/A,TRUE,"양식3";#N/A,#N/A,TRUE,"양식6";#N/A,#N/A,TRUE,"양식7";#N/A,#N/A,TRUE,"양식10";#N/A,#N/A,TRUE,"양식11";#N/A,#N/A,TRUE,"양식12";#N/A,#N/A,TRUE,"양식13_1_2";#N/A,#N/A,TRUE,"양식13_2_2";#N/A,#N/A,TRUE,"양식14"}</definedName>
    <definedName name="ㅈㅈ_2_1" hidden="1">{#N/A,#N/A,TRUE,"양식5";#N/A,#N/A,TRUE,"양식1_2_2";#N/A,#N/A,TRUE,"양식1_1_2";#N/A,#N/A,TRUE,"양식2";#N/A,#N/A,TRUE,"양식4";#N/A,#N/A,TRUE,"양식3";#N/A,#N/A,TRUE,"양식6";#N/A,#N/A,TRUE,"양식7";#N/A,#N/A,TRUE,"양식10";#N/A,#N/A,TRUE,"양식11";#N/A,#N/A,TRUE,"양식12";#N/A,#N/A,TRUE,"양식13_1_2";#N/A,#N/A,TRUE,"양식13_2_2";#N/A,#N/A,TRUE,"양식14"}</definedName>
    <definedName name="ㅈㅈ_3" hidden="1">{#N/A,#N/A,TRUE,"양식5";#N/A,#N/A,TRUE,"양식1_2_2";#N/A,#N/A,TRUE,"양식1_1_2";#N/A,#N/A,TRUE,"양식2";#N/A,#N/A,TRUE,"양식4";#N/A,#N/A,TRUE,"양식3";#N/A,#N/A,TRUE,"양식6";#N/A,#N/A,TRUE,"양식7";#N/A,#N/A,TRUE,"양식10";#N/A,#N/A,TRUE,"양식11";#N/A,#N/A,TRUE,"양식12";#N/A,#N/A,TRUE,"양식13_1_2";#N/A,#N/A,TRUE,"양식13_2_2";#N/A,#N/A,TRUE,"양식14"}</definedName>
    <definedName name="ㅈㅈ_3_1" hidden="1">{#N/A,#N/A,TRUE,"양식5";#N/A,#N/A,TRUE,"양식1_2_2";#N/A,#N/A,TRUE,"양식1_1_2";#N/A,#N/A,TRUE,"양식2";#N/A,#N/A,TRUE,"양식4";#N/A,#N/A,TRUE,"양식3";#N/A,#N/A,TRUE,"양식6";#N/A,#N/A,TRUE,"양식7";#N/A,#N/A,TRUE,"양식10";#N/A,#N/A,TRUE,"양식11";#N/A,#N/A,TRUE,"양식12";#N/A,#N/A,TRUE,"양식13_1_2";#N/A,#N/A,TRUE,"양식13_2_2";#N/A,#N/A,TRUE,"양식14"}</definedName>
    <definedName name="ㅈㅈ_4" hidden="1">{#N/A,#N/A,TRUE,"양식5";#N/A,#N/A,TRUE,"양식1_2_2";#N/A,#N/A,TRUE,"양식1_1_2";#N/A,#N/A,TRUE,"양식2";#N/A,#N/A,TRUE,"양식4";#N/A,#N/A,TRUE,"양식3";#N/A,#N/A,TRUE,"양식6";#N/A,#N/A,TRUE,"양식7";#N/A,#N/A,TRUE,"양식10";#N/A,#N/A,TRUE,"양식11";#N/A,#N/A,TRUE,"양식12";#N/A,#N/A,TRUE,"양식13_1_2";#N/A,#N/A,TRUE,"양식13_2_2";#N/A,#N/A,TRUE,"양식14"}</definedName>
    <definedName name="ㅈㅈ_4_1" hidden="1">{#N/A,#N/A,TRUE,"양식5";#N/A,#N/A,TRUE,"양식1_2_2";#N/A,#N/A,TRUE,"양식1_1_2";#N/A,#N/A,TRUE,"양식2";#N/A,#N/A,TRUE,"양식4";#N/A,#N/A,TRUE,"양식3";#N/A,#N/A,TRUE,"양식6";#N/A,#N/A,TRUE,"양식7";#N/A,#N/A,TRUE,"양식10";#N/A,#N/A,TRUE,"양식11";#N/A,#N/A,TRUE,"양식12";#N/A,#N/A,TRUE,"양식13_1_2";#N/A,#N/A,TRUE,"양식13_2_2";#N/A,#N/A,TRUE,"양식14"}</definedName>
    <definedName name="ㅈㅈ_5" hidden="1">{#N/A,#N/A,TRUE,"양식5";#N/A,#N/A,TRUE,"양식1_2_2";#N/A,#N/A,TRUE,"양식1_1_2";#N/A,#N/A,TRUE,"양식2";#N/A,#N/A,TRUE,"양식4";#N/A,#N/A,TRUE,"양식3";#N/A,#N/A,TRUE,"양식6";#N/A,#N/A,TRUE,"양식7";#N/A,#N/A,TRUE,"양식10";#N/A,#N/A,TRUE,"양식11";#N/A,#N/A,TRUE,"양식12";#N/A,#N/A,TRUE,"양식13_1_2";#N/A,#N/A,TRUE,"양식13_2_2";#N/A,#N/A,TRUE,"양식14"}</definedName>
    <definedName name="ㅈㅈ_5_1" hidden="1">{#N/A,#N/A,TRUE,"양식5";#N/A,#N/A,TRUE,"양식1_2_2";#N/A,#N/A,TRUE,"양식1_1_2";#N/A,#N/A,TRUE,"양식2";#N/A,#N/A,TRUE,"양식4";#N/A,#N/A,TRUE,"양식3";#N/A,#N/A,TRUE,"양식6";#N/A,#N/A,TRUE,"양식7";#N/A,#N/A,TRUE,"양식10";#N/A,#N/A,TRUE,"양식11";#N/A,#N/A,TRUE,"양식12";#N/A,#N/A,TRUE,"양식13_1_2";#N/A,#N/A,TRUE,"양식13_2_2";#N/A,#N/A,TRUE,"양식14"}</definedName>
    <definedName name="ㅈㅈㄱ" hidden="1">{#N/A,#N/A,FALSE,"정공"}</definedName>
    <definedName name="ㅈㅈㅂㅈㄷ" hidden="1">{#N/A,#N/A,FALSE,"단축1";#N/A,#N/A,FALSE,"단축2";#N/A,#N/A,FALSE,"단축3";#N/A,#N/A,FALSE,"장축";#N/A,#N/A,FALSE,"4WD"}</definedName>
    <definedName name="ㅈㅈㅈ" hidden="1">{#N/A,#N/A,FALSE,"KMC최종회의(7월) 자료"}</definedName>
    <definedName name="자금계획" hidden="1">{#N/A,#N/A,FALSE,"정공"}</definedName>
    <definedName name="자금수지" hidden="1">{#N/A,#N/A,FALSE,"정공"}</definedName>
    <definedName name="자금총" hidden="1">{#N/A,#N/A,FALSE,"정공"}</definedName>
    <definedName name="자나" hidden="1">{"'5'!$A$1:$BB$147"}</definedName>
    <definedName name="자나다다라" hidden="1">{"'5'!$A$1:$BB$147"}</definedName>
    <definedName name="자다라다" hidden="1">{"'5'!$A$1:$BB$147"}</definedName>
    <definedName name="자다라다가라" hidden="1">{"'5'!$A$1:$BB$147"}</definedName>
    <definedName name="자다라다라다라" hidden="1">{"'5'!$A$1:$BB$147"}</definedName>
    <definedName name="자라" hidden="1">{#N/A,#N/A,FALSE,"단축1";#N/A,#N/A,FALSE,"단축2";#N/A,#N/A,FALSE,"단축3";#N/A,#N/A,FALSE,"장축";#N/A,#N/A,FALSE,"4WD"}</definedName>
    <definedName name="자료" hidden="1">{"'Sheet1'!$A$211:$M$235"}</definedName>
    <definedName name="자료3" hidden="1">{#N/A,#N/A,FALSE,"KMC최종회의(7월) 자료"}</definedName>
    <definedName name="자본금" hidden="1">{#N/A,#N/A,FALSE,"정공"}</definedName>
    <definedName name="자사아다" hidden="1">{"'5'!$A$1:$BB$147"}</definedName>
    <definedName name="자자자자자나나나나나나나나나나나나나나나나난나" hidden="1">{#N/A,#N/A,FALSE,"KMC최종회의(7월) 자료"}</definedName>
    <definedName name="자자자자자자자자자" hidden="1">{#N/A,#N/A,FALSE,"KMC최종회의(7월) 자료"}</definedName>
    <definedName name="자자자잦" hidden="1">{#N/A,#N/A,FALSE,"정공"}</definedName>
    <definedName name="자작1" hidden="1">{#N/A,#N/A,FALSE,"KMC최종회의(7월) 자료"}</definedName>
    <definedName name="자잦" hidden="1">{"'5'!$A$1:$BB$147"}</definedName>
    <definedName name="자재" hidden="1">{#N/A,#N/A,TRUE,"Y생산";#N/A,#N/A,TRUE,"Y판매";#N/A,#N/A,TRUE,"Y총물량";#N/A,#N/A,TRUE,"Y능력";#N/A,#N/A,TRUE,"YKD"}</definedName>
    <definedName name="자재기준" hidden="1">{#N/A,#N/A,TRUE,"Y생산";#N/A,#N/A,TRUE,"Y판매";#N/A,#N/A,TRUE,"Y총물량";#N/A,#N/A,TRUE,"Y능력";#N/A,#N/A,TRUE,"YKD"}</definedName>
    <definedName name="자지" hidden="1">{"'5'!$A$1:$BB$147"}</definedName>
    <definedName name="작성기준올리기" hidden="1">{#N/A,#N/A,FALSE,"정공"}</definedName>
    <definedName name="작업2" hidden="1">{"'표지'!$B$5"}</definedName>
    <definedName name="작업장" hidden="1">{"'표지'!$B$5"}</definedName>
    <definedName name="잔다르크" hidden="1">{#N/A,#N/A,FALSE,"정공"}</definedName>
    <definedName name="잔업집게5" hidden="1">{#N/A,#N/A,TRUE,"Y생산";#N/A,#N/A,TRUE,"Y판매";#N/A,#N/A,TRUE,"Y총물량";#N/A,#N/A,TRUE,"Y능력";#N/A,#N/A,TRUE,"YKD"}</definedName>
    <definedName name="장" hidden="1">{#N/A,#N/A,FALSE,"단축1";#N/A,#N/A,FALSE,"단축2";#N/A,#N/A,FALSE,"단축3";#N/A,#N/A,FALSE,"장축";#N/A,#N/A,FALSE,"4WD"}</definedName>
    <definedName name="장민ㄹ" hidden="1">{#N/A,#N/A,FALSE,"단축1";#N/A,#N/A,FALSE,"단축2";#N/A,#N/A,FALSE,"단축3";#N/A,#N/A,FALSE,"장축";#N/A,#N/A,FALSE,"4WD"}</definedName>
    <definedName name="재" hidden="1">{#N/A,#N/A,FALSE,"KMC최종회의(7월) 자료"}</definedName>
    <definedName name="재경팀장" hidden="1">{#N/A,#N/A,FALSE,"정공"}</definedName>
    <definedName name="재노경" hidden="1">{#N/A,#N/A,FALSE,"KMC최종회의(7월) 자료"}</definedName>
    <definedName name="재노경1" hidden="1">{#N/A,#N/A,FALSE,"KMC최종회의(7월) 자료"}</definedName>
    <definedName name="재노경종합2" hidden="1">{#N/A,#N/A,FALSE,"KMC최종회의(7월) 자료"}</definedName>
    <definedName name="재노경종합A" hidden="1">{#N/A,#N/A,FALSE,"KMC최종회의(7월) 자료"}</definedName>
    <definedName name="재노종" hidden="1">{#N/A,#N/A,FALSE,"KMC최종회의(7월) 자료"}</definedName>
    <definedName name="재령" hidden="1">{"'Sheet1'!$A$211:$M$235"}</definedName>
    <definedName name="재료" hidden="1">{#N/A,#N/A,FALSE,"단축1";#N/A,#N/A,FALSE,"단축2";#N/A,#N/A,FALSE,"단축3";#N/A,#N/A,FALSE,"장축";#N/A,#N/A,FALSE,"4WD"}</definedName>
    <definedName name="재민" hidden="1">{"'5'!$A$1:$BB$147"}</definedName>
    <definedName name="재작성" hidden="1">{#N/A,#N/A,FALSE,"ROW DATA"}</definedName>
    <definedName name="쟈" hidden="1">{#N/A,#N/A,FALSE,"KMC최종회의(7월) 자료"}</definedName>
    <definedName name="쟈ㅜ" hidden="1">{#N/A,#N/A,FALSE,"신규dep";#N/A,#N/A,FALSE,"신규dep-금형상각후";#N/A,#N/A,FALSE,"신규dep-연구비상각후";#N/A,#N/A,FALSE,"신규dep-기계,공구상각후"}</definedName>
    <definedName name="저" hidden="1">{#N/A,#N/A,FALSE,"KMC최종회의(7월) 자료"}</definedName>
    <definedName name="저1" hidden="1">{#N/A,#N/A,FALSE,"KMC최종회의(7월) 자료"}</definedName>
    <definedName name="저2" hidden="1">{#N/A,#N/A,FALSE,"정공"}</definedName>
    <definedName name="전" hidden="1">{#N/A,#N/A,FALSE,"신규dep";#N/A,#N/A,FALSE,"신규dep-금형상각후";#N/A,#N/A,FALSE,"신규dep-연구비상각후";#N/A,#N/A,FALSE,"신규dep-기계,공구상각후"}</definedName>
    <definedName name="전2" hidden="1">{#N/A,#N/A,FALSE,"KMC최종회의(7월) 자료"}</definedName>
    <definedName name="전개계획" hidden="1">{#N/A,#N/A,FALSE,"단축1";#N/A,#N/A,FALSE,"단축2";#N/A,#N/A,FALSE,"단축3";#N/A,#N/A,FALSE,"장축";#N/A,#N/A,FALSE,"4WD"}</definedName>
    <definedName name="전개방안12"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 hidden="1">{#N/A,#N/A,FALSE,"정공"}</definedName>
    <definedName name="전략2" hidden="1">{#N/A,#N/A,FALSE,"정공"}</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hidden="1">{#N/A,#N/A,FALSE,"정공"}</definedName>
    <definedName name="전력수정" hidden="1">{#N/A,#N/A,FALSE,"KMC최종회의(7월) 자료"}</definedName>
    <definedName name="전망" hidden="1">{#N/A,#N/A,FALSE,"KMC최종회의(7월) 자료"}</definedName>
    <definedName name="전망환산" hidden="1">{#N/A,#N/A,FALSE,"KMC최종회의(7월) 자료"}</definedName>
    <definedName name="전문" hidden="1">{"'7'!$B$15:$D$32"}</definedName>
    <definedName name="전부" hidden="1">{#N/A,#N/A,FALSE,"단축1";#N/A,#N/A,FALSE,"단축2";#N/A,#N/A,FALSE,"단축3";#N/A,#N/A,FALSE,"장축";#N/A,#N/A,FALSE,"4WD"}</definedName>
    <definedName name="전송영업1" hidden="1">{#N/A,#N/A,FALSE,"DAOCM 2차 검토"}</definedName>
    <definedName name="전송영업1_1" hidden="1">{#N/A,#N/A,FALSE,"DAOCM 2차 검토"}</definedName>
    <definedName name="전송영업1_1_1" hidden="1">{#N/A,#N/A,FALSE,"DAOCM 2차 검토"}</definedName>
    <definedName name="전송영업1_2" hidden="1">{#N/A,#N/A,FALSE,"DAOCM 2차 검토"}</definedName>
    <definedName name="전송영업1_2_1" hidden="1">{#N/A,#N/A,FALSE,"DAOCM 2차 검토"}</definedName>
    <definedName name="전송영업1_3" hidden="1">{#N/A,#N/A,FALSE,"DAOCM 2차 검토"}</definedName>
    <definedName name="전송영업1_3_1" hidden="1">{#N/A,#N/A,FALSE,"DAOCM 2차 검토"}</definedName>
    <definedName name="전송영업1_4" hidden="1">{#N/A,#N/A,FALSE,"DAOCM 2차 검토"}</definedName>
    <definedName name="전송영업1_4_1" hidden="1">{#N/A,#N/A,FALSE,"DAOCM 2차 검토"}</definedName>
    <definedName name="전송영업1_5" hidden="1">{#N/A,#N/A,FALSE,"DAOCM 2차 검토"}</definedName>
    <definedName name="전송영업1_5_1" hidden="1">{#N/A,#N/A,FALSE,"DAOCM 2차 검토"}</definedName>
    <definedName name="전송영업2" hidden="1">{#N/A,#N/A,FALSE,"DAOCM 2차 검토"}</definedName>
    <definedName name="전송영업2_1" hidden="1">{#N/A,#N/A,FALSE,"DAOCM 2차 검토"}</definedName>
    <definedName name="전송영업2_1_1" hidden="1">{#N/A,#N/A,FALSE,"DAOCM 2차 검토"}</definedName>
    <definedName name="전송영업2_2" hidden="1">{#N/A,#N/A,FALSE,"DAOCM 2차 검토"}</definedName>
    <definedName name="전송영업2_2_1" hidden="1">{#N/A,#N/A,FALSE,"DAOCM 2차 검토"}</definedName>
    <definedName name="전송영업2_3" hidden="1">{#N/A,#N/A,FALSE,"DAOCM 2차 검토"}</definedName>
    <definedName name="전송영업2_3_1" hidden="1">{#N/A,#N/A,FALSE,"DAOCM 2차 검토"}</definedName>
    <definedName name="전송영업2_4" hidden="1">{#N/A,#N/A,FALSE,"DAOCM 2차 검토"}</definedName>
    <definedName name="전송영업2_4_1" hidden="1">{#N/A,#N/A,FALSE,"DAOCM 2차 검토"}</definedName>
    <definedName name="전송영업2_5" hidden="1">{#N/A,#N/A,FALSE,"DAOCM 2차 검토"}</definedName>
    <definedName name="전송영업2_5_1" hidden="1">{#N/A,#N/A,FALSE,"DAOCM 2차 검토"}</definedName>
    <definedName name="전시" hidden="1">{#N/A,#N/A,FALSE,"미판매분"}</definedName>
    <definedName name="전월보고" hidden="1">#REF!</definedName>
    <definedName name="전자" hidden="1">{#N/A,#N/A,FALSE,"단축1";#N/A,#N/A,FALSE,"단축2";#N/A,#N/A,FALSE,"단축3";#N/A,#N/A,FALSE,"장축";#N/A,#N/A,FALSE,"4WD"}</definedName>
    <definedName name="전자평가" hidden="1">{#N/A,#N/A,FALSE,"단축1";#N/A,#N/A,FALSE,"단축2";#N/A,#N/A,FALSE,"단축3";#N/A,#N/A,FALSE,"장축";#N/A,#N/A,FALSE,"4WD"}</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을" hidden="1">{#N/A,#N/A,FALSE,"단축1";#N/A,#N/A,FALSE,"단축2";#N/A,#N/A,FALSE,"단축3";#N/A,#N/A,FALSE,"장축";#N/A,#N/A,FALSE,"4WD"}</definedName>
    <definedName name="전후비교표" hidden="1">{#N/A,#N/A,FALSE,"KMC최종회의(7월) 자료"}</definedName>
    <definedName name="절감3" hidden="1">{#N/A,#N/A,FALSE,"정공"}</definedName>
    <definedName name="절감계산2" hidden="1">{#N/A,#N/A,FALSE,"단축1";#N/A,#N/A,FALSE,"단축2";#N/A,#N/A,FALSE,"단축3";#N/A,#N/A,FALSE,"장축";#N/A,#N/A,FALSE,"4WD"}</definedName>
    <definedName name="절감계획" hidden="1">{#N/A,#N/A,TRUE,"Y생산";#N/A,#N/A,TRUE,"Y판매";#N/A,#N/A,TRUE,"Y총물량";#N/A,#N/A,TRUE,"Y능력";#N/A,#N/A,TRUE,"YKD"}</definedName>
    <definedName name="절감내역상세" hidden="1">{#N/A,#N/A,FALSE,"정공"}</definedName>
    <definedName name="절감반기계획對실적" hidden="1">{#N/A,#N/A,FALSE,"정공"}</definedName>
    <definedName name="절감싵트" hidden="1">{#N/A,#N/A,FALSE,"정공"}</definedName>
    <definedName name="정" hidden="1">{#N/A,#N/A,FALSE,"단축1";#N/A,#N/A,FALSE,"단축2";#N/A,#N/A,FALSE,"단축3";#N/A,#N/A,FALSE,"장축";#N/A,#N/A,FALSE,"4WD"}</definedName>
    <definedName name="정공" hidden="1">{#N/A,#N/A,FALSE,"정공"}</definedName>
    <definedName name="정동종합수정" hidden="1">{#N/A,#N/A,FALSE,"KMC최종회의(7월) 자료"}</definedName>
    <definedName name="정리" hidden="1">{"'0808_월별 (2)'!$A$2:$T$28"}</definedName>
    <definedName name="정리하자" hidden="1">{"'0808_월별 (2)'!$A$2:$T$28"}</definedName>
    <definedName name="정보" hidden="1">{"'7'!$B$15:$D$32"}</definedName>
    <definedName name="정보기술1" hidden="1">{"'표지'!$B$5"}</definedName>
    <definedName name="정비대수" hidden="1">{#N/A,#N/A,FALSE,"인원";#N/A,#N/A,FALSE,"비용2";#N/A,#N/A,FALSE,"비용1";#N/A,#N/A,FALSE,"비용";#N/A,#N/A,FALSE,"보증2";#N/A,#N/A,FALSE,"보증1";#N/A,#N/A,FALSE,"보증";#N/A,#N/A,FALSE,"손익1";#N/A,#N/A,FALSE,"손익";#N/A,#N/A,FALSE,"부서별매출";#N/A,#N/A,FALSE,"매출"}</definedName>
    <definedName name="정수용" hidden="1">{#N/A,#N/A,TRUE,"Y생산";#N/A,#N/A,TRUE,"Y판매";#N/A,#N/A,TRUE,"Y총물량";#N/A,#N/A,TRUE,"Y능력";#N/A,#N/A,TRUE,"YKD"}</definedName>
    <definedName name="정영환자료" hidden="1">{"'5'!$A$1:$BB$147"}</definedName>
    <definedName name="정종" hidden="1">{#N/A,#N/A,FALSE,"KMC최종회의(7월) 자료"}</definedName>
    <definedName name="정주" hidden="1">{#N/A,#N/A,FALSE,"DAOCM 2차 검토"}</definedName>
    <definedName name="정주_1" hidden="1">{#N/A,#N/A,FALSE,"DAOCM 2차 검토"}</definedName>
    <definedName name="정주_1_1" hidden="1">{#N/A,#N/A,FALSE,"DAOCM 2차 검토"}</definedName>
    <definedName name="정주_2" hidden="1">{#N/A,#N/A,FALSE,"DAOCM 2차 검토"}</definedName>
    <definedName name="정주_2_1" hidden="1">{#N/A,#N/A,FALSE,"DAOCM 2차 검토"}</definedName>
    <definedName name="정주_3" hidden="1">{#N/A,#N/A,FALSE,"DAOCM 2차 검토"}</definedName>
    <definedName name="정주_3_1" hidden="1">{#N/A,#N/A,FALSE,"DAOCM 2차 검토"}</definedName>
    <definedName name="정주_4" hidden="1">{#N/A,#N/A,FALSE,"DAOCM 2차 검토"}</definedName>
    <definedName name="정주_4_1" hidden="1">{#N/A,#N/A,FALSE,"DAOCM 2차 검토"}</definedName>
    <definedName name="정주_5" hidden="1">{#N/A,#N/A,FALSE,"DAOCM 2차 검토"}</definedName>
    <definedName name="정주_5_1" hidden="1">{#N/A,#N/A,FALSE,"DAOCM 2차 검토"}</definedName>
    <definedName name="정주곤난ㅇㄹㄴ" hidden="1">{#N/A,#N/A,FALSE,"KMC최종회의(7월) 자료"}</definedName>
    <definedName name="정징" hidden="1">{#N/A,#N/A,TRUE,"Y생산";#N/A,#N/A,TRUE,"Y판매";#N/A,#N/A,TRUE,"Y총물량";#N/A,#N/A,TRUE,"Y능력";#N/A,#N/A,TRUE,"YKD"}</definedName>
    <definedName name="젖" hidden="1">{#N/A,#N/A,FALSE,"단축1";#N/A,#N/A,FALSE,"단축2";#N/A,#N/A,FALSE,"단축3";#N/A,#N/A,FALSE,"장축";#N/A,#N/A,FALSE,"4WD"}</definedName>
    <definedName name="제동" hidden="1">{#N/A,#N/A,FALSE,"단축1";#N/A,#N/A,FALSE,"단축2";#N/A,#N/A,FALSE,"단축3";#N/A,#N/A,FALSE,"장축";#N/A,#N/A,FALSE,"4WD"}</definedName>
    <definedName name="제안요약" hidden="1">{"'7'!$B$15:$D$32"}</definedName>
    <definedName name="제원" hidden="1">#REF!</definedName>
    <definedName name="제품견적" hidden="1">{#N/A,#N/A,FALSE,"단축1";#N/A,#N/A,FALSE,"단축2";#N/A,#N/A,FALSE,"단축3";#N/A,#N/A,FALSE,"장축";#N/A,#N/A,FALSE,"4WD"}</definedName>
    <definedName name="제품견적2" hidden="1">{#N/A,#N/A,FALSE,"단축1";#N/A,#N/A,FALSE,"단축2";#N/A,#N/A,FALSE,"단축3";#N/A,#N/A,FALSE,"장축";#N/A,#N/A,FALSE,"4WD"}</definedName>
    <definedName name="제품견적서1" hidden="1">{#N/A,#N/A,FALSE,"단축1";#N/A,#N/A,FALSE,"단축2";#N/A,#N/A,FALSE,"단축3";#N/A,#N/A,FALSE,"장축";#N/A,#N/A,FALSE,"4WD"}</definedName>
    <definedName name="제품구분손익" hidden="1">{#N/A,#N/A,FALSE,"정공"}</definedName>
    <definedName name="제품별" hidden="1">{#N/A,#N/A,FALSE,"정공"}</definedName>
    <definedName name="제품별손익" hidden="1">{#N/A,#N/A,FALSE,"정공"}</definedName>
    <definedName name="제품손익" hidden="1">{#N/A,#N/A,FALSE,"정공"}</definedName>
    <definedName name="제품손익표" hidden="1">{#N/A,#N/A,FALSE,"정공"}</definedName>
    <definedName name="조과인원" hidden="1">{#N/A,#N/A,TRUE,"Y생산";#N/A,#N/A,TRUE,"Y판매";#N/A,#N/A,TRUE,"Y총물량";#N/A,#N/A,TRUE,"Y능력";#N/A,#N/A,TRUE,"YKD"}</definedName>
    <definedName name="조동" hidden="1">{#N/A,#N/A,FALSE,"단축1";#N/A,#N/A,FALSE,"단축2";#N/A,#N/A,FALSE,"단축3";#N/A,#N/A,FALSE,"장축";#N/A,#N/A,FALSE,"4WD"}</definedName>
    <definedName name="조동신" hidden="1">{#N/A,#N/A,FALSE,"단축1";#N/A,#N/A,FALSE,"단축2";#N/A,#N/A,FALSE,"단축3";#N/A,#N/A,FALSE,"장축";#N/A,#N/A,FALSE,"4WD"}</definedName>
    <definedName name="조립공수" hidden="1">{#N/A,#N/A,TRUE,"Y생산";#N/A,#N/A,TRUE,"Y판매";#N/A,#N/A,TRUE,"Y총물량";#N/A,#N/A,TRUE,"Y능력";#N/A,#N/A,TRUE,"YKD"}</definedName>
    <definedName name="조립과인원계획" hidden="1">{#N/A,#N/A,TRUE,"Y생산";#N/A,#N/A,TRUE,"Y판매";#N/A,#N/A,TRUE,"Y총물량";#N/A,#N/A,TRUE,"Y능력";#N/A,#N/A,TRUE,"YKD"}</definedName>
    <definedName name="조립과인원계획2000" hidden="1">{#N/A,#N/A,TRUE,"Y생산";#N/A,#N/A,TRUE,"Y판매";#N/A,#N/A,TRUE,"Y총물량";#N/A,#N/A,TRUE,"Y능력";#N/A,#N/A,TRUE,"YKD"}</definedName>
    <definedName name="조립치구" hidden="1">{#N/A,#N/A,FALSE,"단축1";#N/A,#N/A,FALSE,"단축2";#N/A,#N/A,FALSE,"단축3";#N/A,#N/A,FALSE,"장축";#N/A,#N/A,FALSE,"4WD"}</definedName>
    <definedName name="조별유형" hidden="1">#REF!</definedName>
    <definedName name="조업변경" hidden="1">{#N/A,#N/A,TRUE,"Y생산";#N/A,#N/A,TRUE,"Y판매";#N/A,#N/A,TRUE,"Y총물량";#N/A,#N/A,TRUE,"Y능력";#N/A,#N/A,TRUE,"YKD"}</definedName>
    <definedName name="조정후손익" hidden="1">{#N/A,#N/A,FALSE,"정공"}</definedName>
    <definedName name="조직_HD" hidden="1">{#N/A,#N/A,FALSE,"미판매분"}</definedName>
    <definedName name="조직1" hidden="1">{#N/A,#N/A,FALSE,"정공"}</definedName>
    <definedName name="조직2" hidden="1">{"'7'!$B$15:$D$32"}</definedName>
    <definedName name="조직3" hidden="1">{#N/A,#N/A,FALSE,"정공"}</definedName>
    <definedName name="조치" hidden="1">{#N/A,#N/A,FALSE,"단축1";#N/A,#N/A,FALSE,"단축2";#N/A,#N/A,FALSE,"단축3";#N/A,#N/A,FALSE,"장축";#N/A,#N/A,FALSE,"4WD"}</definedName>
    <definedName name="조합보고" hidden="1">{#N/A,#N/A,FALSE,"KMC최종회의(7월) 자료"}</definedName>
    <definedName name="종" hidden="1">{#N/A,#N/A,FALSE,"KMC최종회의(7월) 자료"}</definedName>
    <definedName name="종1" hidden="1">{#N/A,#N/A,FALSE,"KMC최종회의(7월) 자료"}</definedName>
    <definedName name="종합1" hidden="1">{#N/A,#N/A,FALSE,"KMC최종회의(7월) 자료"}</definedName>
    <definedName name="종합그래프" hidden="1">{#N/A,#N/A,FALSE,"단축1";#N/A,#N/A,FALSE,"단축2";#N/A,#N/A,FALSE,"단축3";#N/A,#N/A,FALSE,"장축";#N/A,#N/A,FALSE,"4WD"}</definedName>
    <definedName name="종합미래2" hidden="1">{#N/A,#N/A,FALSE,"정공"}</definedName>
    <definedName name="종합월별" hidden="1">{#N/A,#N/A,FALSE,"KMC최종회의(7월) 자료"}</definedName>
    <definedName name="종합월별1" hidden="1">{#N/A,#N/A,FALSE,"KMC최종회의(7월) 자료"}</definedName>
    <definedName name="종합표복사" hidden="1">#REF!</definedName>
    <definedName name="종합현황" hidden="1">{#N/A,#N/A,FALSE,"KMC최종회의(7월) 자료"}</definedName>
    <definedName name="주" hidden="1">{"'7'!$B$15:$D$32"}</definedName>
    <definedName name="주요" hidden="1">{#N/A,#N/A,TRUE,"Y생산";#N/A,#N/A,TRUE,"Y판매";#N/A,#N/A,TRUE,"Y총물량";#N/A,#N/A,TRUE,"Y능력";#N/A,#N/A,TRUE,"YKD"}</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임급최종합격자" hidden="1">{"'7'!$B$15:$D$32"}</definedName>
    <definedName name="주임급합격자" hidden="1">{"'7'!$B$15:$D$32"}</definedName>
    <definedName name="주임이상책정안" hidden="1">{"'7'!$B$15:$D$32"}</definedName>
    <definedName name="죽인다" hidden="1">{#N/A,#N/A,TRUE,"Y생산";#N/A,#N/A,TRUE,"Y판매";#N/A,#N/A,TRUE,"Y총물량";#N/A,#N/A,TRUE,"Y능력";#N/A,#N/A,TRUE,"YKD"}</definedName>
    <definedName name="중계무역수수료_1" hidden="1">{"'0808_월별 (2)'!$A$2:$T$28"}</definedName>
    <definedName name="중계무역수수료_1_1" hidden="1">{"'0808_월별 (2)'!$A$2:$T$28"}</definedName>
    <definedName name="중계무역수수료_2" hidden="1">{"'0808_월별 (2)'!$A$2:$T$28"}</definedName>
    <definedName name="중계무역수수료_2_1" hidden="1">{"'0808_월별 (2)'!$A$2:$T$28"}</definedName>
    <definedName name="중계무역수수료_3" hidden="1">{"'0808_월별 (2)'!$A$2:$T$28"}</definedName>
    <definedName name="중계무역수수료_3_1" hidden="1">{"'0808_월별 (2)'!$A$2:$T$28"}</definedName>
    <definedName name="중계무역수수료_4" hidden="1">{"'0808_월별 (2)'!$A$2:$T$28"}</definedName>
    <definedName name="중계무역수수료_4_1" hidden="1">{"'0808_월별 (2)'!$A$2:$T$28"}</definedName>
    <definedName name="중계무역수수료_5" hidden="1">{"'0808_월별 (2)'!$A$2:$T$28"}</definedName>
    <definedName name="중계무역수수료_5_1" hidden="1">{"'0808_월별 (2)'!$A$2:$T$28"}</definedName>
    <definedName name="중기" hidden="1">{#N/A,#N/A,FALSE,"정공"}</definedName>
    <definedName name="중기1" hidden="1">{#N/A,#N/A,FALSE,"정공"}</definedName>
    <definedName name="중앙" hidden="1">{#N/A,#N/A,FALSE,"단축1";#N/A,#N/A,FALSE,"단축2";#N/A,#N/A,FALSE,"단축3";#N/A,#N/A,FALSE,"장축";#N/A,#N/A,FALSE,"4WD"}</definedName>
    <definedName name="중앙연구" hidden="1">{#N/A,#N/A,TRUE,"Y생산";#N/A,#N/A,TRUE,"Y판매";#N/A,#N/A,TRUE,"Y총물량";#N/A,#N/A,TRUE,"Y능력";#N/A,#N/A,TRUE,"YKD"}</definedName>
    <definedName name="중자" hidden="1">{#N/A,#N/A,FALSE,"KMC최종회의(7월) 자료"}</definedName>
    <definedName name="중장기" hidden="1">{#N/A,#N/A,FALSE,"KMC최종회의(7월) 자료"}</definedName>
    <definedName name="중장기계획2" hidden="1">{#N/A,#N/A,FALSE,"정공"}</definedName>
    <definedName name="중장기표지" hidden="1">{#N/A,#N/A,FALSE,"정공"}</definedName>
    <definedName name="중중표지" hidden="1">{#N/A,#N/A,FALSE,"정공"}</definedName>
    <definedName name="지" hidden="1">{#N/A,#N/A,TRUE,"Y생산";#N/A,#N/A,TRUE,"Y판매";#N/A,#N/A,TRUE,"Y총물량";#N/A,#N/A,TRUE,"Y능력";#N/A,#N/A,TRUE,"YKD"}</definedName>
    <definedName name="지랗" hidden="1">{#N/A,#N/A,FALSE,"KMC최종회의(7월) 자료"}</definedName>
    <definedName name="지수" hidden="1">{#N/A,#N/A,FALSE,"KMC최종회의(7월) 자료"}</definedName>
    <definedName name="지수종합" hidden="1">{#N/A,#N/A,FALSE,"KMC최종회의(7월) 자료"}</definedName>
    <definedName name="지역실" hidden="1">{"'5'!$A$1:$BB$147"}</definedName>
    <definedName name="지우개" hidden="1">{#N/A,#N/A,FALSE,"단축1";#N/A,#N/A,FALSE,"단축2";#N/A,#N/A,FALSE,"단축3";#N/A,#N/A,FALSE,"장축";#N/A,#N/A,FALSE,"4WD"}</definedName>
    <definedName name="지울것"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지지지지지지지지지짖지지지지지지지지지지지지지지지지짖ㅈ지지지지지지지지지지지지지지지짖짖" hidden="1">{#N/A,#N/A,FALSE,"KMC최종회의(7월) 자료"}</definedName>
    <definedName name="지태면" hidden="1">{#N/A,#N/A,TRUE,"Y생산";#N/A,#N/A,TRUE,"Y판매";#N/A,#N/A,TRUE,"Y총물량";#N/A,#N/A,TRUE,"Y능력";#N/A,#N/A,TRUE,"YKD"}</definedName>
    <definedName name="지표" hidden="1">{#N/A,#N/A,TRUE,"Y생산";#N/A,#N/A,TRUE,"Y판매";#N/A,#N/A,TRUE,"Y총물량";#N/A,#N/A,TRUE,"Y능력";#N/A,#N/A,TRUE,"YKD"}</definedName>
    <definedName name="지호" hidden="1">{#N/A,#N/A,FALSE,"단축1";#N/A,#N/A,FALSE,"단축2";#N/A,#N/A,FALSE,"단축3";#N/A,#N/A,FALSE,"장축";#N/A,#N/A,FALSE,"4WD"}</definedName>
    <definedName name="직급별시행일자" hidden="1">{#N/A,#N/A,FALSE,"KMC최종회의(7월) 자료"}</definedName>
    <definedName name="진출의사보유" hidden="1">{#N/A,#N/A,FALSE,"단축1";#N/A,#N/A,FALSE,"단축2";#N/A,#N/A,FALSE,"단축3";#N/A,#N/A,FALSE,"장축";#N/A,#N/A,FALSE,"4WD"}</definedName>
    <definedName name="진행사항2" hidden="1">{#N/A,#N/A,FALSE,"KMC최종회의(7월) 자료"}</definedName>
    <definedName name="집행예산편성1" hidden="1">{#N/A,#N/A,FALSE,"단축1";#N/A,#N/A,FALSE,"단축2";#N/A,#N/A,FALSE,"단축3";#N/A,#N/A,FALSE,"장축";#N/A,#N/A,FALSE,"4WD"}</definedName>
    <definedName name="집행예산편성표2" hidden="1">{#N/A,#N/A,FALSE,"단축1";#N/A,#N/A,FALSE,"단축2";#N/A,#N/A,FALSE,"단축3";#N/A,#N/A,FALSE,"장축";#N/A,#N/A,FALSE,"4WD"}</definedName>
    <definedName name="ㅉ" hidden="1">{#N/A,#N/A,TRUE,"Y생산";#N/A,#N/A,TRUE,"Y판매";#N/A,#N/A,TRUE,"Y총물량";#N/A,#N/A,TRUE,"Y능력";#N/A,#N/A,TRUE,"YKD"}</definedName>
    <definedName name="쪼당" hidden="1">{#N/A,#N/A,TRUE,"Y생산";#N/A,#N/A,TRUE,"Y판매";#N/A,#N/A,TRUE,"Y총물량";#N/A,#N/A,TRUE,"Y능력";#N/A,#N/A,TRUE,"YKD"}</definedName>
    <definedName name="ㅊ" hidden="1">{#N/A,#N/A,FALSE,"KMC최종회의(7월) 자료"}</definedName>
    <definedName name="ㅊ_1" hidden="1">{#N/A,#N/A,TRUE,"양식5";#N/A,#N/A,TRUE,"양식1_2_2";#N/A,#N/A,TRUE,"양식1_1_2";#N/A,#N/A,TRUE,"양식2";#N/A,#N/A,TRUE,"양식4";#N/A,#N/A,TRUE,"양식3";#N/A,#N/A,TRUE,"양식6";#N/A,#N/A,TRUE,"양식7";#N/A,#N/A,TRUE,"양식10";#N/A,#N/A,TRUE,"양식11";#N/A,#N/A,TRUE,"양식12";#N/A,#N/A,TRUE,"양식13_1_2";#N/A,#N/A,TRUE,"양식13_2_2";#N/A,#N/A,TRUE,"양식14"}</definedName>
    <definedName name="ㅊ_1_1" hidden="1">{#N/A,#N/A,TRUE,"양식5";#N/A,#N/A,TRUE,"양식1_2_2";#N/A,#N/A,TRUE,"양식1_1_2";#N/A,#N/A,TRUE,"양식2";#N/A,#N/A,TRUE,"양식4";#N/A,#N/A,TRUE,"양식3";#N/A,#N/A,TRUE,"양식6";#N/A,#N/A,TRUE,"양식7";#N/A,#N/A,TRUE,"양식10";#N/A,#N/A,TRUE,"양식11";#N/A,#N/A,TRUE,"양식12";#N/A,#N/A,TRUE,"양식13_1_2";#N/A,#N/A,TRUE,"양식13_2_2";#N/A,#N/A,TRUE,"양식14"}</definedName>
    <definedName name="ㅊ_2" hidden="1">{#N/A,#N/A,TRUE,"양식5";#N/A,#N/A,TRUE,"양식1_2_2";#N/A,#N/A,TRUE,"양식1_1_2";#N/A,#N/A,TRUE,"양식2";#N/A,#N/A,TRUE,"양식4";#N/A,#N/A,TRUE,"양식3";#N/A,#N/A,TRUE,"양식6";#N/A,#N/A,TRUE,"양식7";#N/A,#N/A,TRUE,"양식10";#N/A,#N/A,TRUE,"양식11";#N/A,#N/A,TRUE,"양식12";#N/A,#N/A,TRUE,"양식13_1_2";#N/A,#N/A,TRUE,"양식13_2_2";#N/A,#N/A,TRUE,"양식14"}</definedName>
    <definedName name="ㅊ_2_1" hidden="1">{#N/A,#N/A,TRUE,"양식5";#N/A,#N/A,TRUE,"양식1_2_2";#N/A,#N/A,TRUE,"양식1_1_2";#N/A,#N/A,TRUE,"양식2";#N/A,#N/A,TRUE,"양식4";#N/A,#N/A,TRUE,"양식3";#N/A,#N/A,TRUE,"양식6";#N/A,#N/A,TRUE,"양식7";#N/A,#N/A,TRUE,"양식10";#N/A,#N/A,TRUE,"양식11";#N/A,#N/A,TRUE,"양식12";#N/A,#N/A,TRUE,"양식13_1_2";#N/A,#N/A,TRUE,"양식13_2_2";#N/A,#N/A,TRUE,"양식14"}</definedName>
    <definedName name="ㅊ_3" hidden="1">{#N/A,#N/A,TRUE,"양식5";#N/A,#N/A,TRUE,"양식1_2_2";#N/A,#N/A,TRUE,"양식1_1_2";#N/A,#N/A,TRUE,"양식2";#N/A,#N/A,TRUE,"양식4";#N/A,#N/A,TRUE,"양식3";#N/A,#N/A,TRUE,"양식6";#N/A,#N/A,TRUE,"양식7";#N/A,#N/A,TRUE,"양식10";#N/A,#N/A,TRUE,"양식11";#N/A,#N/A,TRUE,"양식12";#N/A,#N/A,TRUE,"양식13_1_2";#N/A,#N/A,TRUE,"양식13_2_2";#N/A,#N/A,TRUE,"양식14"}</definedName>
    <definedName name="ㅊ_3_1" hidden="1">{#N/A,#N/A,TRUE,"양식5";#N/A,#N/A,TRUE,"양식1_2_2";#N/A,#N/A,TRUE,"양식1_1_2";#N/A,#N/A,TRUE,"양식2";#N/A,#N/A,TRUE,"양식4";#N/A,#N/A,TRUE,"양식3";#N/A,#N/A,TRUE,"양식6";#N/A,#N/A,TRUE,"양식7";#N/A,#N/A,TRUE,"양식10";#N/A,#N/A,TRUE,"양식11";#N/A,#N/A,TRUE,"양식12";#N/A,#N/A,TRUE,"양식13_1_2";#N/A,#N/A,TRUE,"양식13_2_2";#N/A,#N/A,TRUE,"양식14"}</definedName>
    <definedName name="ㅊ_4" hidden="1">{#N/A,#N/A,TRUE,"양식5";#N/A,#N/A,TRUE,"양식1_2_2";#N/A,#N/A,TRUE,"양식1_1_2";#N/A,#N/A,TRUE,"양식2";#N/A,#N/A,TRUE,"양식4";#N/A,#N/A,TRUE,"양식3";#N/A,#N/A,TRUE,"양식6";#N/A,#N/A,TRUE,"양식7";#N/A,#N/A,TRUE,"양식10";#N/A,#N/A,TRUE,"양식11";#N/A,#N/A,TRUE,"양식12";#N/A,#N/A,TRUE,"양식13_1_2";#N/A,#N/A,TRUE,"양식13_2_2";#N/A,#N/A,TRUE,"양식14"}</definedName>
    <definedName name="ㅊ_4_1" hidden="1">{#N/A,#N/A,TRUE,"양식5";#N/A,#N/A,TRUE,"양식1_2_2";#N/A,#N/A,TRUE,"양식1_1_2";#N/A,#N/A,TRUE,"양식2";#N/A,#N/A,TRUE,"양식4";#N/A,#N/A,TRUE,"양식3";#N/A,#N/A,TRUE,"양식6";#N/A,#N/A,TRUE,"양식7";#N/A,#N/A,TRUE,"양식10";#N/A,#N/A,TRUE,"양식11";#N/A,#N/A,TRUE,"양식12";#N/A,#N/A,TRUE,"양식13_1_2";#N/A,#N/A,TRUE,"양식13_2_2";#N/A,#N/A,TRUE,"양식14"}</definedName>
    <definedName name="ㅊ_5" hidden="1">{#N/A,#N/A,TRUE,"양식5";#N/A,#N/A,TRUE,"양식1_2_2";#N/A,#N/A,TRUE,"양식1_1_2";#N/A,#N/A,TRUE,"양식2";#N/A,#N/A,TRUE,"양식4";#N/A,#N/A,TRUE,"양식3";#N/A,#N/A,TRUE,"양식6";#N/A,#N/A,TRUE,"양식7";#N/A,#N/A,TRUE,"양식10";#N/A,#N/A,TRUE,"양식11";#N/A,#N/A,TRUE,"양식12";#N/A,#N/A,TRUE,"양식13_1_2";#N/A,#N/A,TRUE,"양식13_2_2";#N/A,#N/A,TRUE,"양식14"}</definedName>
    <definedName name="ㅊ_5_1" hidden="1">{#N/A,#N/A,TRUE,"양식5";#N/A,#N/A,TRUE,"양식1_2_2";#N/A,#N/A,TRUE,"양식1_1_2";#N/A,#N/A,TRUE,"양식2";#N/A,#N/A,TRUE,"양식4";#N/A,#N/A,TRUE,"양식3";#N/A,#N/A,TRUE,"양식6";#N/A,#N/A,TRUE,"양식7";#N/A,#N/A,TRUE,"양식10";#N/A,#N/A,TRUE,"양식11";#N/A,#N/A,TRUE,"양식12";#N/A,#N/A,TRUE,"양식13_1_2";#N/A,#N/A,TRUE,"양식13_2_2";#N/A,#N/A,TRUE,"양식14"}</definedName>
    <definedName name="ㅊㅇㄴ" hidden="1">{#N/A,#N/A,FALSE,"미판매분"}</definedName>
    <definedName name="ㅊㅊ" hidden="1">{#N/A,#N/A,FALSE,"KMC최종회의(7월) 자료"}</definedName>
    <definedName name="ㅊㅊㅊ" hidden="1">{#N/A,#N/A,FALSE,"KMC최종회의(7월) 자료"}</definedName>
    <definedName name="ㅊㅌㅈㅇ" hidden="1">{#N/A,#N/A,FALSE,"미판매분"}</definedName>
    <definedName name="ㅊㅍㅅ" hidden="1">{#N/A,#N/A,FALSE,"KMC최종회의(7월) 자료"}</definedName>
    <definedName name="ㅊㅍㅇㄴㅁ" hidden="1">{#N/A,#N/A,FALSE,"미판매분"}</definedName>
    <definedName name="ㅊㅍㅌㅊㅍㅌㅊㅍ" hidden="1">{#N/A,#N/A,FALSE,"정공"}</definedName>
    <definedName name="차" hidden="1">{#N/A,#N/A,FALSE,"KMC최종회의(7월) 자료"}</definedName>
    <definedName name="차라리" hidden="1">{#N/A,#N/A,FALSE,"KMC최종회의(7월) 자료"}</definedName>
    <definedName name="차라리1" hidden="1">{#N/A,#N/A,FALSE,"KMC최종회의(7월) 자료"}</definedName>
    <definedName name="차월분석2" hidden="1">{#N/A,#N/A,FALSE,"KMC최종회의(7월) 자료"}</definedName>
    <definedName name="차이내역2" hidden="1">{#N/A,#N/A,FALSE,"단축1";#N/A,#N/A,FALSE,"단축2";#N/A,#N/A,FALSE,"단축3";#N/A,#N/A,FALSE,"장축";#N/A,#N/A,FALSE,"4WD"}</definedName>
    <definedName name="차입금현황" hidden="1">{#N/A,#N/A,FALSE,"정공"}</definedName>
    <definedName name="차종별" hidden="1">{#N/A,#N/A,TRUE,"Y생산";#N/A,#N/A,TRUE,"Y판매";#N/A,#N/A,TRUE,"Y총물량";#N/A,#N/A,TRUE,"Y능력";#N/A,#N/A,TRUE,"YKD"}</definedName>
    <definedName name="차차차차차차차차차차차차차차차차차차차차차차차차차차차찿" hidden="1">{#N/A,#N/A,FALSE,"KMC최종회의(7월) 자료"}</definedName>
    <definedName name="차차차차차차차차차차차찿차차차차차차차차차찿차차차차차차차차차차찿" hidden="1">{#N/A,#N/A,FALSE,"KMC최종회의(7월) 자료"}</definedName>
    <definedName name="차체" hidden="1">{#N/A,#N/A,FALSE,"단축1";#N/A,#N/A,FALSE,"단축2";#N/A,#N/A,FALSE,"단축3";#N/A,#N/A,FALSE,"장축";#N/A,#N/A,FALSE,"4WD"}</definedName>
    <definedName name="차트" hidden="1">{#N/A,#N/A,FALSE,"정공"}</definedName>
    <definedName name="참가" hidden="1">{#N/A,#N/A,FALSE,"KMC최종회의(7월) 자료"}</definedName>
    <definedName name="참가신청서" hidden="1">{#N/A,#N/A,FALSE,"KMC최종회의(7월) 자료"}</definedName>
    <definedName name="채권강조" hidden="1">{"'5'!$A$1:$BB$147"}</definedName>
    <definedName name="철" hidden="1">{#N/A,#N/A,FALSE,"KMC최종회의(7월) 자료"}</definedName>
    <definedName name="첨" hidden="1">{#N/A,#N/A,FALSE,"단축1";#N/A,#N/A,FALSE,"단축2";#N/A,#N/A,FALSE,"단축3";#N/A,#N/A,FALSE,"장축";#N/A,#N/A,FALSE,"4WD"}</definedName>
    <definedName name="첨부123" hidden="1">{#N/A,#N/A,FALSE,"정공"}</definedName>
    <definedName name="첨부2_수정" hidden="1">{#N/A,#N/A,FALSE,"단축1";#N/A,#N/A,FALSE,"단축2";#N/A,#N/A,FALSE,"단축3";#N/A,#N/A,FALSE,"장축";#N/A,#N/A,FALSE,"4WD"}</definedName>
    <definedName name="첨부3" hidden="1">{#N/A,#N/A,FALSE,"단축1";#N/A,#N/A,FALSE,"단축2";#N/A,#N/A,FALSE,"단축3";#N/A,#N/A,FALSE,"장축";#N/A,#N/A,FALSE,"4WD"}</definedName>
    <definedName name="첨부물" hidden="1">{#N/A,#N/A,FALSE,"정공"}</definedName>
    <definedName name="첨부시트" hidden="1">{#N/A,#N/A,FALSE,"정공"}</definedName>
    <definedName name="첨부양식" hidden="1">{#N/A,#N/A,FALSE,"KMC최종회의(7월) 자료"}</definedName>
    <definedName name="총괄" hidden="1">{"'7'!$B$15:$D$32"}</definedName>
    <definedName name="총괄_신세대" hidden="1">{#N/A,#N/A,FALSE,"정공"}</definedName>
    <definedName name="총괄2" hidden="1">{"'표지'!$B$5"}</definedName>
    <definedName name="총괄4장" hidden="1">{#N/A,#N/A,FALSE,"정공"}</definedName>
    <definedName name="총괄6" hidden="1">{#N/A,#N/A,FALSE,"정공"}</definedName>
    <definedName name="총괄투자" hidden="1">{#N/A,#N/A,FALSE,"정공"}</definedName>
    <definedName name="총괄표자금" hidden="1">{#N/A,#N/A,FALSE,"정공"}</definedName>
    <definedName name="총무3" hidden="1">{#N/A,#N/A,FALSE,"단축1";#N/A,#N/A,FALSE,"단축2";#N/A,#N/A,FALSE,"단축3";#N/A,#N/A,FALSE,"장축";#N/A,#N/A,FALSE,"4WD"}</definedName>
    <definedName name="총무팀총무팀" hidden="1">{#N/A,#N/A,TRUE,"Y생산";#N/A,#N/A,TRUE,"Y판매";#N/A,#N/A,TRUE,"Y총물량";#N/A,#N/A,TRUE,"Y능력";#N/A,#N/A,TRUE,"YKD"}</definedName>
    <definedName name="총여신" hidden="1">{"'5'!$A$1:$BB$147"}</definedName>
    <definedName name="최리리" hidden="1">{#N/A,#N/A,FALSE,"정공"}</definedName>
    <definedName name="최영" hidden="1">{#N/A,#N/A,FALSE,"정공"}</definedName>
    <definedName name="최종견적서" hidden="1">{#N/A,#N/A,TRUE,"Y생산";#N/A,#N/A,TRUE,"Y판매";#N/A,#N/A,TRUE,"Y총물량";#N/A,#N/A,TRUE,"Y능력";#N/A,#N/A,TRUE,"YKD"}</definedName>
    <definedName name="최종이익가" hidden="1">{#N/A,#N/A,FALSE,"정공"}</definedName>
    <definedName name="추" hidden="1">{#N/A,#N/A,FALSE,"단축1";#N/A,#N/A,FALSE,"단축2";#N/A,#N/A,FALSE,"단축3";#N/A,#N/A,FALSE,"장축";#N/A,#N/A,FALSE,"4WD"}</definedName>
    <definedName name="추가참조" hidden="1">{#N/A,#N/A,FALSE,"정공"}</definedName>
    <definedName name="추공내역서" hidden="1">#REF!</definedName>
    <definedName name="추진" hidden="1">{#N/A,#N/A,FALSE,"정공"}</definedName>
    <definedName name="추진계획1" hidden="1">{#N/A,#N/A,FALSE,"정공"}</definedName>
    <definedName name="추진전략" hidden="1">{#N/A,#N/A,FALSE,"정공"}</definedName>
    <definedName name="출하" hidden="1">{#N/A,#N/A,FALSE,"96 3월물량표";#N/A,#N/A,FALSE,"96 4월물량표";#N/A,#N/A,FALSE,"96 5월물량표"}</definedName>
    <definedName name="충돌현상을" hidden="1">{#N/A,#N/A,FALSE,"정공"}</definedName>
    <definedName name="츠츷" hidden="1">{#N/A,#N/A,FALSE,"KMC최종회의(7월) 자료"}</definedName>
    <definedName name="치" hidden="1">{#N/A,#N/A,TRUE,"Y생산";#N/A,#N/A,TRUE,"Y판매";#N/A,#N/A,TRUE,"Y총물량";#N/A,#N/A,TRUE,"Y능력";#N/A,#N/A,TRUE,"YKD"}</definedName>
    <definedName name="ㅋ_1" hidden="1">{#N/A,#N/A,TRUE,"양식5";#N/A,#N/A,TRUE,"양식1_2_2";#N/A,#N/A,TRUE,"양식1_1_2";#N/A,#N/A,TRUE,"양식2";#N/A,#N/A,TRUE,"양식4";#N/A,#N/A,TRUE,"양식3";#N/A,#N/A,TRUE,"양식6";#N/A,#N/A,TRUE,"양식7";#N/A,#N/A,TRUE,"양식10";#N/A,#N/A,TRUE,"양식11";#N/A,#N/A,TRUE,"양식12";#N/A,#N/A,TRUE,"양식13_1_2";#N/A,#N/A,TRUE,"양식13_2_2";#N/A,#N/A,TRUE,"양식14"}</definedName>
    <definedName name="ㅋ_1_1" hidden="1">{#N/A,#N/A,TRUE,"양식5";#N/A,#N/A,TRUE,"양식1_2_2";#N/A,#N/A,TRUE,"양식1_1_2";#N/A,#N/A,TRUE,"양식2";#N/A,#N/A,TRUE,"양식4";#N/A,#N/A,TRUE,"양식3";#N/A,#N/A,TRUE,"양식6";#N/A,#N/A,TRUE,"양식7";#N/A,#N/A,TRUE,"양식10";#N/A,#N/A,TRUE,"양식11";#N/A,#N/A,TRUE,"양식12";#N/A,#N/A,TRUE,"양식13_1_2";#N/A,#N/A,TRUE,"양식13_2_2";#N/A,#N/A,TRUE,"양식14"}</definedName>
    <definedName name="ㅋ_2" hidden="1">{#N/A,#N/A,TRUE,"양식5";#N/A,#N/A,TRUE,"양식1_2_2";#N/A,#N/A,TRUE,"양식1_1_2";#N/A,#N/A,TRUE,"양식2";#N/A,#N/A,TRUE,"양식4";#N/A,#N/A,TRUE,"양식3";#N/A,#N/A,TRUE,"양식6";#N/A,#N/A,TRUE,"양식7";#N/A,#N/A,TRUE,"양식10";#N/A,#N/A,TRUE,"양식11";#N/A,#N/A,TRUE,"양식12";#N/A,#N/A,TRUE,"양식13_1_2";#N/A,#N/A,TRUE,"양식13_2_2";#N/A,#N/A,TRUE,"양식14"}</definedName>
    <definedName name="ㅋ_2_1" hidden="1">{#N/A,#N/A,TRUE,"양식5";#N/A,#N/A,TRUE,"양식1_2_2";#N/A,#N/A,TRUE,"양식1_1_2";#N/A,#N/A,TRUE,"양식2";#N/A,#N/A,TRUE,"양식4";#N/A,#N/A,TRUE,"양식3";#N/A,#N/A,TRUE,"양식6";#N/A,#N/A,TRUE,"양식7";#N/A,#N/A,TRUE,"양식10";#N/A,#N/A,TRUE,"양식11";#N/A,#N/A,TRUE,"양식12";#N/A,#N/A,TRUE,"양식13_1_2";#N/A,#N/A,TRUE,"양식13_2_2";#N/A,#N/A,TRUE,"양식14"}</definedName>
    <definedName name="ㅋ_3" hidden="1">{#N/A,#N/A,TRUE,"양식5";#N/A,#N/A,TRUE,"양식1_2_2";#N/A,#N/A,TRUE,"양식1_1_2";#N/A,#N/A,TRUE,"양식2";#N/A,#N/A,TRUE,"양식4";#N/A,#N/A,TRUE,"양식3";#N/A,#N/A,TRUE,"양식6";#N/A,#N/A,TRUE,"양식7";#N/A,#N/A,TRUE,"양식10";#N/A,#N/A,TRUE,"양식11";#N/A,#N/A,TRUE,"양식12";#N/A,#N/A,TRUE,"양식13_1_2";#N/A,#N/A,TRUE,"양식13_2_2";#N/A,#N/A,TRUE,"양식14"}</definedName>
    <definedName name="ㅋ_3_1" hidden="1">{#N/A,#N/A,TRUE,"양식5";#N/A,#N/A,TRUE,"양식1_2_2";#N/A,#N/A,TRUE,"양식1_1_2";#N/A,#N/A,TRUE,"양식2";#N/A,#N/A,TRUE,"양식4";#N/A,#N/A,TRUE,"양식3";#N/A,#N/A,TRUE,"양식6";#N/A,#N/A,TRUE,"양식7";#N/A,#N/A,TRUE,"양식10";#N/A,#N/A,TRUE,"양식11";#N/A,#N/A,TRUE,"양식12";#N/A,#N/A,TRUE,"양식13_1_2";#N/A,#N/A,TRUE,"양식13_2_2";#N/A,#N/A,TRUE,"양식14"}</definedName>
    <definedName name="ㅋ_4" hidden="1">{#N/A,#N/A,TRUE,"양식5";#N/A,#N/A,TRUE,"양식1_2_2";#N/A,#N/A,TRUE,"양식1_1_2";#N/A,#N/A,TRUE,"양식2";#N/A,#N/A,TRUE,"양식4";#N/A,#N/A,TRUE,"양식3";#N/A,#N/A,TRUE,"양식6";#N/A,#N/A,TRUE,"양식7";#N/A,#N/A,TRUE,"양식10";#N/A,#N/A,TRUE,"양식11";#N/A,#N/A,TRUE,"양식12";#N/A,#N/A,TRUE,"양식13_1_2";#N/A,#N/A,TRUE,"양식13_2_2";#N/A,#N/A,TRUE,"양식14"}</definedName>
    <definedName name="ㅋ_4_1" hidden="1">{#N/A,#N/A,TRUE,"양식5";#N/A,#N/A,TRUE,"양식1_2_2";#N/A,#N/A,TRUE,"양식1_1_2";#N/A,#N/A,TRUE,"양식2";#N/A,#N/A,TRUE,"양식4";#N/A,#N/A,TRUE,"양식3";#N/A,#N/A,TRUE,"양식6";#N/A,#N/A,TRUE,"양식7";#N/A,#N/A,TRUE,"양식10";#N/A,#N/A,TRUE,"양식11";#N/A,#N/A,TRUE,"양식12";#N/A,#N/A,TRUE,"양식13_1_2";#N/A,#N/A,TRUE,"양식13_2_2";#N/A,#N/A,TRUE,"양식14"}</definedName>
    <definedName name="ㅋ_5" hidden="1">{#N/A,#N/A,TRUE,"양식5";#N/A,#N/A,TRUE,"양식1_2_2";#N/A,#N/A,TRUE,"양식1_1_2";#N/A,#N/A,TRUE,"양식2";#N/A,#N/A,TRUE,"양식4";#N/A,#N/A,TRUE,"양식3";#N/A,#N/A,TRUE,"양식6";#N/A,#N/A,TRUE,"양식7";#N/A,#N/A,TRUE,"양식10";#N/A,#N/A,TRUE,"양식11";#N/A,#N/A,TRUE,"양식12";#N/A,#N/A,TRUE,"양식13_1_2";#N/A,#N/A,TRUE,"양식13_2_2";#N/A,#N/A,TRUE,"양식14"}</definedName>
    <definedName name="ㅋ_5_1" hidden="1">{#N/A,#N/A,TRUE,"양식5";#N/A,#N/A,TRUE,"양식1_2_2";#N/A,#N/A,TRUE,"양식1_1_2";#N/A,#N/A,TRUE,"양식2";#N/A,#N/A,TRUE,"양식4";#N/A,#N/A,TRUE,"양식3";#N/A,#N/A,TRUE,"양식6";#N/A,#N/A,TRUE,"양식7";#N/A,#N/A,TRUE,"양식10";#N/A,#N/A,TRUE,"양식11";#N/A,#N/A,TRUE,"양식12";#N/A,#N/A,TRUE,"양식13_1_2";#N/A,#N/A,TRUE,"양식13_2_2";#N/A,#N/A,TRUE,"양식14"}</definedName>
    <definedName name="ㅋㅇㅍ" hidden="1">{#N/A,#N/A,FALSE,"단축1";#N/A,#N/A,FALSE,"단축2";#N/A,#N/A,FALSE,"단축3";#N/A,#N/A,FALSE,"장축";#N/A,#N/A,FALSE,"4WD"}</definedName>
    <definedName name="ㅋㅋ_1" hidden="1">{#N/A,#N/A,TRUE,"양식5";#N/A,#N/A,TRUE,"양식1_2_2";#N/A,#N/A,TRUE,"양식1_1_2";#N/A,#N/A,TRUE,"양식2";#N/A,#N/A,TRUE,"양식4";#N/A,#N/A,TRUE,"양식3";#N/A,#N/A,TRUE,"양식6";#N/A,#N/A,TRUE,"양식7";#N/A,#N/A,TRUE,"양식10";#N/A,#N/A,TRUE,"양식11";#N/A,#N/A,TRUE,"양식12";#N/A,#N/A,TRUE,"양식13_1_2";#N/A,#N/A,TRUE,"양식13_2_2";#N/A,#N/A,TRUE,"양식14"}</definedName>
    <definedName name="ㅋㅋ_1_1" hidden="1">{#N/A,#N/A,TRUE,"양식5";#N/A,#N/A,TRUE,"양식1_2_2";#N/A,#N/A,TRUE,"양식1_1_2";#N/A,#N/A,TRUE,"양식2";#N/A,#N/A,TRUE,"양식4";#N/A,#N/A,TRUE,"양식3";#N/A,#N/A,TRUE,"양식6";#N/A,#N/A,TRUE,"양식7";#N/A,#N/A,TRUE,"양식10";#N/A,#N/A,TRUE,"양식11";#N/A,#N/A,TRUE,"양식12";#N/A,#N/A,TRUE,"양식13_1_2";#N/A,#N/A,TRUE,"양식13_2_2";#N/A,#N/A,TRUE,"양식14"}</definedName>
    <definedName name="ㅋㅋ_2" hidden="1">{#N/A,#N/A,TRUE,"양식5";#N/A,#N/A,TRUE,"양식1_2_2";#N/A,#N/A,TRUE,"양식1_1_2";#N/A,#N/A,TRUE,"양식2";#N/A,#N/A,TRUE,"양식4";#N/A,#N/A,TRUE,"양식3";#N/A,#N/A,TRUE,"양식6";#N/A,#N/A,TRUE,"양식7";#N/A,#N/A,TRUE,"양식10";#N/A,#N/A,TRUE,"양식11";#N/A,#N/A,TRUE,"양식12";#N/A,#N/A,TRUE,"양식13_1_2";#N/A,#N/A,TRUE,"양식13_2_2";#N/A,#N/A,TRUE,"양식14"}</definedName>
    <definedName name="ㅋㅋ_2_1" hidden="1">{#N/A,#N/A,TRUE,"양식5";#N/A,#N/A,TRUE,"양식1_2_2";#N/A,#N/A,TRUE,"양식1_1_2";#N/A,#N/A,TRUE,"양식2";#N/A,#N/A,TRUE,"양식4";#N/A,#N/A,TRUE,"양식3";#N/A,#N/A,TRUE,"양식6";#N/A,#N/A,TRUE,"양식7";#N/A,#N/A,TRUE,"양식10";#N/A,#N/A,TRUE,"양식11";#N/A,#N/A,TRUE,"양식12";#N/A,#N/A,TRUE,"양식13_1_2";#N/A,#N/A,TRUE,"양식13_2_2";#N/A,#N/A,TRUE,"양식14"}</definedName>
    <definedName name="ㅋㅋ_3" hidden="1">{#N/A,#N/A,TRUE,"양식5";#N/A,#N/A,TRUE,"양식1_2_2";#N/A,#N/A,TRUE,"양식1_1_2";#N/A,#N/A,TRUE,"양식2";#N/A,#N/A,TRUE,"양식4";#N/A,#N/A,TRUE,"양식3";#N/A,#N/A,TRUE,"양식6";#N/A,#N/A,TRUE,"양식7";#N/A,#N/A,TRUE,"양식10";#N/A,#N/A,TRUE,"양식11";#N/A,#N/A,TRUE,"양식12";#N/A,#N/A,TRUE,"양식13_1_2";#N/A,#N/A,TRUE,"양식13_2_2";#N/A,#N/A,TRUE,"양식14"}</definedName>
    <definedName name="ㅋㅋ_3_1" hidden="1">{#N/A,#N/A,TRUE,"양식5";#N/A,#N/A,TRUE,"양식1_2_2";#N/A,#N/A,TRUE,"양식1_1_2";#N/A,#N/A,TRUE,"양식2";#N/A,#N/A,TRUE,"양식4";#N/A,#N/A,TRUE,"양식3";#N/A,#N/A,TRUE,"양식6";#N/A,#N/A,TRUE,"양식7";#N/A,#N/A,TRUE,"양식10";#N/A,#N/A,TRUE,"양식11";#N/A,#N/A,TRUE,"양식12";#N/A,#N/A,TRUE,"양식13_1_2";#N/A,#N/A,TRUE,"양식13_2_2";#N/A,#N/A,TRUE,"양식14"}</definedName>
    <definedName name="ㅋㅋ_4" hidden="1">{#N/A,#N/A,TRUE,"양식5";#N/A,#N/A,TRUE,"양식1_2_2";#N/A,#N/A,TRUE,"양식1_1_2";#N/A,#N/A,TRUE,"양식2";#N/A,#N/A,TRUE,"양식4";#N/A,#N/A,TRUE,"양식3";#N/A,#N/A,TRUE,"양식6";#N/A,#N/A,TRUE,"양식7";#N/A,#N/A,TRUE,"양식10";#N/A,#N/A,TRUE,"양식11";#N/A,#N/A,TRUE,"양식12";#N/A,#N/A,TRUE,"양식13_1_2";#N/A,#N/A,TRUE,"양식13_2_2";#N/A,#N/A,TRUE,"양식14"}</definedName>
    <definedName name="ㅋㅋ_4_1" hidden="1">{#N/A,#N/A,TRUE,"양식5";#N/A,#N/A,TRUE,"양식1_2_2";#N/A,#N/A,TRUE,"양식1_1_2";#N/A,#N/A,TRUE,"양식2";#N/A,#N/A,TRUE,"양식4";#N/A,#N/A,TRUE,"양식3";#N/A,#N/A,TRUE,"양식6";#N/A,#N/A,TRUE,"양식7";#N/A,#N/A,TRUE,"양식10";#N/A,#N/A,TRUE,"양식11";#N/A,#N/A,TRUE,"양식12";#N/A,#N/A,TRUE,"양식13_1_2";#N/A,#N/A,TRUE,"양식13_2_2";#N/A,#N/A,TRUE,"양식14"}</definedName>
    <definedName name="ㅋㅋ_5" hidden="1">{#N/A,#N/A,TRUE,"양식5";#N/A,#N/A,TRUE,"양식1_2_2";#N/A,#N/A,TRUE,"양식1_1_2";#N/A,#N/A,TRUE,"양식2";#N/A,#N/A,TRUE,"양식4";#N/A,#N/A,TRUE,"양식3";#N/A,#N/A,TRUE,"양식6";#N/A,#N/A,TRUE,"양식7";#N/A,#N/A,TRUE,"양식10";#N/A,#N/A,TRUE,"양식11";#N/A,#N/A,TRUE,"양식12";#N/A,#N/A,TRUE,"양식13_1_2";#N/A,#N/A,TRUE,"양식13_2_2";#N/A,#N/A,TRUE,"양식14"}</definedName>
    <definedName name="ㅋㅋ_5_1"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hidden="1">{#N/A,#N/A,FALSE,"KMC최종회의(7월) 자료"}</definedName>
    <definedName name="카" hidden="1">{"'7'!$B$15:$D$32"}</definedName>
    <definedName name="카니발연료누유" hidden="1">#REF!</definedName>
    <definedName name="카메라" hidden="1">{#N/A,#N/A,FALSE,"단축1";#N/A,#N/A,FALSE,"단축2";#N/A,#N/A,FALSE,"단축3";#N/A,#N/A,FALSE,"장축";#N/A,#N/A,FALSE,"4WD"}</definedName>
    <definedName name="카스코" hidden="1">{#N/A,#N/A,FALSE,"KMC최종회의(7월) 자료"}</definedName>
    <definedName name="캐나다" hidden="1">{#N/A,#N/A,TRUE,"Y생산";#N/A,#N/A,TRUE,"Y판매";#N/A,#N/A,TRUE,"Y총물량";#N/A,#N/A,TRUE,"Y능력";#N/A,#N/A,TRUE,"YKD"}</definedName>
    <definedName name="크" hidden="1">{#N/A,#N/A,FALSE,"단축1";#N/A,#N/A,FALSE,"단축2";#N/A,#N/A,FALSE,"단축3";#N/A,#N/A,FALSE,"장축";#N/A,#N/A,FALSE,"4WD"}</definedName>
    <definedName name="크랑" hidden="1">{#N/A,#N/A,FALSE,"단축1";#N/A,#N/A,FALSE,"단축2";#N/A,#N/A,FALSE,"단축3";#N/A,#N/A,FALSE,"장축";#N/A,#N/A,FALSE,"4WD"}</definedName>
    <definedName name="키키키키카캌카카카카카카카카카카카카카카카카카카카카카카카카카카카카카카카카카카카카카카카카카카카카캌" hidden="1">{#N/A,#N/A,FALSE,"KMC최종회의(7월) 자료"}</definedName>
    <definedName name="키프코" hidden="1">{#N/A,#N/A,FALSE,"해외크레임";#N/A,#N/A,FALSE,"ACCENT현황";#N/A,#N/A,FALSE,"AVANTE";#N/A,#N/A,FALSE,"SONATA(3)";#N/A,#N/A,FALSE,"국내크레임"}</definedName>
    <definedName name="ㅌ" hidden="1">{#N/A,#N/A,FALSE,"단축1";#N/A,#N/A,FALSE,"단축2";#N/A,#N/A,FALSE,"단축3";#N/A,#N/A,FALSE,"장축";#N/A,#N/A,FALSE,"4WD"}</definedName>
    <definedName name="ㅌㄴㅁ" hidden="1">{#N/A,#N/A,FALSE,"KMC최종회의(7월) 자료"}</definedName>
    <definedName name="ㅌㄴㅁㅁ" hidden="1">{#N/A,#N/A,FALSE,"KMC최종회의(7월) 자료"}</definedName>
    <definedName name="ㅌㄴㅁㅈ" hidden="1">{#N/A,#N/A,FALSE,"KMC최종회의(7월) 자료"}</definedName>
    <definedName name="ㅌㄴㅇ" hidden="1">{#N/A,#N/A,FALSE,"단축1";#N/A,#N/A,FALSE,"단축2";#N/A,#N/A,FALSE,"단축3";#N/A,#N/A,FALSE,"장축";#N/A,#N/A,FALSE,"4WD"}</definedName>
    <definedName name="ㅌㄵ" hidden="1">{#N/A,#N/A,FALSE,"KMC최종회의(7월) 자료"}</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{#N/A,#N/A,FALSE,"KMC최종회의(7월) 자료"}</definedName>
    <definedName name="타" hidden="1">{#N/A,#N/A,TRUE,"Y생산";#N/A,#N/A,TRUE,"Y판매";#N/A,#N/A,TRUE,"Y총물량";#N/A,#N/A,TRUE,"Y능력";#N/A,#N/A,TRUE,"YKD"}</definedName>
    <definedName name="타다라다" hidden="1">{"'5'!$A$1:$BB$147"}</definedName>
    <definedName name="타다라라" hidden="1">{"'5'!$A$1:$BB$147"}</definedName>
    <definedName name="타타타타타티티티티티티티티티티티타타타타타타타타타타타타타탙타타타타타타타타타타타타타타타타타탙" hidden="1">{#N/A,#N/A,FALSE,"KMC최종회의(7월) 자료"}</definedName>
    <definedName name="테스트" hidden="1">{#N/A,#N/A,FALSE,"현대기술상추천서(2-1)";#N/A,#N/A,FALSE,"2-2";#N/A,#N/A,FALSE,"2-3";#N/A,#N/A,FALSE,"서식2-4";#N/A,#N/A,FALSE,"(2-5)";#N/A,#N/A,FALSE,"(2-6)";#N/A,#N/A,FALSE,"(2-7)"}</definedName>
    <definedName name="통합" hidden="1">#REF!</definedName>
    <definedName name="통합1장" hidden="1">{#N/A,#N/A,FALSE,"단축1";#N/A,#N/A,FALSE,"단축2";#N/A,#N/A,FALSE,"단축3";#N/A,#N/A,FALSE,"장축";#N/A,#N/A,FALSE,"4WD"}</definedName>
    <definedName name="통합제어" hidden="1">{#N/A,#N/A,FALSE,"1.참가신청";#N/A,#N/A,FALSE,"2.개발성과";#N/A,#N/A,FALSE,"3.활용현황";#N/A,#N/A,FALSE,"4.상호명";#N/A,#N/A,FALSE,"5.포상신청";#N/A,#N/A,FALSE,"산업재산권";#N/A,#N/A,FALSE,"산출내역";#N/A,#N/A,FALSE,"인적사항"}</definedName>
    <definedName name="투자" hidden="1">#REF!</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CONC.182억" hidden="1">{#N/A,#N/A,FALSE,"단축1";#N/A,#N/A,FALSE,"단축2";#N/A,#N/A,FALSE,"단축3";#N/A,#N/A,FALSE,"장축";#N/A,#N/A,FALSE,"4WD"}</definedName>
    <definedName name="투자계획종합" hidden="1">#REF!</definedName>
    <definedName name="투자구분" hidden="1">{#N/A,#N/A,TRUE,"Y생산";#N/A,#N/A,TRUE,"Y판매";#N/A,#N/A,TRUE,"Y총물량";#N/A,#N/A,TRUE,"Y능력";#N/A,#N/A,TRUE,"YKD"}</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금액1" hidden="1">{#N/A,#N/A,FALSE,"단축1";#N/A,#N/A,FALSE,"단축2";#N/A,#N/A,FALSE,"단축3";#N/A,#N/A,FALSE,"장축";#N/A,#N/A,FALSE,"4WD"}</definedName>
    <definedName name="투자대상" hidden="1">{#N/A,#N/A,FALSE,"단축1";#N/A,#N/A,FALSE,"단축2";#N/A,#N/A,FALSE,"단축3";#N/A,#N/A,FALSE,"장축";#N/A,#N/A,FALSE,"4WD"}</definedName>
    <definedName name="투자비000"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내역2"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트라제년간분석" hidden="1">{#N/A,#N/A,TRUE,"Y생산";#N/A,#N/A,TRUE,"Y판매";#N/A,#N/A,TRUE,"Y총물량";#N/A,#N/A,TRUE,"Y능력";#N/A,#N/A,TRUE,"YKD"}</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트로이젠" hidden="1">{#N/A,#N/A,FALSE,"미판매분"}</definedName>
    <definedName name="트트틑" hidden="1">{#N/A,#N/A,FALSE,"KMC최종회의(7월) 자료"}</definedName>
    <definedName name="트ㅗㅎ호" hidden="1">{#N/A,#N/A,FALSE,"KMC최종회의(7월) 자료"}</definedName>
    <definedName name="특" hidden="1">{#N/A,#N/A,FALSE,"KMC최종회의(7월) 자료"}</definedName>
    <definedName name="티엠" hidden="1">{#N/A,#N/A,FALSE,"단축1";#N/A,#N/A,FALSE,"단축2";#N/A,#N/A,FALSE,"단축3";#N/A,#N/A,FALSE,"장축";#N/A,#N/A,FALSE,"4WD"}</definedName>
    <definedName name="ㅍ" hidden="1">{#N/A,#N/A,FALSE,"표지";#N/A,#N/A,FALSE,"전제";#N/A,#N/A,FALSE,"대당";#N/A,#N/A,FALSE,"가공비";#N/A,#N/A,FALSE,"재료비";#N/A,#N/A,FALSE,"손익"}</definedName>
    <definedName name="ㅍㅇ륭" hidden="1">{#N/A,#N/A,FALSE,"KMC최종회의(7월) 자료"}</definedName>
    <definedName name="ㅍㅍ" hidden="1">{#N/A,#N/A,FALSE,"단축1";#N/A,#N/A,FALSE,"단축2";#N/A,#N/A,FALSE,"단축3";#N/A,#N/A,FALSE,"장축";#N/A,#N/A,FALSE,"4WD"}</definedName>
    <definedName name="ㅍㅍㄷㅅ호" hidden="1">{#N/A,#N/A,FALSE,"KMC최종회의(7월) 자료"}</definedName>
    <definedName name="ㅍㅍㅍ" hidden="1">{#N/A,#N/A,FALSE,"단축1";#N/A,#N/A,FALSE,"단축2";#N/A,#N/A,FALSE,"단축3";#N/A,#N/A,FALSE,"장축";#N/A,#N/A,FALSE,"4WD"}</definedName>
    <definedName name="파다다다다다" hidden="1">{"'5'!$A$1:$BB$147"}</definedName>
    <definedName name="파라다" hidden="1">{"'5'!$A$1:$BB$147"}</definedName>
    <definedName name="파자다라달" hidden="1">{"'5'!$A$1:$BB$147"}</definedName>
    <definedName name="판도라상자" hidden="1">{#N/A,#N/A,FALSE,"정공"}</definedName>
    <definedName name="판매"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초ㅗㄱ" hidden="1">{#N/A,#N/A,FALSE,"단축1";#N/A,#N/A,FALSE,"단축2";#N/A,#N/A,FALSE,"단축3";#N/A,#N/A,FALSE,"장축";#N/A,#N/A,FALSE,"4WD"}</definedName>
    <definedName name="판촉" hidden="1">{#N/A,#N/A,FALSE,"단축1";#N/A,#N/A,FALSE,"단축2";#N/A,#N/A,FALSE,"단축3";#N/A,#N/A,FALSE,"장축";#N/A,#N/A,FALSE,"4WD"}</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편집현황자료" hidden="1">{#N/A,#N/A,FALSE,"정공"}</definedName>
    <definedName name="표식" hidden="1">{#N/A,#N/A,FALSE,"단축1";#N/A,#N/A,FALSE,"단축2";#N/A,#N/A,FALSE,"단축3";#N/A,#N/A,FALSE,"장축";#N/A,#N/A,FALSE,"4WD"}</definedName>
    <definedName name="표준" hidden="1">{#N/A,#N/A,TRUE,"Y생산";#N/A,#N/A,TRUE,"Y판매";#N/A,#N/A,TRUE,"Y총물량";#N/A,#N/A,TRUE,"Y능력";#N/A,#N/A,TRUE,"YKD"}</definedName>
    <definedName name="표준공수" hidden="1">{#N/A,#N/A,FALSE,"KMC최종회의(7월) 자료"}</definedName>
    <definedName name="표지" hidden="1">{"'7'!$B$15:$D$32"}</definedName>
    <definedName name="표지1" hidden="1">{#N/A,#N/A,FALSE,"단축1";#N/A,#N/A,FALSE,"단축2";#N/A,#N/A,FALSE,"단축3";#N/A,#N/A,FALSE,"장축";#N/A,#N/A,FALSE,"4WD"}</definedName>
    <definedName name="표지11" hidden="1">{#N/A,#N/A,FALSE,"정공"}</definedName>
    <definedName name="표지2" hidden="1">{#N/A,#N/A,FALSE,"KMC최종회의(7월) 자료"}</definedName>
    <definedName name="표지22222" hidden="1">{#N/A,#N/A,FALSE,"정공"}</definedName>
    <definedName name="표지과" hidden="1">{#N/A,#N/A,TRUE,"Y생산";#N/A,#N/A,TRUE,"Y판매";#N/A,#N/A,TRUE,"Y총물량";#N/A,#N/A,TRUE,"Y능력";#N/A,#N/A,TRUE,"YKD"}</definedName>
    <definedName name="표지양식" hidden="1">{#N/A,#N/A,FALSE,"정공"}</definedName>
    <definedName name="표지전송" hidden="1">{#N/A,#N/A,FALSE,"정공"}</definedName>
    <definedName name="표지총무거" hidden="1">{#N/A,#N/A,FALSE,"KMC최종회의(7월) 자료"}</definedName>
    <definedName name="푸" hidden="1">{#N/A,#N/A,FALSE,"단축1";#N/A,#N/A,FALSE,"단축2";#N/A,#N/A,FALSE,"단축3";#N/A,#N/A,FALSE,"장축";#N/A,#N/A,FALSE,"4WD"}</definedName>
    <definedName name="품" hidden="1">{#N/A,#N/A,TRUE,"Y생산";#N/A,#N/A,TRUE,"Y판매";#N/A,#N/A,TRUE,"Y총물량";#N/A,#N/A,TRUE,"Y능력";#N/A,#N/A,TRUE,"YKD"}</definedName>
    <definedName name="품보부" hidden="1">{#N/A,#N/A,FALSE,"KMC최종회의(7월) 자료"}</definedName>
    <definedName name="품의3" hidden="1">{"'7'!$B$15:$D$32"}</definedName>
    <definedName name="품의a" hidden="1">{#N/A,#N/A,FALSE,"정공"}</definedName>
    <definedName name="품의서" hidden="1">{"'7'!$B$15:$D$32"}</definedName>
    <definedName name="품질" hidden="1">{#N/A,#N/A,FALSE,"정공"}</definedName>
    <definedName name="품질개선" hidden="1">{#N/A,#N/A,FALSE,"KMC최종회의(7월) 자료"}</definedName>
    <definedName name="품질개선2" hidden="1">{#N/A,#N/A,TRUE,"Y생산";#N/A,#N/A,TRUE,"Y판매";#N/A,#N/A,TRUE,"Y총물량";#N/A,#N/A,TRUE,"Y능력";#N/A,#N/A,TRUE,"YKD"}</definedName>
    <definedName name="품질개선3" hidden="1">{#N/A,#N/A,TRUE,"Y생산";#N/A,#N/A,TRUE,"Y판매";#N/A,#N/A,TRUE,"Y총물량";#N/A,#N/A,TRUE,"Y능력";#N/A,#N/A,TRUE,"YKD"}</definedName>
    <definedName name="품질금" hidden="1">{#N/A,#N/A,FALSE,"KMC최종회의(7월) 자료"}</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질손" hidden="1">{#N/A,#N/A,FALSE,"KMC최종회의(7월) 자료"}</definedName>
    <definedName name="품질지수" hidden="1">{#N/A,#N/A,FALSE,"KMC최종회의(7월) 자료"}</definedName>
    <definedName name="품확"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레스영업1팀" hidden="1">{#N/A,#N/A,FALSE,"KMC최종회의(7월) 자료"}</definedName>
    <definedName name="프레지오" hidden="1">#REF!</definedName>
    <definedName name="프렌지" hidden="1">{#N/A,#N/A,FALSE,"단축1";#N/A,#N/A,FALSE,"단축2";#N/A,#N/A,FALSE,"단축3";#N/A,#N/A,FALSE,"장축";#N/A,#N/A,FALSE,"4WD"}</definedName>
    <definedName name="프로젝트" hidden="1">#REF!</definedName>
    <definedName name="프프프프" hidden="1">{#N/A,#N/A,FALSE,"KMC최종회의(7월) 자료"}</definedName>
    <definedName name="ㅎ" hidden="1">{#N/A,#N/A,FALSE,"단축1";#N/A,#N/A,FALSE,"단축2";#N/A,#N/A,FALSE,"단축3";#N/A,#N/A,FALSE,"장축";#N/A,#N/A,FALSE,"4WD"}</definedName>
    <definedName name="ㅎ골호" hidden="1">{#N/A,#N/A,FALSE,"단축1";#N/A,#N/A,FALSE,"단축2";#N/A,#N/A,FALSE,"단축3";#N/A,#N/A,FALSE,"장축";#N/A,#N/A,FALSE,"4WD"}</definedName>
    <definedName name="ㅎ교" hidden="1">{#N/A,#N/A,FALSE,"1.참가신청";#N/A,#N/A,FALSE,"2.개발성과";#N/A,#N/A,FALSE,"3.활용현황";#N/A,#N/A,FALSE,"4.상호명";#N/A,#N/A,FALSE,"5.포상신청";#N/A,#N/A,FALSE,"산업재산권";#N/A,#N/A,FALSE,"산출내역";#N/A,#N/A,FALSE,"인적사항"}</definedName>
    <definedName name="ㅎㄴ" hidden="1">{#N/A,#N/A,FALSE,"단축1";#N/A,#N/A,FALSE,"단축2";#N/A,#N/A,FALSE,"단축3";#N/A,#N/A,FALSE,"장축";#N/A,#N/A,FALSE,"4WD"}</definedName>
    <definedName name="ㅎㄴㅀㅇ륭호" hidden="1">{#N/A,#N/A,FALSE,"KMC최종회의(7월) 자료"}</definedName>
    <definedName name="ㅎㄴㅁㅇㅎㄴ" hidden="1">{#N/A,#N/A,FALSE,"KMC최종회의(7월) 자료"}</definedName>
    <definedName name="ㅎㄷㅁㄱ" hidden="1">{#N/A,#N/A,FALSE,"단축1";#N/A,#N/A,FALSE,"단축2";#N/A,#N/A,FALSE,"단축3";#N/A,#N/A,FALSE,"장축";#N/A,#N/A,FALSE,"4WD"}</definedName>
    <definedName name="ㅎㄷㅋㅇ" hidden="1">{#N/A,#N/A,FALSE,"KMC최종회의(7월) 자료"}</definedName>
    <definedName name="ㅎㄹㅇㄴㅁ" hidden="1">{#N/A,#N/A,FALSE,"KMC최종회의(7월) 자료"}</definedName>
    <definedName name="ㅎㄹ호ㅗㅓ쇼" hidden="1">{#N/A,#N/A,FALSE,"KMC최종회의(7월) 자료"}</definedName>
    <definedName name="ㅎ라" hidden="1">{#N/A,#N/A,TRUE,"Y생산";#N/A,#N/A,TRUE,"Y판매";#N/A,#N/A,TRUE,"Y총물량";#N/A,#N/A,TRUE,"Y능력";#N/A,#N/A,TRUE,"YKD"}</definedName>
    <definedName name="ㅎ러ㅗㅀ"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쇼소ㅛ" hidden="1">{#N/A,#N/A,FALSE,"KMC최종회의(7월) 자료"}</definedName>
    <definedName name="ㅎㅇㄹㅇㄹ호" hidden="1">{#N/A,#N/A,FALSE,"KMC최종회의(7월) 자료"}</definedName>
    <definedName name="ㅎㅇㅇ" hidden="1">{#N/A,#N/A,FALSE,"KMC최종회의(7월) 자료"}</definedName>
    <definedName name="ㅎ유ㅠㅗㅗ" hidden="1">{#N/A,#N/A,FALSE,"KMC최종회의(7월) 자료"}</definedName>
    <definedName name="ㅎㅎㅎ" hidden="1">{#N/A,#N/A,FALSE,"KMC최종회의(7월) 자료"}</definedName>
    <definedName name="ㅎㅎㅎㅇㄹ" hidden="1">{#N/A,#N/A,FALSE,"KMC최종회의(7월) 자료"}</definedName>
    <definedName name="ㅎㅎㅎㅎ" hidden="1">{#N/A,#N/A,FALSE,"단축1";#N/A,#N/A,FALSE,"단축2";#N/A,#N/A,FALSE,"단축3";#N/A,#N/A,FALSE,"장축";#N/A,#N/A,FALSE,"4WD"}</definedName>
    <definedName name="ㅎㅎㅎㅎㅎㅎㅎ" hidden="1">{#N/A,#N/A,FALSE,"KMC최종회의(7월) 자료"}</definedName>
    <definedName name="ㅎ하" hidden="1">{#N/A,#N/A,TRUE,"Y생산";#N/A,#N/A,TRUE,"Y판매";#N/A,#N/A,TRUE,"Y총물량";#N/A,#N/A,TRUE,"Y능력";#N/A,#N/A,TRUE,"YKD"}</definedName>
    <definedName name="ㅎ호ㅓㅓㅗ" hidden="1">{#N/A,#N/A,FALSE,"단축1";#N/A,#N/A,FALSE,"단축2";#N/A,#N/A,FALSE,"단축3";#N/A,#N/A,FALSE,"장축";#N/A,#N/A,FALSE,"4WD"}</definedName>
    <definedName name="ㅎ호ㅡ홏" hidden="1">{#N/A,#N/A,FALSE,"KMC최종회의(7월) 자료"}</definedName>
    <definedName name="하" hidden="1">{#N/A,#N/A,FALSE,"KMC최종회의(7월) 자료"}</definedName>
    <definedName name="하늘" hidden="1">{"'7'!$B$15:$D$32"}</definedName>
    <definedName name="하반기계획" hidden="1">{#N/A,#N/A,FALSE,"정공"}</definedName>
    <definedName name="하반기만회" hidden="1">{#N/A,#N/A,FALSE,"정공"}</definedName>
    <definedName name="하반기추정" hidden="1">{#N/A,#N/A,FALSE,"KMC최종회의(7월) 자료"}</definedName>
    <definedName name="하반기추정1" hidden="1">{#N/A,#N/A,FALSE,"KMC최종회의(7월) 자료"}</definedName>
    <definedName name="하반기투ST" hidden="1">{#N/A,#N/A,TRUE,"Y생산";#N/A,#N/A,TRUE,"Y판매";#N/A,#N/A,TRUE,"Y총물량";#N/A,#N/A,TRUE,"Y능력";#N/A,#N/A,TRUE,"YKD"}</definedName>
    <definedName name="하성연" hidden="1">{"'5'!$A$1:$BB$147"}</definedName>
    <definedName name="하청2" hidden="1">{#N/A,#N/A,FALSE,"KMC최종회의(7월) 자료"}</definedName>
    <definedName name="하청인원" hidden="1">{#N/A,#N/A,FALSE,"KMC최종회의(7월) 자료"}</definedName>
    <definedName name="하하" hidden="1">{#N/A,#N/A,FALSE,"단축1";#N/A,#N/A,FALSE,"단축2";#N/A,#N/A,FALSE,"단축3";#N/A,#N/A,FALSE,"장축";#N/A,#N/A,FALSE,"4WD"}</definedName>
    <definedName name="하하하" hidden="1">{"'5'!$A$1:$BB$147"}</definedName>
    <definedName name="하핳" hidden="1">{#N/A,#N/A,TRUE,"Y생산";#N/A,#N/A,TRUE,"Y판매";#N/A,#N/A,TRUE,"Y총물량";#N/A,#N/A,TRUE,"Y능력";#N/A,#N/A,TRUE,"YKD"}</definedName>
    <definedName name="학다" hidden="1">{"'5'!$A$1:$BB$147"}</definedName>
    <definedName name="학자" hidden="1">{"'5'!$A$1:$BB$147"}</definedName>
    <definedName name="학자금" hidden="1">{"'5'!$A$1:$BB$147"}</definedName>
    <definedName name="한" hidden="1">{#N/A,#N/A,FALSE,"KMC최종회의(7월) 자료"}</definedName>
    <definedName name="한국" hidden="1">{#N/A,#N/A,FALSE,"단축1";#N/A,#N/A,FALSE,"단축2";#N/A,#N/A,FALSE,"단축3";#N/A,#N/A,FALSE,"장축";#N/A,#N/A,FALSE,"4WD"}</definedName>
    <definedName name="한국영업"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1"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1_1"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2"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2_1"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3"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3_1"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4"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4_1"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5" hidden="1">{#N/A,#N/A,TRUE,"양식5";#N/A,#N/A,TRUE,"양식1_2_2";#N/A,#N/A,TRUE,"양식1_1_2";#N/A,#N/A,TRUE,"양식2";#N/A,#N/A,TRUE,"양식4";#N/A,#N/A,TRUE,"양식3";#N/A,#N/A,TRUE,"양식6";#N/A,#N/A,TRUE,"양식7";#N/A,#N/A,TRUE,"양식10";#N/A,#N/A,TRUE,"양식11";#N/A,#N/A,TRUE,"양식12";#N/A,#N/A,TRUE,"양식13_1_2";#N/A,#N/A,TRUE,"양식13_2_2";#N/A,#N/A,TRUE,"양식14"}</definedName>
    <definedName name="한국영업_5_1" hidden="1">{#N/A,#N/A,TRUE,"양식5";#N/A,#N/A,TRUE,"양식1_2_2";#N/A,#N/A,TRUE,"양식1_1_2";#N/A,#N/A,TRUE,"양식2";#N/A,#N/A,TRUE,"양식4";#N/A,#N/A,TRUE,"양식3";#N/A,#N/A,TRUE,"양식6";#N/A,#N/A,TRUE,"양식7";#N/A,#N/A,TRUE,"양식10";#N/A,#N/A,TRUE,"양식11";#N/A,#N/A,TRUE,"양식12";#N/A,#N/A,TRUE,"양식13_1_2";#N/A,#N/A,TRUE,"양식13_2_2";#N/A,#N/A,TRUE,"양식14"}</definedName>
    <definedName name="한글" hidden="1">{#N/A,#N/A,FALSE,"단축1";#N/A,#N/A,FALSE,"단축2";#N/A,#N/A,FALSE,"단축3";#N/A,#N/A,FALSE,"장축";#N/A,#N/A,FALSE,"4WD"}</definedName>
    <definedName name="한도" hidden="1">{"'7'!$B$15:$D$32"}</definedName>
    <definedName name="한빛수정" hidden="1">{#N/A,#N/A,FALSE,"KMC최종회의(7월) 자료"}</definedName>
    <definedName name="한영사전" hidden="1">{#N/A,#N/A,TRUE,"Y생산";#N/A,#N/A,TRUE,"Y판매";#N/A,#N/A,TRUE,"Y총물량";#N/A,#N/A,TRUE,"Y능력";#N/A,#N/A,TRUE,"YKD"}</definedName>
    <definedName name="한진" hidden="1">{#N/A,#N/A,FALSE,"KMC최종회의(7월) 자료"}</definedName>
    <definedName name="한총2" hidden="1">{#N/A,#N/A,FALSE,"을지 (4)";#N/A,#N/A,FALSE,"을지 (5)";#N/A,#N/A,FALSE,"을지 (6)"}</definedName>
    <definedName name="항" hidden="1">{#N/A,#N/A,FALSE,"KMC최종회의(7월) 자료"}</definedName>
    <definedName name="항특" hidden="1">{#N/A,#N/A,FALSE,"KMC최종회의(7월) 자료"}</definedName>
    <definedName name="향후계획1" hidden="1">{#N/A,#N/A,FALSE,"단축1";#N/A,#N/A,FALSE,"단축2";#N/A,#N/A,FALSE,"단축3";#N/A,#N/A,FALSE,"장축";#N/A,#N/A,FALSE,"4WD"}</definedName>
    <definedName name="허허" hidden="1">{#N/A,#N/A,TRUE,"Y생산";#N/A,#N/A,TRUE,"Y판매";#N/A,#N/A,TRUE,"Y총물량";#N/A,#N/A,TRUE,"Y능력";#N/A,#N/A,TRUE,"YKD"}</definedName>
    <definedName name="허ㅓ" hidden="1">{#N/A,#N/A,FALSE,"단축1";#N/A,#N/A,FALSE,"단축2";#N/A,#N/A,FALSE,"단축3";#N/A,#N/A,FALSE,"장축";#N/A,#N/A,FALSE,"4WD"}</definedName>
    <definedName name="현대" hidden="1">{#N/A,#N/A,FALSE,"정공"}</definedName>
    <definedName name="현대도면" hidden="1">{"'Sheet1'!$A$211:$M$235"}</definedName>
    <definedName name="현대우주" hidden="1">{#N/A,#N/A,FALSE,"정공"}</definedName>
    <definedName name="현대우주항공" hidden="1">{#N/A,#N/A,FALSE,"정공"}</definedName>
    <definedName name="현대자동차" hidden="1">{#N/A,#N/A,FALSE,"정공"}</definedName>
    <definedName name="현대정공" hidden="1">{#N/A,#N/A,FALSE,"정공"}</definedName>
    <definedName name="현대정공구매현황1" hidden="1">{#N/A,#N/A,FALSE,"정공"}</definedName>
    <definedName name="현상별" hidden="1">{#N/A,#N/A,FALSE,"KMC최종회의(7월) 자료"}</definedName>
    <definedName name="현지품년도별판매목표" hidden="1">{#N/A,#N/A,TRUE,"Y생산";#N/A,#N/A,TRUE,"Y판매";#N/A,#N/A,TRUE,"Y총물량";#N/A,#N/A,TRUE,"Y능력";#N/A,#N/A,TRUE,"YKD"}</definedName>
    <definedName name="협의" hidden="1">{#N/A,#N/A,FALSE,"단축1";#N/A,#N/A,FALSE,"단축2";#N/A,#N/A,FALSE,"단축3";#N/A,#N/A,FALSE,"장축";#N/A,#N/A,FALSE,"4WD"}</definedName>
    <definedName name="협조" hidden="1">{#N/A,#N/A,FALSE,"KMC최종회의(7월) 자료"}</definedName>
    <definedName name="호" hidden="1">{#N/A,#N/A,FALSE,"단축1";#N/A,#N/A,FALSE,"단축2";#N/A,#N/A,FALSE,"단축3";#N/A,#N/A,FALSE,"장축";#N/A,#N/A,FALSE,"4WD"}</definedName>
    <definedName name="호녀" hidden="1">{#N/A,#N/A,FALSE,"단축1";#N/A,#N/A,FALSE,"단축2";#N/A,#N/A,FALSE,"단축3";#N/A,#N/A,FALSE,"장축";#N/A,#N/A,FALSE,"4WD"}</definedName>
    <definedName name="호추ㅡ푸" hidden="1">{#N/A,#N/A,FALSE,"KMC최종회의(7월) 자료"}</definedName>
    <definedName name="호호호" hidden="1">{#N/A,#N/A,FALSE,"KMC최종회의(7월) 자료"}</definedName>
    <definedName name="호ㅓ호ㅡㅗ" hidden="1">{#N/A,#N/A,FALSE,"KMC최종회의(7월) 자료"}</definedName>
    <definedName name="호ㅓㅏ" hidden="1">{#N/A,#N/A,FALSE,"96 3월물량표";#N/A,#N/A,FALSE,"96 4월물량표";#N/A,#N/A,FALSE,"96 5월물량표"}</definedName>
    <definedName name="호ㅓㅗ" hidden="1">{#N/A,#N/A,FALSE,"단축1";#N/A,#N/A,FALSE,"단축2";#N/A,#N/A,FALSE,"단축3";#N/A,#N/A,FALSE,"장축";#N/A,#N/A,FALSE,"4WD"}</definedName>
    <definedName name="호ㅡㄹ훝루" hidden="1">{#N/A,#N/A,FALSE,"KMC최종회의(7월) 자료"}</definedName>
    <definedName name="호ㅡ호ㅡ호ㅓㅡ" hidden="1">{#N/A,#N/A,FALSE,"KMC최종회의(7월) 자료"}</definedName>
    <definedName name="호ㅡ흐ㅗㅡㅊ" hidden="1">{#N/A,#N/A,FALSE,"KMC최종회의(7월) 자료"}</definedName>
    <definedName name="호ㅡㅡㅊ토ㅡ" hidden="1">{#N/A,#N/A,FALSE,"KMC최종회의(7월) 자료"}</definedName>
    <definedName name="호ㅡㅡㅓ" hidden="1">{#N/A,#N/A,FALSE,"KMC최종회의(7월) 자료"}</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홍승노" hidden="1">{#N/A,#N/A,TRUE,"Y생산";#N/A,#N/A,TRUE,"Y판매";#N/A,#N/A,TRUE,"Y총물량";#N/A,#N/A,TRUE,"Y능력";#N/A,#N/A,TRUE,"YKD"}</definedName>
    <definedName name="환" hidden="1">{#N/A,#N/A,FALSE,"KMC최종회의(7월) 자료"}</definedName>
    <definedName name="환산수량수정" hidden="1">{#N/A,#N/A,FALSE,"KMC최종회의(7월) 자료"}</definedName>
    <definedName name="황" hidden="1">{#N/A,#N/A,FALSE,"KMC최종회의(7월) 자료"}</definedName>
    <definedName name="황22" hidden="1">{#N/A,#N/A,FALSE,"KMC최종회의(7월) 자료"}</definedName>
    <definedName name="회계잔액" hidden="1">#REF!</definedName>
    <definedName name="회수실적" hidden="1">{#N/A,#N/A,FALSE,"KMC최종회의(7월) 자료"}</definedName>
    <definedName name="회의운영" hidden="1">{#N/A,#N/A,FALSE,"KMC최종회의(7월) 자료"}</definedName>
    <definedName name="회장님업무보고재재수정" hidden="1">{"'5'!$A$1:$BB$147"}</definedName>
    <definedName name="훌쇼ㅛㄷㅇ고ㅛㅈㄷ" hidden="1">{#N/A,#N/A,FALSE,"KMC최종회의(7월) 자료"}</definedName>
    <definedName name="휴가" hidden="1">{#N/A,#N/A,TRUE,"Y생산";#N/A,#N/A,TRUE,"Y판매";#N/A,#N/A,TRUE,"Y총물량";#N/A,#N/A,TRUE,"Y능력";#N/A,#N/A,TRUE,"YKD"}</definedName>
    <definedName name="휴휴ㅠㅜㅛㅝㅛ" hidden="1">{#N/A,#N/A,FALSE,"KMC최종회의(7월) 자료"}</definedName>
    <definedName name="휴ㅗ호ㅛㅛ" hidden="1">{#N/A,#N/A,FALSE,"KMC최종회의(7월) 자료"}</definedName>
    <definedName name="휴ㅠㅛ굣" hidden="1">{#N/A,#N/A,FALSE,"KMC최종회의(7월) 자료"}</definedName>
    <definedName name="ㅏ라라" hidden="1">{#N/A,#N/A,FALSE,"단축1";#N/A,#N/A,FALSE,"단축2";#N/A,#N/A,FALSE,"단축3";#N/A,#N/A,FALSE,"장축";#N/A,#N/A,FALSE,"4WD"}</definedName>
    <definedName name="ㅏㅏ_1" hidden="1">{#N/A,#N/A,TRUE,"양식5";#N/A,#N/A,TRUE,"양식1_2_2";#N/A,#N/A,TRUE,"양식1_1_2";#N/A,#N/A,TRUE,"양식2";#N/A,#N/A,TRUE,"양식4";#N/A,#N/A,TRUE,"양식3";#N/A,#N/A,TRUE,"양식6";#N/A,#N/A,TRUE,"양식7";#N/A,#N/A,TRUE,"양식10";#N/A,#N/A,TRUE,"양식11";#N/A,#N/A,TRUE,"양식12";#N/A,#N/A,TRUE,"양식13_1_2";#N/A,#N/A,TRUE,"양식13_2_2";#N/A,#N/A,TRUE,"양식14"}</definedName>
    <definedName name="ㅏㅏ_1_1" hidden="1">{#N/A,#N/A,TRUE,"양식5";#N/A,#N/A,TRUE,"양식1_2_2";#N/A,#N/A,TRUE,"양식1_1_2";#N/A,#N/A,TRUE,"양식2";#N/A,#N/A,TRUE,"양식4";#N/A,#N/A,TRUE,"양식3";#N/A,#N/A,TRUE,"양식6";#N/A,#N/A,TRUE,"양식7";#N/A,#N/A,TRUE,"양식10";#N/A,#N/A,TRUE,"양식11";#N/A,#N/A,TRUE,"양식12";#N/A,#N/A,TRUE,"양식13_1_2";#N/A,#N/A,TRUE,"양식13_2_2";#N/A,#N/A,TRUE,"양식14"}</definedName>
    <definedName name="ㅏㅏ_2" hidden="1">{#N/A,#N/A,TRUE,"양식5";#N/A,#N/A,TRUE,"양식1_2_2";#N/A,#N/A,TRUE,"양식1_1_2";#N/A,#N/A,TRUE,"양식2";#N/A,#N/A,TRUE,"양식4";#N/A,#N/A,TRUE,"양식3";#N/A,#N/A,TRUE,"양식6";#N/A,#N/A,TRUE,"양식7";#N/A,#N/A,TRUE,"양식10";#N/A,#N/A,TRUE,"양식11";#N/A,#N/A,TRUE,"양식12";#N/A,#N/A,TRUE,"양식13_1_2";#N/A,#N/A,TRUE,"양식13_2_2";#N/A,#N/A,TRUE,"양식14"}</definedName>
    <definedName name="ㅏㅏ_2_1" hidden="1">{#N/A,#N/A,TRUE,"양식5";#N/A,#N/A,TRUE,"양식1_2_2";#N/A,#N/A,TRUE,"양식1_1_2";#N/A,#N/A,TRUE,"양식2";#N/A,#N/A,TRUE,"양식4";#N/A,#N/A,TRUE,"양식3";#N/A,#N/A,TRUE,"양식6";#N/A,#N/A,TRUE,"양식7";#N/A,#N/A,TRUE,"양식10";#N/A,#N/A,TRUE,"양식11";#N/A,#N/A,TRUE,"양식12";#N/A,#N/A,TRUE,"양식13_1_2";#N/A,#N/A,TRUE,"양식13_2_2";#N/A,#N/A,TRUE,"양식14"}</definedName>
    <definedName name="ㅏㅏ_3" hidden="1">{#N/A,#N/A,TRUE,"양식5";#N/A,#N/A,TRUE,"양식1_2_2";#N/A,#N/A,TRUE,"양식1_1_2";#N/A,#N/A,TRUE,"양식2";#N/A,#N/A,TRUE,"양식4";#N/A,#N/A,TRUE,"양식3";#N/A,#N/A,TRUE,"양식6";#N/A,#N/A,TRUE,"양식7";#N/A,#N/A,TRUE,"양식10";#N/A,#N/A,TRUE,"양식11";#N/A,#N/A,TRUE,"양식12";#N/A,#N/A,TRUE,"양식13_1_2";#N/A,#N/A,TRUE,"양식13_2_2";#N/A,#N/A,TRUE,"양식14"}</definedName>
    <definedName name="ㅏㅏ_3_1" hidden="1">{#N/A,#N/A,TRUE,"양식5";#N/A,#N/A,TRUE,"양식1_2_2";#N/A,#N/A,TRUE,"양식1_1_2";#N/A,#N/A,TRUE,"양식2";#N/A,#N/A,TRUE,"양식4";#N/A,#N/A,TRUE,"양식3";#N/A,#N/A,TRUE,"양식6";#N/A,#N/A,TRUE,"양식7";#N/A,#N/A,TRUE,"양식10";#N/A,#N/A,TRUE,"양식11";#N/A,#N/A,TRUE,"양식12";#N/A,#N/A,TRUE,"양식13_1_2";#N/A,#N/A,TRUE,"양식13_2_2";#N/A,#N/A,TRUE,"양식14"}</definedName>
    <definedName name="ㅏㅏ_4" hidden="1">{#N/A,#N/A,TRUE,"양식5";#N/A,#N/A,TRUE,"양식1_2_2";#N/A,#N/A,TRUE,"양식1_1_2";#N/A,#N/A,TRUE,"양식2";#N/A,#N/A,TRUE,"양식4";#N/A,#N/A,TRUE,"양식3";#N/A,#N/A,TRUE,"양식6";#N/A,#N/A,TRUE,"양식7";#N/A,#N/A,TRUE,"양식10";#N/A,#N/A,TRUE,"양식11";#N/A,#N/A,TRUE,"양식12";#N/A,#N/A,TRUE,"양식13_1_2";#N/A,#N/A,TRUE,"양식13_2_2";#N/A,#N/A,TRUE,"양식14"}</definedName>
    <definedName name="ㅏㅏ_4_1" hidden="1">{#N/A,#N/A,TRUE,"양식5";#N/A,#N/A,TRUE,"양식1_2_2";#N/A,#N/A,TRUE,"양식1_1_2";#N/A,#N/A,TRUE,"양식2";#N/A,#N/A,TRUE,"양식4";#N/A,#N/A,TRUE,"양식3";#N/A,#N/A,TRUE,"양식6";#N/A,#N/A,TRUE,"양식7";#N/A,#N/A,TRUE,"양식10";#N/A,#N/A,TRUE,"양식11";#N/A,#N/A,TRUE,"양식12";#N/A,#N/A,TRUE,"양식13_1_2";#N/A,#N/A,TRUE,"양식13_2_2";#N/A,#N/A,TRUE,"양식14"}</definedName>
    <definedName name="ㅏㅏ_5" hidden="1">{#N/A,#N/A,TRUE,"양식5";#N/A,#N/A,TRUE,"양식1_2_2";#N/A,#N/A,TRUE,"양식1_1_2";#N/A,#N/A,TRUE,"양식2";#N/A,#N/A,TRUE,"양식4";#N/A,#N/A,TRUE,"양식3";#N/A,#N/A,TRUE,"양식6";#N/A,#N/A,TRUE,"양식7";#N/A,#N/A,TRUE,"양식10";#N/A,#N/A,TRUE,"양식11";#N/A,#N/A,TRUE,"양식12";#N/A,#N/A,TRUE,"양식13_1_2";#N/A,#N/A,TRUE,"양식13_2_2";#N/A,#N/A,TRUE,"양식14"}</definedName>
    <definedName name="ㅏㅏ_5_1" hidden="1">{#N/A,#N/A,TRUE,"양식5";#N/A,#N/A,TRUE,"양식1_2_2";#N/A,#N/A,TRUE,"양식1_1_2";#N/A,#N/A,TRUE,"양식2";#N/A,#N/A,TRUE,"양식4";#N/A,#N/A,TRUE,"양식3";#N/A,#N/A,TRUE,"양식6";#N/A,#N/A,TRUE,"양식7";#N/A,#N/A,TRUE,"양식10";#N/A,#N/A,TRUE,"양식11";#N/A,#N/A,TRUE,"양식12";#N/A,#N/A,TRUE,"양식13_1_2";#N/A,#N/A,TRUE,"양식13_2_2";#N/A,#N/A,TRUE,"양식14"}</definedName>
    <definedName name="ㅏㅏㅏ" hidden="1">{#N/A,#N/A,FALSE,"KMC최종회의(7월) 자료"}</definedName>
    <definedName name="ㅏㅑㅑㅐ" hidden="1">{#N/A,#N/A,FALSE,"KMC최종회의(7월) 자료"}</definedName>
    <definedName name="ㅏㅓ" hidden="1">{#N/A,#N/A,FALSE,"단축1";#N/A,#N/A,FALSE,"단축2";#N/A,#N/A,FALSE,"단축3";#N/A,#N/A,FALSE,"장축";#N/A,#N/A,FALSE,"4WD"}</definedName>
    <definedName name="ㅏㅓㅏㄹㅇㅎ" hidden="1">{#N/A,#N/A,TRUE,"Y생산";#N/A,#N/A,TRUE,"Y판매";#N/A,#N/A,TRUE,"Y총물량";#N/A,#N/A,TRUE,"Y능력";#N/A,#N/A,TRUE,"YKD"}</definedName>
    <definedName name="ㅏㅕㅕㅏ호" hidden="1">{#N/A,#N/A,FALSE,"KMC최종회의(7월) 자료"}</definedName>
    <definedName name="ㅏㅣ" hidden="1">{#N/A,#N/A,FALSE,"96 3월물량표";#N/A,#N/A,FALSE,"96 4월물량표";#N/A,#N/A,FALSE,"96 5월물량표"}</definedName>
    <definedName name="ㅏㅣㅇㄹ" hidden="1">{"'5'!$A$1:$BB$147"}</definedName>
    <definedName name="ㅏㅣㅣㅣ" hidden="1">{#N/A,#N/A,FALSE,"단축1";#N/A,#N/A,FALSE,"단축2";#N/A,#N/A,FALSE,"단축3";#N/A,#N/A,FALSE,"장축";#N/A,#N/A,FALSE,"4WD"}</definedName>
    <definedName name="ㅐ" hidden="1">{#N/A,#N/A,FALSE,"정공"}</definedName>
    <definedName name="ㅐㅐ" hidden="1">{#N/A,#N/A,FALSE,"단축1";#N/A,#N/A,FALSE,"단축2";#N/A,#N/A,FALSE,"단축3";#N/A,#N/A,FALSE,"장축";#N/A,#N/A,FALSE,"4WD"}</definedName>
    <definedName name="ㅐㅐㅐㅐㅐ" hidden="1">{"'7'!$B$15:$D$32"}</definedName>
    <definedName name="ㅐㅐㅐㅐㅐㅐㅐㅐ" hidden="1">{"'7'!$B$15:$D$32"}</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_1" hidden="1">{"'0808_월별 (2)'!$A$2:$T$28"}</definedName>
    <definedName name="ㅑㅑ_1_1" hidden="1">{"'0808_월별 (2)'!$A$2:$T$28"}</definedName>
    <definedName name="ㅑㅑ_2" hidden="1">{"'0808_월별 (2)'!$A$2:$T$28"}</definedName>
    <definedName name="ㅑㅑ_2_1" hidden="1">{"'0808_월별 (2)'!$A$2:$T$28"}</definedName>
    <definedName name="ㅑㅑ_3" hidden="1">{"'0808_월별 (2)'!$A$2:$T$28"}</definedName>
    <definedName name="ㅑㅑ_3_1" hidden="1">{"'0808_월별 (2)'!$A$2:$T$28"}</definedName>
    <definedName name="ㅑㅑ_4" hidden="1">{"'0808_월별 (2)'!$A$2:$T$28"}</definedName>
    <definedName name="ㅑㅑ_4_1" hidden="1">{"'0808_월별 (2)'!$A$2:$T$28"}</definedName>
    <definedName name="ㅑㅑ_5" hidden="1">{"'0808_월별 (2)'!$A$2:$T$28"}</definedName>
    <definedName name="ㅑㅑ_5_1" hidden="1">{"'0808_월별 (2)'!$A$2:$T$28"}</definedName>
    <definedName name="ㅑㅑㅏㅏㅓ" hidden="1">{#N/A,#N/A,FALSE,"단축1";#N/A,#N/A,FALSE,"단축2";#N/A,#N/A,FALSE,"단축3";#N/A,#N/A,FALSE,"장축";#N/A,#N/A,FALSE,"4WD"}</definedName>
    <definedName name="ㅑㅕㅑㅑㅕㅑ" hidden="1">{#N/A,#N/A,FALSE,"KMC최종회의(7월) 자료"}</definedName>
    <definedName name="ㅓ" hidden="1">{#N/A,#N/A,TRUE,"Y생산";#N/A,#N/A,TRUE,"Y판매";#N/A,#N/A,TRUE,"Y총물량";#N/A,#N/A,TRUE,"Y능력";#N/A,#N/A,TRUE,"YKD"}</definedName>
    <definedName name="ㅓ로럴" hidden="1">{#N/A,#N/A,FALSE,"단축1";#N/A,#N/A,FALSE,"단축2";#N/A,#N/A,FALSE,"단축3";#N/A,#N/A,FALSE,"장축";#N/A,#N/A,FALSE,"4WD"}</definedName>
    <definedName name="ㅓ오러호" hidden="1">{#N/A,#N/A,FALSE,"단축1";#N/A,#N/A,FALSE,"단축2";#N/A,#N/A,FALSE,"단축3";#N/A,#N/A,FALSE,"장축";#N/A,#N/A,FALSE,"4WD"}</definedName>
    <definedName name="ㅓㅎ" hidden="1">{#N/A,#N/A,FALSE,"정공"}</definedName>
    <definedName name="ㅓ호ㅓㅓㅡㅓㅡ" hidden="1">{#N/A,#N/A,FALSE,"KMC최종회의(7월) 자료"}</definedName>
    <definedName name="ㅓㅏ" hidden="1">{"'0808_월별 (2)'!$A$2:$T$28"}</definedName>
    <definedName name="ㅓㅏ호ㅓ로ㅑㅗㅑㅐ햐" hidden="1">{#N/A,#N/A,FALSE,"96 3월물량표";#N/A,#N/A,FALSE,"96 4월물량표";#N/A,#N/A,FALSE,"96 5월물량표"}</definedName>
    <definedName name="ㅓㅏㅗ" hidden="1">{#N/A,#N/A,TRUE,"Y생산";#N/A,#N/A,TRUE,"Y판매";#N/A,#N/A,TRUE,"Y총물량";#N/A,#N/A,TRUE,"Y능력";#N/A,#N/A,TRUE,"YKD"}</definedName>
    <definedName name="ㅓㅏㅣㅕㅑㅔ" hidden="1">{#N/A,#N/A,FALSE,"단축1";#N/A,#N/A,FALSE,"단축2";#N/A,#N/A,FALSE,"단축3";#N/A,#N/A,FALSE,"장축";#N/A,#N/A,FALSE,"4WD"}</definedName>
    <definedName name="ㅓㅓㄹ" hidden="1">{#N/A,#N/A,FALSE,"단축1";#N/A,#N/A,FALSE,"단축2";#N/A,#N/A,FALSE,"단축3";#N/A,#N/A,FALSE,"장축";#N/A,#N/A,FALSE,"4WD"}</definedName>
    <definedName name="ㅓㅓ로" hidden="1">{#N/A,#N/A,FALSE,"단축1";#N/A,#N/A,FALSE,"단축2";#N/A,#N/A,FALSE,"단축3";#N/A,#N/A,FALSE,"장축";#N/A,#N/A,FALSE,"4WD"}</definedName>
    <definedName name="ㅓㅓㅓㅓ" hidden="1">{#N/A,#N/A,FALSE,"KMC최종회의(7월) 자료"}</definedName>
    <definedName name="ㅓㅓㅓㅓㅓ" hidden="1">{#N/A,#N/A,FALSE,"KMC최종회의(7월) 자료"}</definedName>
    <definedName name="ㅓㅕㅛ6ㅕㅓㅛㅕㅓㅛ" hidden="1">{#N/A,#N/A,FALSE,"KMC최종회의(7월) 자료"}</definedName>
    <definedName name="ㅓㅕㅛㅓㅛㅕㅓㅕㅛ" hidden="1">{#N/A,#N/A,FALSE,"KMC최종회의(7월) 자료"}</definedName>
    <definedName name="ㅓㅛ6ㅓㅕㅓ6ㅕ7ㅓ" hidden="1">{#N/A,#N/A,FALSE,"KMC최종회의(7월) 자료"}</definedName>
    <definedName name="ㅓㅛㅕ6ㅓㅓ" hidden="1">{#N/A,#N/A,FALSE,"KMC최종회의(7월) 자료"}</definedName>
    <definedName name="ㅓㅛㅡㅛㅓㅡㅛㅡㅓㅛㅓㅡ" hidden="1">{#N/A,#N/A,FALSE,"KMC최종회의(7월) 자료"}</definedName>
    <definedName name="ㅓㅡㅓㅗ" hidden="1">{#N/A,#N/A,FALSE,"KMC최종회의(7월) 자료"}</definedName>
    <definedName name="ㅔ" hidden="1">{#N/A,#N/A,FALSE,"단축1";#N/A,#N/A,FALSE,"단축2";#N/A,#N/A,FALSE,"단축3";#N/A,#N/A,FALSE,"장축";#N/A,#N/A,FALSE,"4WD"}</definedName>
    <definedName name="ㅔㅔ" hidden="1">{#N/A,#N/A,FALSE,"Status";#N/A,#N/A,FALSE,"Deckblatt 1";#N/A,#N/A,FALSE,"Deckblatt2"}</definedName>
    <definedName name="ㅔㅔㅔ" hidden="1">{#N/A,#N/A,FALSE,"단축1";#N/A,#N/A,FALSE,"단축2";#N/A,#N/A,FALSE,"단축3";#N/A,#N/A,FALSE,"장축";#N/A,#N/A,FALSE,"4WD"}</definedName>
    <definedName name="ㅔㅔㅔ1" hidden="1">{#N/A,#N/A,FALSE,"KMC최종회의(7월) 자료"}</definedName>
    <definedName name="ㅕ" hidden="1">{#N/A,#N/A,FALSE,"단축1";#N/A,#N/A,FALSE,"단축2";#N/A,#N/A,FALSE,"단축3";#N/A,#N/A,FALSE,"장축";#N/A,#N/A,FALSE,"4WD"}</definedName>
    <definedName name="ㅕ6ㅓㅛㅓㅕㅛ" hidden="1">{#N/A,#N/A,FALSE,"KMC최종회의(7월) 자료"}</definedName>
    <definedName name="ㅕㅏㅓㅕㅛㅏ7ㅓ" hidden="1">{#N/A,#N/A,FALSE,"KMC최종회의(7월) 자료"}</definedName>
    <definedName name="ㅕㅓㅛㅕㅛㅓㅕㅛㅓㅏㅕ" hidden="1">{#N/A,#N/A,FALSE,"KMC최종회의(7월) 자료"}</definedName>
    <definedName name="ㅕㅕ" hidden="1">{#N/A,#N/A,FALSE,"단축1";#N/A,#N/A,FALSE,"단축2";#N/A,#N/A,FALSE,"단축3";#N/A,#N/A,FALSE,"장축";#N/A,#N/A,FALSE,"4WD"}</definedName>
    <definedName name="ㅕㅕㅑㅑ" hidden="1">{#N/A,#N/A,FALSE,"KMC최종회의(7월) 자료"}</definedName>
    <definedName name="ㅕㅕㅕ" hidden="1">{"'5'!$A$1:$BB$147"}</definedName>
    <definedName name="ㅕㅛㅓㅕㅛㅓ" hidden="1">{#N/A,#N/A,FALSE,"KMC최종회의(7월) 자료"}</definedName>
    <definedName name="ㅕㅣㅎ" hidden="1">{#N/A,#N/A,FALSE,"단축1";#N/A,#N/A,FALSE,"단축2";#N/A,#N/A,FALSE,"단축3";#N/A,#N/A,FALSE,"장축";#N/A,#N/A,FALSE,"4WD"}</definedName>
    <definedName name="ㅗ5ㅛ5ㅗ" hidden="1">{#N/A,#N/A,FALSE,"KMC최종회의(7월) 자료"}</definedName>
    <definedName name="ㅗ6ㅛ6ㅗㅛㅗㅗ" hidden="1">{#N/A,#N/A,FALSE,"KMC최종회의(7월) 자료"}</definedName>
    <definedName name="ㅗ돟ㄷ" hidden="1">{#N/A,#N/A,FALSE,"단축1";#N/A,#N/A,FALSE,"단축2";#N/A,#N/A,FALSE,"단축3";#N/A,#N/A,FALSE,"장축";#N/A,#N/A,FALSE,"4WD"}</definedName>
    <definedName name="ㅗㄹ호" hidden="1">{#N/A,#N/A,FALSE,"단축1";#N/A,#N/A,FALSE,"단축2";#N/A,#N/A,FALSE,"단축3";#N/A,#N/A,FALSE,"장축";#N/A,#N/A,FALSE,"4WD"}</definedName>
    <definedName name="ㅗ라옹" hidden="1">{"'5'!$A$1:$BB$147"}</definedName>
    <definedName name="ㅗㅁㅈ몸조" hidden="1">{#N/A,#N/A,FALSE,"단축1";#N/A,#N/A,FALSE,"단축2";#N/A,#N/A,FALSE,"단축3";#N/A,#N/A,FALSE,"장축";#N/A,#N/A,FALSE,"4WD"}</definedName>
    <definedName name="ㅗ모ㅓㄴㅁ" hidden="1">{#N/A,#N/A,FALSE,"정공"}</definedName>
    <definedName name="ㅗㅅ교ㅗ교ㅜㅜ" hidden="1">{#N/A,#N/A,FALSE,"KMC최종회의(7월) 자료"}</definedName>
    <definedName name="ㅗ소5ㅛㅗㅛ5" hidden="1">{#N/A,#N/A,FALSE,"KMC최종회의(7월) 자료"}</definedName>
    <definedName name="ㅗㅎ" hidden="1">{#N/A,#N/A,TRUE,"Y생산";#N/A,#N/A,TRUE,"Y판매";#N/A,#N/A,TRUE,"Y총물량";#N/A,#N/A,TRUE,"Y능력";#N/A,#N/A,TRUE,"YKD"}</definedName>
    <definedName name="ㅗㅎㅓ" hidden="1">{#N/A,#N/A,FALSE,"단축1";#N/A,#N/A,FALSE,"단축2";#N/A,#N/A,FALSE,"단축3";#N/A,#N/A,FALSE,"장축";#N/A,#N/A,FALSE,"4WD"}</definedName>
    <definedName name="ㅗ흐ㅡㅊ" hidden="1">{#N/A,#N/A,FALSE,"KMC최종회의(7월) 자료"}</definedName>
    <definedName name="ㅗㅓ올\" hidden="1">{#N/A,#N/A,FALSE,"단축1";#N/A,#N/A,FALSE,"단축2";#N/A,#N/A,FALSE,"단축3";#N/A,#N/A,FALSE,"장축";#N/A,#N/A,FALSE,"4WD"}</definedName>
    <definedName name="ㅗㅓ퐆처" hidden="1">{#N/A,#N/A,FALSE,"KMC최종회의(7월) 자료"}</definedName>
    <definedName name="ㅗㅓㅏ" hidden="1">#REF!</definedName>
    <definedName name="ㅗㅓㅏㅣ" hidden="1">{#N/A,#N/A,FALSE,"단축1";#N/A,#N/A,FALSE,"단축2";#N/A,#N/A,FALSE,"단축3";#N/A,#N/A,FALSE,"장축";#N/A,#N/A,FALSE,"4WD"}</definedName>
    <definedName name="ㅗㅓㅓㅛ호호ㅛ" hidden="1">{#N/A,#N/A,FALSE,"단축1";#N/A,#N/A,FALSE,"단축2";#N/A,#N/A,FALSE,"단축3";#N/A,#N/A,FALSE,"장축";#N/A,#N/A,FALSE,"4WD"}</definedName>
    <definedName name="ㅗㅓㅜ" hidden="1">{#N/A,#N/A,FALSE,"단축1";#N/A,#N/A,FALSE,"단축2";#N/A,#N/A,FALSE,"단축3";#N/A,#N/A,FALSE,"장축";#N/A,#N/A,FALSE,"4WD"}</definedName>
    <definedName name="ㅗㅓㅠㅗ" hidden="1">{#N/A,#N/A,FALSE,"KMC최종회의(7월) 자료"}</definedName>
    <definedName name="ㅗㅓㅣ" hidden="1">{#N/A,#N/A,TRUE,"Y생산";#N/A,#N/A,TRUE,"Y판매";#N/A,#N/A,TRUE,"Y총물량";#N/A,#N/A,TRUE,"Y능력";#N/A,#N/A,TRUE,"YKD"}</definedName>
    <definedName name="ㅗㅗ" hidden="1">{#N/A,#N/A,FALSE,"단축1";#N/A,#N/A,FALSE,"단축2";#N/A,#N/A,FALSE,"단축3";#N/A,#N/A,FALSE,"장축";#N/A,#N/A,FALSE,"4WD"}</definedName>
    <definedName name="ㅗㅗ5ㅗㅛㅅㄱ" hidden="1">{#N/A,#N/A,FALSE,"KMC최종회의(7월) 자료"}</definedName>
    <definedName name="ㅗㅗㅗㅗㅗ" hidden="1">{#N/A,#N/A,FALSE,"단축1";#N/A,#N/A,FALSE,"단축2";#N/A,#N/A,FALSE,"단축3";#N/A,#N/A,FALSE,"장축";#N/A,#N/A,FALSE,"4WD"}</definedName>
    <definedName name="ㅗㅛㅕㅓㅕㅓㅏㅕㅓ" hidden="1">{#N/A,#N/A,FALSE,"KMC최종회의(7월) 자료"}</definedName>
    <definedName name="ㅗㅛㅛㅗ" hidden="1">{#N/A,#N/A,FALSE,"KMC최종회의(7월) 자료"}</definedName>
    <definedName name="ㅗㅛㅛㅛ숏" hidden="1">{#N/A,#N/A,FALSE,"KMC최종회의(7월) 자료"}</definedName>
    <definedName name="ㅗㅜㅜㅎㅎㅇ" hidden="1">{#N/A,#N/A,FALSE,"KMC최종회의(7월) 자료"}</definedName>
    <definedName name="ㅗㅠㄴㄿ" hidden="1">{#N/A,#N/A,FALSE,"KMC최종회의(7월) 자료"}</definedName>
    <definedName name="ㅗㅡ흐ㅠㅜㅠㅡㅜ" hidden="1">{#N/A,#N/A,FALSE,"KMC최종회의(7월) 자료"}</definedName>
    <definedName name="ㅛ" hidden="1">{#N/A,#N/A,FALSE,"단축1";#N/A,#N/A,FALSE,"단축2";#N/A,#N/A,FALSE,"단축3";#N/A,#N/A,FALSE,"장축";#N/A,#N/A,FALSE,"4WD"}</definedName>
    <definedName name="ㅛㅅ" hidden="1">{#N/A,#N/A,TRUE,"Y생산";#N/A,#N/A,TRUE,"Y판매";#N/A,#N/A,TRUE,"Y총물량";#N/A,#N/A,TRUE,"Y능력";#N/A,#N/A,TRUE,"YKD"}</definedName>
    <definedName name="ㅛㅅㄱㄷㅈ"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호ㅓ" hidden="1">{#N/A,#N/A,FALSE,"KMC최종회의(7월) 자료"}</definedName>
    <definedName name="ㅛㅕ셔" hidden="1">{#N/A,#N/A,FALSE,"단축1";#N/A,#N/A,FALSE,"단축2";#N/A,#N/A,FALSE,"단축3";#N/A,#N/A,FALSE,"장축";#N/A,#N/A,FALSE,"4WD"}</definedName>
    <definedName name="ㅛㅕㅏ" hidden="1">{#N/A,#N/A,TRUE,"Y생산";#N/A,#N/A,TRUE,"Y판매";#N/A,#N/A,TRUE,"Y총물량";#N/A,#N/A,TRUE,"Y능력";#N/A,#N/A,TRUE,"YKD"}</definedName>
    <definedName name="ㅛㅕㅓㅏㅛ" hidden="1">{#N/A,#N/A,FALSE,"KMC최종회의(7월) 자료"}</definedName>
    <definedName name="ㅛㅕㅓㅡㅛㅕㅏㅓㅛㅕㅏㅡㅡ" hidden="1">{#N/A,#N/A,FALSE,"KMC최종회의(7월) 자료"}</definedName>
    <definedName name="ㅛㅗ" hidden="1">{#N/A,#N/A,FALSE,"KMC최종회의(7월) 자료"}</definedName>
    <definedName name="ㅛㅗㅓ" hidden="1">{#N/A,#N/A,FALSE,"KMC최종회의(7월) 자료"}</definedName>
    <definedName name="ㅛㅛ" hidden="1">{#N/A,#N/A,FALSE,"단축1";#N/A,#N/A,FALSE,"단축2";#N/A,#N/A,FALSE,"단축3";#N/A,#N/A,FALSE,"장축";#N/A,#N/A,FALSE,"4WD"}</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ㅛㅛㅜㅜ" hidden="1">{#N/A,#N/A,FALSE,"KMC최종회의(7월) 자료"}</definedName>
    <definedName name="ㅛㅛㅡ" hidden="1">{#N/A,#N/A,FALSE,"KMC최종회의(7월) 자료"}</definedName>
    <definedName name="ㅛㅜㅛㅠㅜㅠㅜㅠ" hidden="1">{#N/A,#N/A,FALSE,"KMC최종회의(7월) 자료"}</definedName>
    <definedName name="ㅜ" hidden="1">{#N/A,#N/A,FALSE,"KMC최종회의(7월) 자료"}</definedName>
    <definedName name="ㅜㅗ추ㅡㅡ" hidden="1">{#N/A,#N/A,FALSE,"KMC최종회의(7월) 자료"}</definedName>
    <definedName name="ㅜㅛㅛㅜㅛㅛ" hidden="1">{#N/A,#N/A,FALSE,"KMC최종회의(7월) 자료"}</definedName>
    <definedName name="ㅜㅜ수수ㅜ" hidden="1">{#N/A,#N/A,FALSE,"KMC최종회의(7월) 자료"}</definedName>
    <definedName name="ㅜㅜㅜ" hidden="1">{#N/A,#N/A,FALSE,"단축1";#N/A,#N/A,FALSE,"단축2";#N/A,#N/A,FALSE,"단축3";#N/A,#N/A,FALSE,"장축";#N/A,#N/A,FALSE,"4WD"}</definedName>
    <definedName name="ㅜㅜㅜㅠ소ㅜ" hidden="1">{#N/A,#N/A,FALSE,"KMC최종회의(7월) 자료"}</definedName>
    <definedName name="ㅜㅡㅓㅗㅎ" hidden="1">{#N/A,#N/A,FALSE,"신규dep";#N/A,#N/A,FALSE,"신규dep-금형상각후";#N/A,#N/A,FALSE,"신규dep-연구비상각후";#N/A,#N/A,FALSE,"신규dep-기계,공구상각후"}</definedName>
    <definedName name="ㅜㅡㅡㅓ허" hidden="1">{#N/A,#N/A,FALSE,"KMC최종회의(7월) 자료"}</definedName>
    <definedName name="ㅝ로ㅓㄹ" hidden="1">{#N/A,#N/A,FALSE,"단축1";#N/A,#N/A,FALSE,"단축2";#N/A,#N/A,FALSE,"단축3";#N/A,#N/A,FALSE,"장축";#N/A,#N/A,FALSE,"4WD"}</definedName>
    <definedName name="ㅠ" hidden="1">{#N/A,#N/A,FALSE,"단축1";#N/A,#N/A,FALSE,"단축2";#N/A,#N/A,FALSE,"단축3";#N/A,#N/A,FALSE,"장축";#N/A,#N/A,FALSE,"4WD"}</definedName>
    <definedName name="ㅠㄹ" hidden="1">{#N/A,#N/A,FALSE,"단축1";#N/A,#N/A,FALSE,"단축2";#N/A,#N/A,FALSE,"단축3";#N/A,#N/A,FALSE,"장축";#N/A,#N/A,FALSE,"4WD"}</definedName>
    <definedName name="ㅠㄹㅇㅇ류윤ㄹ" hidden="1">{#N/A,#N/A,FALSE,"KMC최종회의(7월) 자료"}</definedName>
    <definedName name="ㅠ류유류" hidden="1">{#N/A,#N/A,FALSE,"KMC최종회의(7월) 자료"}</definedName>
    <definedName name="ㅠㅇㄹㅇ류" hidden="1">{#N/A,#N/A,FALSE,"KMC최종회의(7월) 자료"}</definedName>
    <definedName name="ㅠㅇ루ㅗㅀ" hidden="1">{#N/A,#N/A,FALSE,"KMC최종회의(7월) 자료"}</definedName>
    <definedName name="ㅠ윻루" hidden="1">{#N/A,#N/A,FALSE,"KMC최종회의(7월) 자료"}</definedName>
    <definedName name="ㅠㅋ" hidden="1">{#VALUE!,#N/A,FALSE,0}</definedName>
    <definedName name="ㅠㅍㅇㅌㄹ" hidden="1">{#N/A,#N/A,FALSE,"단축1";#N/A,#N/A,FALSE,"단축2";#N/A,#N/A,FALSE,"단축3";#N/A,#N/A,FALSE,"장축";#N/A,#N/A,FALSE,"4WD"}</definedName>
    <definedName name="ㅠㅓㅣㅏ" hidden="1">{#N/A,#N/A,FALSE,"단축1";#N/A,#N/A,FALSE,"단축2";#N/A,#N/A,FALSE,"단축3";#N/A,#N/A,FALSE,"장축";#N/A,#N/A,FALSE,"4WD"}</definedName>
    <definedName name="ㅠㅗ규ㅠ" hidden="1">{#N/A,#N/A,FALSE,"KMC최종회의(7월) 자료"}</definedName>
    <definedName name="ㅠㅗㅜ" hidden="1">{#N/A,#N/A,FALSE,"KMC최종회의(7월) 자료"}</definedName>
    <definedName name="ㅠㅗㅠㅍㅇ류" hidden="1">{#N/A,#N/A,FALSE,"KMC최종회의(7월) 자료"}</definedName>
    <definedName name="ㅠㅜㅊ" hidden="1">{#N/A,#N/A,FALSE,"단축1";#N/A,#N/A,FALSE,"단축2";#N/A,#N/A,FALSE,"단축3";#N/A,#N/A,FALSE,"장축";#N/A,#N/A,FALSE,"4WD"}</definedName>
    <definedName name="ㅠㅠ" hidden="1">{"'Sheet1'!$A$211:$M$235"}</definedName>
    <definedName name="ㅠㅠ유ㅜ" hidden="1">{#N/A,#N/A,FALSE,"KMC최종회의(7월) 자료"}</definedName>
    <definedName name="ㅡ호흐ㅗㅊ트ㅗ호" hidden="1">{#N/A,#N/A,FALSE,"KMC최종회의(7월) 자료"}</definedName>
    <definedName name="ㅡㅗ호흐ㅡ호ㅗ" hidden="1">{#N/A,#N/A,FALSE,"KMC최종회의(7월) 자료"}</definedName>
    <definedName name="ㅡㅡ" hidden="1">{#N/A,#N/A,FALSE,"단축1";#N/A,#N/A,FALSE,"단축2";#N/A,#N/A,FALSE,"단축3";#N/A,#N/A,FALSE,"장축";#N/A,#N/A,FALSE,"4WD"}</definedName>
    <definedName name="ㅡㅡㅡㅡㅜㅡ츄ㅡㅡ" hidden="1">{#N/A,#N/A,FALSE,"KMC최종회의(7월) 자료"}</definedName>
    <definedName name="ㅣ" hidden="1">{#N/A,#N/A,FALSE,"정공"}</definedName>
    <definedName name="ㅣㅏ" hidden="1">{#N/A,#N/A,FALSE,"단축1";#N/A,#N/A,FALSE,"단축2";#N/A,#N/A,FALSE,"단축3";#N/A,#N/A,FALSE,"장축";#N/A,#N/A,FALSE,"4WD"}</definedName>
    <definedName name="ㅣㅏㅏㅐ" hidden="1">{#N/A,#N/A,FALSE,"유첨5-1";#N/A,#N/A,FALSE,"5-2";#N/A,#N/A,FALSE,"5-3";#N/A,#N/A,FALSE,"5-4";#N/A,#N/A,FALSE,"5-5";#N/A,#N/A,FALSE,"5-6";#N/A,#N/A,FALSE,"5-7";#N/A,#N/A,FALSE,"5-8"}</definedName>
    <definedName name="ㅣㅏㅓ일ㄴ어" hidden="1">{#N/A,#N/A,FALSE,"Status";#N/A,#N/A,FALSE,"Deckblatt 1";#N/A,#N/A,FALSE,"Deckblatt2"}</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ㅏㅣㅓㅊ홓ㄾ" hidden="1">{#N/A,#N/A,TRUE,"Y생산";#N/A,#N/A,TRUE,"Y판매";#N/A,#N/A,TRUE,"Y총물량";#N/A,#N/A,TRUE,"Y능력";#N/A,#N/A,TRUE,"YKD"}</definedName>
    <definedName name="ㅣㅐ88ㅐㅕ" hidden="1">{#N/A,#N/A,FALSE,"KMC최종회의(7월) 자료"}</definedName>
    <definedName name="ㅣㅑㅓㅔ" hidden="1">#REF!</definedName>
    <definedName name="ㅣㅗㅓㄴ" hidden="1">{#N/A,#N/A,TRUE,"Y생산";#N/A,#N/A,TRUE,"Y판매";#N/A,#N/A,TRUE,"Y총물량";#N/A,#N/A,TRUE,"Y능력";#N/A,#N/A,TRUE,"YKD"}</definedName>
    <definedName name="ㅣㅣ" hidden="1">{#N/A,#N/A,FALSE,"단축1";#N/A,#N/A,FALSE,"단축2";#N/A,#N/A,FALSE,"단축3";#N/A,#N/A,FALSE,"장축";#N/A,#N/A,FALSE,"4WD"}</definedName>
    <definedName name="ㅣㅣㅣ" hidden="1">{"'7'!$B$15:$D$32"}</definedName>
    <definedName name="比例費" hidden="1">255</definedName>
    <definedName name="英" hidden="1">{#N/A,#N/A,TRUE,"RIDE";#N/A,#N/A,TRUE,"STEERING";#N/A,#N/A,TRUE,"HANDLING";#N/A,#N/A,TRUE,"BRAKING"}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A127" i="1" l="1"/>
  <c r="NB127" i="1" s="1"/>
  <c r="MY127" i="1"/>
  <c r="MZ127" i="1" s="1"/>
  <c r="MW127" i="1"/>
  <c r="MX127" i="1" s="1"/>
  <c r="MU127" i="1"/>
  <c r="MV127" i="1" s="1"/>
  <c r="MS127" i="1"/>
  <c r="MT127" i="1" s="1"/>
  <c r="MQ127" i="1"/>
  <c r="MR127" i="1" s="1"/>
  <c r="MO127" i="1"/>
  <c r="MP127" i="1" s="1"/>
  <c r="MA127" i="1"/>
  <c r="ML127" i="1" s="1"/>
  <c r="NE127" i="1" s="1"/>
  <c r="NF127" i="1" s="1"/>
  <c r="LZ127" i="1"/>
  <c r="MK127" i="1" s="1"/>
  <c r="LE127" i="1"/>
  <c r="LC127" i="1"/>
  <c r="LA127" i="1"/>
  <c r="KY127" i="1"/>
  <c r="KW127" i="1"/>
  <c r="KU127" i="1"/>
  <c r="KS127" i="1"/>
  <c r="DO127" i="1"/>
  <c r="H127" i="1"/>
  <c r="DT126" i="1"/>
  <c r="DS126" i="1"/>
  <c r="DQ126" i="1"/>
  <c r="DP126" i="1"/>
  <c r="DO126" i="1"/>
  <c r="DN126" i="1"/>
  <c r="H126" i="1"/>
  <c r="DT125" i="1"/>
  <c r="DS125" i="1"/>
  <c r="DQ125" i="1"/>
  <c r="DO125" i="1" s="1"/>
  <c r="DP125" i="1"/>
  <c r="DN125" i="1"/>
  <c r="H125" i="1"/>
  <c r="DT124" i="1"/>
  <c r="DS124" i="1"/>
  <c r="DQ124" i="1"/>
  <c r="DP124" i="1"/>
  <c r="DO124" i="1"/>
  <c r="DN124" i="1"/>
  <c r="H124" i="1"/>
  <c r="DT123" i="1"/>
  <c r="DO123" i="1" s="1"/>
  <c r="DS123" i="1"/>
  <c r="DQ123" i="1"/>
  <c r="DP123" i="1"/>
  <c r="DN123" i="1"/>
  <c r="H123" i="1"/>
  <c r="DT122" i="1"/>
  <c r="DS122" i="1"/>
  <c r="DQ122" i="1"/>
  <c r="DO122" i="1" s="1"/>
  <c r="DP122" i="1"/>
  <c r="H122" i="1"/>
  <c r="DT121" i="1"/>
  <c r="DS121" i="1"/>
  <c r="DQ121" i="1"/>
  <c r="DO121" i="1" s="1"/>
  <c r="DP121" i="1"/>
  <c r="DN121" i="1"/>
  <c r="H121" i="1"/>
  <c r="DT120" i="1"/>
  <c r="DS120" i="1"/>
  <c r="DQ120" i="1"/>
  <c r="DP120" i="1"/>
  <c r="DN120" i="1" s="1"/>
  <c r="H120" i="1"/>
  <c r="DT119" i="1"/>
  <c r="DS119" i="1"/>
  <c r="DQ119" i="1"/>
  <c r="DP119" i="1"/>
  <c r="DO119" i="1" s="1"/>
  <c r="H119" i="1"/>
  <c r="DT118" i="1"/>
  <c r="DS118" i="1"/>
  <c r="DQ118" i="1"/>
  <c r="DP118" i="1"/>
  <c r="DO118" i="1" s="1"/>
  <c r="H118" i="1"/>
  <c r="DT117" i="1"/>
  <c r="DS117" i="1"/>
  <c r="DQ117" i="1"/>
  <c r="DP117" i="1"/>
  <c r="DO117" i="1" s="1"/>
  <c r="H117" i="1"/>
  <c r="DT116" i="1"/>
  <c r="DS116" i="1"/>
  <c r="DQ116" i="1"/>
  <c r="DO116" i="1" s="1"/>
  <c r="DP116" i="1"/>
  <c r="DN116" i="1" s="1"/>
  <c r="H116" i="1"/>
  <c r="DT115" i="1"/>
  <c r="DS115" i="1"/>
  <c r="DN115" i="1" s="1"/>
  <c r="DQ115" i="1"/>
  <c r="DP115" i="1"/>
  <c r="DO115" i="1" s="1"/>
  <c r="H115" i="1"/>
  <c r="DT114" i="1"/>
  <c r="DS114" i="1"/>
  <c r="DQ114" i="1"/>
  <c r="DP114" i="1"/>
  <c r="DO114" i="1"/>
  <c r="DN114" i="1"/>
  <c r="H114" i="1"/>
  <c r="DT113" i="1"/>
  <c r="DS113" i="1"/>
  <c r="DQ113" i="1"/>
  <c r="DP113" i="1"/>
  <c r="DO113" i="1" s="1"/>
  <c r="H113" i="1"/>
  <c r="DT112" i="1"/>
  <c r="DS112" i="1"/>
  <c r="DQ112" i="1"/>
  <c r="DP112" i="1"/>
  <c r="DO112" i="1" s="1"/>
  <c r="H112" i="1"/>
  <c r="DT111" i="1"/>
  <c r="DS111" i="1"/>
  <c r="DN111" i="1" s="1"/>
  <c r="DQ111" i="1"/>
  <c r="DP111" i="1"/>
  <c r="DO111" i="1" s="1"/>
  <c r="H111" i="1"/>
  <c r="DT110" i="1"/>
  <c r="DS110" i="1"/>
  <c r="DQ110" i="1"/>
  <c r="DP110" i="1"/>
  <c r="DO110" i="1" s="1"/>
  <c r="H110" i="1"/>
  <c r="DT109" i="1"/>
  <c r="DS109" i="1"/>
  <c r="DQ109" i="1"/>
  <c r="DP109" i="1"/>
  <c r="DO109" i="1" s="1"/>
  <c r="H109" i="1"/>
  <c r="DT108" i="1"/>
  <c r="DN108" i="1" s="1"/>
  <c r="DS108" i="1"/>
  <c r="DO108" i="1" s="1"/>
  <c r="DQ108" i="1"/>
  <c r="DP108" i="1"/>
  <c r="H108" i="1"/>
  <c r="DT107" i="1"/>
  <c r="DS107" i="1"/>
  <c r="DQ107" i="1"/>
  <c r="DP107" i="1"/>
  <c r="DO107" i="1" s="1"/>
  <c r="H107" i="1"/>
  <c r="DT106" i="1"/>
  <c r="DS106" i="1"/>
  <c r="DQ106" i="1"/>
  <c r="DP106" i="1"/>
  <c r="DO106" i="1" s="1"/>
  <c r="H106" i="1"/>
  <c r="DT105" i="1"/>
  <c r="DS105" i="1"/>
  <c r="DQ105" i="1"/>
  <c r="DP105" i="1"/>
  <c r="DO105" i="1" s="1"/>
  <c r="DN105" i="1"/>
  <c r="H105" i="1"/>
  <c r="DT104" i="1"/>
  <c r="DS104" i="1"/>
  <c r="DQ104" i="1"/>
  <c r="DO104" i="1" s="1"/>
  <c r="DP104" i="1"/>
  <c r="DN104" i="1" s="1"/>
  <c r="H104" i="1"/>
  <c r="DT103" i="1"/>
  <c r="DS103" i="1"/>
  <c r="DQ103" i="1"/>
  <c r="DO103" i="1" s="1"/>
  <c r="DP103" i="1"/>
  <c r="H103" i="1"/>
  <c r="DT102" i="1"/>
  <c r="DS102" i="1"/>
  <c r="DQ102" i="1"/>
  <c r="DO102" i="1" s="1"/>
  <c r="DP102" i="1"/>
  <c r="DN102" i="1" s="1"/>
  <c r="H102" i="1"/>
  <c r="DT101" i="1"/>
  <c r="DS101" i="1"/>
  <c r="DQ101" i="1"/>
  <c r="DP101" i="1"/>
  <c r="DN101" i="1" s="1"/>
  <c r="DO101" i="1"/>
  <c r="H101" i="1"/>
  <c r="DT100" i="1"/>
  <c r="DS100" i="1"/>
  <c r="DQ100" i="1"/>
  <c r="DO100" i="1" s="1"/>
  <c r="DP100" i="1"/>
  <c r="H100" i="1"/>
  <c r="DT99" i="1"/>
  <c r="DS99" i="1"/>
  <c r="DQ99" i="1"/>
  <c r="DN99" i="1" s="1"/>
  <c r="DP99" i="1"/>
  <c r="DO99" i="1" s="1"/>
  <c r="H99" i="1"/>
  <c r="DT98" i="1"/>
  <c r="DS98" i="1"/>
  <c r="DQ98" i="1"/>
  <c r="DN98" i="1" s="1"/>
  <c r="DP98" i="1"/>
  <c r="DO98" i="1"/>
  <c r="H98" i="1"/>
  <c r="DT97" i="1"/>
  <c r="DS97" i="1"/>
  <c r="DQ97" i="1"/>
  <c r="DP97" i="1"/>
  <c r="DO97" i="1" s="1"/>
  <c r="H97" i="1"/>
  <c r="DT96" i="1"/>
  <c r="DS96" i="1"/>
  <c r="DQ96" i="1"/>
  <c r="DP96" i="1"/>
  <c r="DO96" i="1" s="1"/>
  <c r="H96" i="1"/>
  <c r="DT95" i="1"/>
  <c r="DS95" i="1"/>
  <c r="DQ95" i="1"/>
  <c r="DP95" i="1"/>
  <c r="DO95" i="1" s="1"/>
  <c r="H95" i="1"/>
  <c r="DT94" i="1"/>
  <c r="DS94" i="1"/>
  <c r="DQ94" i="1"/>
  <c r="DP94" i="1"/>
  <c r="DO94" i="1" s="1"/>
  <c r="H94" i="1"/>
  <c r="DT93" i="1"/>
  <c r="DS93" i="1"/>
  <c r="DQ93" i="1"/>
  <c r="DP93" i="1"/>
  <c r="DO93" i="1" s="1"/>
  <c r="H93" i="1"/>
  <c r="DT92" i="1"/>
  <c r="DN92" i="1" s="1"/>
  <c r="DS92" i="1"/>
  <c r="DO92" i="1" s="1"/>
  <c r="DQ92" i="1"/>
  <c r="DP92" i="1"/>
  <c r="H92" i="1"/>
  <c r="DT91" i="1"/>
  <c r="DS91" i="1"/>
  <c r="DQ91" i="1"/>
  <c r="DP91" i="1"/>
  <c r="DO91" i="1" s="1"/>
  <c r="H91" i="1"/>
  <c r="DT90" i="1"/>
  <c r="DS90" i="1"/>
  <c r="DQ90" i="1"/>
  <c r="DP90" i="1"/>
  <c r="DO90" i="1" s="1"/>
  <c r="H90" i="1"/>
  <c r="DT89" i="1"/>
  <c r="DS89" i="1"/>
  <c r="DQ89" i="1"/>
  <c r="DP89" i="1"/>
  <c r="DO89" i="1" s="1"/>
  <c r="DN89" i="1"/>
  <c r="H89" i="1"/>
  <c r="DT88" i="1"/>
  <c r="DS88" i="1"/>
  <c r="DQ88" i="1"/>
  <c r="DO88" i="1" s="1"/>
  <c r="DP88" i="1"/>
  <c r="DN88" i="1" s="1"/>
  <c r="H88" i="1"/>
  <c r="DT87" i="1"/>
  <c r="DS87" i="1"/>
  <c r="DQ87" i="1"/>
  <c r="DO87" i="1" s="1"/>
  <c r="DP87" i="1"/>
  <c r="H87" i="1"/>
  <c r="DT86" i="1"/>
  <c r="DS86" i="1"/>
  <c r="DQ86" i="1"/>
  <c r="DO86" i="1" s="1"/>
  <c r="DP86" i="1"/>
  <c r="DN86" i="1" s="1"/>
  <c r="H86" i="1"/>
  <c r="DT85" i="1"/>
  <c r="DS85" i="1"/>
  <c r="DQ85" i="1"/>
  <c r="DP85" i="1"/>
  <c r="DN85" i="1" s="1"/>
  <c r="DO85" i="1"/>
  <c r="H85" i="1"/>
  <c r="DT84" i="1"/>
  <c r="DS84" i="1"/>
  <c r="DQ84" i="1"/>
  <c r="DO84" i="1" s="1"/>
  <c r="DP84" i="1"/>
  <c r="H84" i="1"/>
  <c r="DT83" i="1"/>
  <c r="DS83" i="1"/>
  <c r="DQ83" i="1"/>
  <c r="DN83" i="1" s="1"/>
  <c r="DP83" i="1"/>
  <c r="DO83" i="1" s="1"/>
  <c r="H83" i="1"/>
  <c r="DT82" i="1"/>
  <c r="DS82" i="1"/>
  <c r="DQ82" i="1"/>
  <c r="DN82" i="1" s="1"/>
  <c r="DP82" i="1"/>
  <c r="DO82" i="1"/>
  <c r="H82" i="1"/>
  <c r="DT81" i="1"/>
  <c r="DS81" i="1"/>
  <c r="DQ81" i="1"/>
  <c r="DP81" i="1"/>
  <c r="DO81" i="1" s="1"/>
  <c r="H81" i="1"/>
  <c r="DT80" i="1"/>
  <c r="DS80" i="1"/>
  <c r="DQ80" i="1"/>
  <c r="DP80" i="1"/>
  <c r="DO80" i="1" s="1"/>
  <c r="H80" i="1"/>
  <c r="DT79" i="1"/>
  <c r="DS79" i="1"/>
  <c r="DQ79" i="1"/>
  <c r="DP79" i="1"/>
  <c r="DO79" i="1" s="1"/>
  <c r="H79" i="1"/>
  <c r="DT78" i="1"/>
  <c r="DS78" i="1"/>
  <c r="DQ78" i="1"/>
  <c r="DP78" i="1"/>
  <c r="DO78" i="1" s="1"/>
  <c r="H78" i="1"/>
  <c r="DT77" i="1"/>
  <c r="DS77" i="1"/>
  <c r="DQ77" i="1"/>
  <c r="DP77" i="1"/>
  <c r="DO77" i="1" s="1"/>
  <c r="H77" i="1"/>
  <c r="DT76" i="1"/>
  <c r="DS76" i="1"/>
  <c r="DQ76" i="1"/>
  <c r="DP76" i="1"/>
  <c r="DO76" i="1" s="1"/>
  <c r="DN76" i="1"/>
  <c r="H76" i="1"/>
  <c r="DT75" i="1"/>
  <c r="DS75" i="1"/>
  <c r="DQ75" i="1"/>
  <c r="DP75" i="1"/>
  <c r="DO75" i="1" s="1"/>
  <c r="H75" i="1"/>
  <c r="DT74" i="1"/>
  <c r="DS74" i="1"/>
  <c r="DQ74" i="1"/>
  <c r="DP74" i="1"/>
  <c r="DO74" i="1" s="1"/>
  <c r="H74" i="1"/>
  <c r="DT73" i="1"/>
  <c r="DS73" i="1"/>
  <c r="DQ73" i="1"/>
  <c r="DP73" i="1"/>
  <c r="DO73" i="1" s="1"/>
  <c r="DN73" i="1"/>
  <c r="H73" i="1"/>
  <c r="DT72" i="1"/>
  <c r="DS72" i="1"/>
  <c r="DQ72" i="1"/>
  <c r="DO72" i="1" s="1"/>
  <c r="DP72" i="1"/>
  <c r="DN72" i="1" s="1"/>
  <c r="H72" i="1"/>
  <c r="DT71" i="1"/>
  <c r="DS71" i="1"/>
  <c r="DQ71" i="1"/>
  <c r="DO71" i="1" s="1"/>
  <c r="DP71" i="1"/>
  <c r="H71" i="1"/>
  <c r="DT70" i="1"/>
  <c r="DS70" i="1"/>
  <c r="DQ70" i="1"/>
  <c r="DO70" i="1" s="1"/>
  <c r="DP70" i="1"/>
  <c r="DN70" i="1" s="1"/>
  <c r="H70" i="1"/>
  <c r="DT69" i="1"/>
  <c r="DS69" i="1"/>
  <c r="DQ69" i="1"/>
  <c r="DP69" i="1"/>
  <c r="DN69" i="1" s="1"/>
  <c r="DO69" i="1"/>
  <c r="H69" i="1"/>
  <c r="DT68" i="1"/>
  <c r="DS68" i="1"/>
  <c r="DQ68" i="1"/>
  <c r="DO68" i="1" s="1"/>
  <c r="DP68" i="1"/>
  <c r="H68" i="1"/>
  <c r="DT67" i="1"/>
  <c r="DS67" i="1"/>
  <c r="DQ67" i="1"/>
  <c r="DO67" i="1" s="1"/>
  <c r="DP67" i="1"/>
  <c r="H67" i="1"/>
  <c r="DT66" i="1"/>
  <c r="DS66" i="1"/>
  <c r="DQ66" i="1"/>
  <c r="DN66" i="1" s="1"/>
  <c r="DP66" i="1"/>
  <c r="DO66" i="1"/>
  <c r="H66" i="1"/>
  <c r="DT65" i="1"/>
  <c r="DS65" i="1"/>
  <c r="DQ65" i="1"/>
  <c r="DP65" i="1"/>
  <c r="DO65" i="1" s="1"/>
  <c r="H65" i="1"/>
  <c r="DT64" i="1"/>
  <c r="DS64" i="1"/>
  <c r="DQ64" i="1"/>
  <c r="DP64" i="1"/>
  <c r="DO64" i="1" s="1"/>
  <c r="H64" i="1"/>
  <c r="DT63" i="1"/>
  <c r="DS63" i="1"/>
  <c r="DN63" i="1" s="1"/>
  <c r="DQ63" i="1"/>
  <c r="DP63" i="1"/>
  <c r="DO63" i="1" s="1"/>
  <c r="H63" i="1"/>
  <c r="DT62" i="1"/>
  <c r="DS62" i="1"/>
  <c r="DQ62" i="1"/>
  <c r="DP62" i="1"/>
  <c r="DO62" i="1" s="1"/>
  <c r="H62" i="1"/>
  <c r="DT61" i="1"/>
  <c r="DS61" i="1"/>
  <c r="DQ61" i="1"/>
  <c r="DP61" i="1"/>
  <c r="DO61" i="1" s="1"/>
  <c r="H61" i="1"/>
  <c r="DT60" i="1"/>
  <c r="DS60" i="1"/>
  <c r="DQ60" i="1"/>
  <c r="DP60" i="1"/>
  <c r="DO60" i="1" s="1"/>
  <c r="DN60" i="1"/>
  <c r="H60" i="1"/>
  <c r="DT59" i="1"/>
  <c r="DS59" i="1"/>
  <c r="DQ59" i="1"/>
  <c r="DP59" i="1"/>
  <c r="DO59" i="1" s="1"/>
  <c r="H59" i="1"/>
  <c r="DT58" i="1"/>
  <c r="DS58" i="1"/>
  <c r="DQ58" i="1"/>
  <c r="DP58" i="1"/>
  <c r="DO58" i="1" s="1"/>
  <c r="H58" i="1"/>
  <c r="DT57" i="1"/>
  <c r="DS57" i="1"/>
  <c r="DQ57" i="1"/>
  <c r="DP57" i="1"/>
  <c r="DO57" i="1" s="1"/>
  <c r="DN57" i="1"/>
  <c r="H57" i="1"/>
  <c r="DT56" i="1"/>
  <c r="DO56" i="1" s="1"/>
  <c r="DS56" i="1"/>
  <c r="DQ56" i="1"/>
  <c r="DP56" i="1"/>
  <c r="DN56" i="1" s="1"/>
  <c r="H56" i="1"/>
  <c r="DT55" i="1"/>
  <c r="DS55" i="1"/>
  <c r="DQ55" i="1"/>
  <c r="DO55" i="1" s="1"/>
  <c r="DP55" i="1"/>
  <c r="H55" i="1"/>
  <c r="DT54" i="1"/>
  <c r="DS54" i="1"/>
  <c r="DQ54" i="1"/>
  <c r="DO54" i="1" s="1"/>
  <c r="DP54" i="1"/>
  <c r="DN54" i="1" s="1"/>
  <c r="H54" i="1"/>
  <c r="DT53" i="1"/>
  <c r="DS53" i="1"/>
  <c r="DQ53" i="1"/>
  <c r="DP53" i="1"/>
  <c r="DN53" i="1" s="1"/>
  <c r="DO53" i="1"/>
  <c r="H53" i="1"/>
  <c r="DT52" i="1"/>
  <c r="DS52" i="1"/>
  <c r="DQ52" i="1"/>
  <c r="DO52" i="1" s="1"/>
  <c r="DP52" i="1"/>
  <c r="H52" i="1"/>
  <c r="DT51" i="1"/>
  <c r="DS51" i="1"/>
  <c r="DQ51" i="1"/>
  <c r="DO51" i="1" s="1"/>
  <c r="DP51" i="1"/>
  <c r="H51" i="1"/>
  <c r="DT50" i="1"/>
  <c r="DS50" i="1"/>
  <c r="DQ50" i="1"/>
  <c r="DN50" i="1" s="1"/>
  <c r="DP50" i="1"/>
  <c r="DO50" i="1"/>
  <c r="H50" i="1"/>
  <c r="DT49" i="1"/>
  <c r="DS49" i="1"/>
  <c r="DQ49" i="1"/>
  <c r="DP49" i="1"/>
  <c r="DO49" i="1" s="1"/>
  <c r="H49" i="1"/>
  <c r="DT48" i="1"/>
  <c r="DS48" i="1"/>
  <c r="DQ48" i="1"/>
  <c r="DP48" i="1"/>
  <c r="DO48" i="1" s="1"/>
  <c r="H48" i="1"/>
  <c r="DT47" i="1"/>
  <c r="DS47" i="1"/>
  <c r="DN47" i="1" s="1"/>
  <c r="DQ47" i="1"/>
  <c r="DP47" i="1"/>
  <c r="DO47" i="1" s="1"/>
  <c r="H47" i="1"/>
  <c r="DT46" i="1"/>
  <c r="DS46" i="1"/>
  <c r="DQ46" i="1"/>
  <c r="DP46" i="1"/>
  <c r="DO46" i="1" s="1"/>
  <c r="H46" i="1"/>
  <c r="DT45" i="1"/>
  <c r="DS45" i="1"/>
  <c r="DQ45" i="1"/>
  <c r="DP45" i="1"/>
  <c r="DO45" i="1" s="1"/>
  <c r="H45" i="1"/>
  <c r="DO44" i="1"/>
  <c r="DN44" i="1"/>
  <c r="H44" i="1"/>
  <c r="DO43" i="1"/>
  <c r="DN43" i="1"/>
  <c r="H43" i="1"/>
  <c r="DO42" i="1"/>
  <c r="DN42" i="1"/>
  <c r="H42" i="1"/>
  <c r="DO41" i="1"/>
  <c r="DN41" i="1"/>
  <c r="H41" i="1"/>
  <c r="DO40" i="1"/>
  <c r="DN40" i="1"/>
  <c r="H40" i="1"/>
  <c r="DO39" i="1"/>
  <c r="DN39" i="1"/>
  <c r="H39" i="1"/>
  <c r="DO38" i="1"/>
  <c r="DN38" i="1"/>
  <c r="H38" i="1"/>
  <c r="DO37" i="1"/>
  <c r="DN37" i="1"/>
  <c r="H37" i="1"/>
  <c r="DO36" i="1"/>
  <c r="DN36" i="1"/>
  <c r="H36" i="1"/>
  <c r="DO35" i="1"/>
  <c r="DN35" i="1"/>
  <c r="H35" i="1"/>
  <c r="DO34" i="1"/>
  <c r="DN34" i="1"/>
  <c r="H34" i="1"/>
  <c r="DO33" i="1"/>
  <c r="DN33" i="1"/>
  <c r="H33" i="1"/>
  <c r="DO32" i="1"/>
  <c r="DN32" i="1"/>
  <c r="H32" i="1"/>
  <c r="DO31" i="1"/>
  <c r="DN31" i="1"/>
  <c r="H31" i="1"/>
  <c r="DO30" i="1"/>
  <c r="DN30" i="1"/>
  <c r="H30" i="1"/>
  <c r="DO29" i="1"/>
  <c r="DN29" i="1"/>
  <c r="H29" i="1"/>
  <c r="DO28" i="1"/>
  <c r="DN28" i="1"/>
  <c r="H28" i="1"/>
  <c r="DO27" i="1"/>
  <c r="DN27" i="1"/>
  <c r="H27" i="1"/>
  <c r="DO26" i="1"/>
  <c r="DN26" i="1"/>
  <c r="H26" i="1"/>
  <c r="DO25" i="1"/>
  <c r="DN25" i="1"/>
  <c r="H25" i="1"/>
  <c r="DO24" i="1"/>
  <c r="DN24" i="1"/>
  <c r="H24" i="1"/>
  <c r="DO23" i="1"/>
  <c r="DN23" i="1"/>
  <c r="H23" i="1"/>
  <c r="DO22" i="1"/>
  <c r="DN22" i="1"/>
  <c r="H22" i="1"/>
  <c r="DO21" i="1"/>
  <c r="DN21" i="1"/>
  <c r="H21" i="1"/>
  <c r="DO20" i="1"/>
  <c r="DN20" i="1"/>
  <c r="H20" i="1"/>
  <c r="DO19" i="1"/>
  <c r="DN19" i="1"/>
  <c r="H19" i="1"/>
  <c r="DO18" i="1"/>
  <c r="DN18" i="1"/>
  <c r="H18" i="1"/>
  <c r="DO17" i="1"/>
  <c r="DN17" i="1"/>
  <c r="H17" i="1"/>
  <c r="MC16" i="1"/>
  <c r="JS16" i="1"/>
  <c r="JR16" i="1"/>
  <c r="JQ16" i="1"/>
  <c r="JP16" i="1"/>
  <c r="JO16" i="1"/>
  <c r="JN16" i="1"/>
  <c r="JM16" i="1"/>
  <c r="JL16" i="1"/>
  <c r="JC16" i="1"/>
  <c r="JB16" i="1"/>
  <c r="JA16" i="1"/>
  <c r="IZ16" i="1"/>
  <c r="IY16" i="1"/>
  <c r="JG16" i="1" s="1"/>
  <c r="IX16" i="1"/>
  <c r="JF16" i="1" s="1"/>
  <c r="IW16" i="1"/>
  <c r="IV16" i="1"/>
  <c r="IM16" i="1"/>
  <c r="IL16" i="1"/>
  <c r="IK16" i="1"/>
  <c r="IJ16" i="1"/>
  <c r="II16" i="1"/>
  <c r="IH16" i="1"/>
  <c r="IG16" i="1"/>
  <c r="IF16" i="1"/>
  <c r="HW16" i="1"/>
  <c r="HV16" i="1"/>
  <c r="HU16" i="1"/>
  <c r="HT16" i="1"/>
  <c r="IB16" i="1" s="1"/>
  <c r="HS16" i="1"/>
  <c r="IA16" i="1" s="1"/>
  <c r="HR16" i="1"/>
  <c r="HQ16" i="1"/>
  <c r="HP16" i="1"/>
  <c r="HG16" i="1"/>
  <c r="HF16" i="1"/>
  <c r="HE16" i="1"/>
  <c r="HD16" i="1"/>
  <c r="HC16" i="1"/>
  <c r="HB16" i="1"/>
  <c r="HA16" i="1"/>
  <c r="GZ16" i="1"/>
  <c r="GX16" i="1"/>
  <c r="GW16" i="1"/>
  <c r="GV16" i="1"/>
  <c r="GU16" i="1"/>
  <c r="GT16" i="1"/>
  <c r="GS16" i="1"/>
  <c r="GR16" i="1"/>
  <c r="GQ16" i="1"/>
  <c r="GP16" i="1"/>
  <c r="GO16" i="1"/>
  <c r="GN16" i="1"/>
  <c r="GM16" i="1"/>
  <c r="GL16" i="1"/>
  <c r="GK16" i="1"/>
  <c r="GJ16" i="1"/>
  <c r="GA16" i="1"/>
  <c r="FZ16" i="1"/>
  <c r="FY16" i="1"/>
  <c r="FX16" i="1"/>
  <c r="FW16" i="1"/>
  <c r="FV16" i="1"/>
  <c r="FU16" i="1"/>
  <c r="FT16" i="1"/>
  <c r="FK16" i="1"/>
  <c r="FJ16" i="1"/>
  <c r="FI16" i="1"/>
  <c r="FH16" i="1"/>
  <c r="FG16" i="1"/>
  <c r="FF16" i="1"/>
  <c r="FE16" i="1"/>
  <c r="FD16" i="1"/>
  <c r="EU16" i="1"/>
  <c r="ET16" i="1"/>
  <c r="ES16" i="1"/>
  <c r="ER16" i="1"/>
  <c r="EQ16" i="1"/>
  <c r="EP16" i="1"/>
  <c r="EO16" i="1"/>
  <c r="EN16" i="1"/>
  <c r="DO16" i="1"/>
  <c r="MA16" i="1" s="1"/>
  <c r="DN16" i="1"/>
  <c r="DM16" i="1"/>
  <c r="N16" i="1"/>
  <c r="H16" i="1"/>
  <c r="MC15" i="1"/>
  <c r="JS15" i="1"/>
  <c r="JR15" i="1"/>
  <c r="JQ15" i="1"/>
  <c r="JP15" i="1"/>
  <c r="JO15" i="1"/>
  <c r="JN15" i="1"/>
  <c r="JM15" i="1"/>
  <c r="JL15" i="1"/>
  <c r="JC15" i="1"/>
  <c r="JB15" i="1"/>
  <c r="JA15" i="1"/>
  <c r="IZ15" i="1"/>
  <c r="IY15" i="1"/>
  <c r="IX15" i="1"/>
  <c r="IW15" i="1"/>
  <c r="IV15" i="1"/>
  <c r="IM15" i="1"/>
  <c r="IL15" i="1"/>
  <c r="IK15" i="1"/>
  <c r="IJ15" i="1"/>
  <c r="IR15" i="1" s="1"/>
  <c r="II15" i="1"/>
  <c r="IQ15" i="1" s="1"/>
  <c r="IH15" i="1"/>
  <c r="IP15" i="1" s="1"/>
  <c r="IG15" i="1"/>
  <c r="IF15" i="1"/>
  <c r="HW15" i="1"/>
  <c r="HV15" i="1"/>
  <c r="HU15" i="1"/>
  <c r="HT15" i="1"/>
  <c r="HS15" i="1"/>
  <c r="HR15" i="1"/>
  <c r="HQ15" i="1"/>
  <c r="HP15" i="1"/>
  <c r="HG15" i="1"/>
  <c r="HF15" i="1"/>
  <c r="HE15" i="1"/>
  <c r="HD15" i="1"/>
  <c r="HC15" i="1"/>
  <c r="HB15" i="1"/>
  <c r="HJ15" i="1" s="1"/>
  <c r="HA15" i="1"/>
  <c r="GZ15" i="1"/>
  <c r="GX15" i="1"/>
  <c r="GW15" i="1"/>
  <c r="GV15" i="1"/>
  <c r="GU15" i="1"/>
  <c r="GT15" i="1"/>
  <c r="GS15" i="1"/>
  <c r="GR15" i="1"/>
  <c r="GQ15" i="1"/>
  <c r="GP15" i="1"/>
  <c r="GO15" i="1"/>
  <c r="GN15" i="1"/>
  <c r="GM15" i="1"/>
  <c r="GL15" i="1"/>
  <c r="GK15" i="1"/>
  <c r="GJ15" i="1"/>
  <c r="GA15" i="1"/>
  <c r="FZ15" i="1"/>
  <c r="FY15" i="1"/>
  <c r="FX15" i="1"/>
  <c r="FW15" i="1"/>
  <c r="FV15" i="1"/>
  <c r="FU15" i="1"/>
  <c r="FT15" i="1"/>
  <c r="FK15" i="1"/>
  <c r="FJ15" i="1"/>
  <c r="FI15" i="1"/>
  <c r="FH15" i="1"/>
  <c r="FP15" i="1" s="1"/>
  <c r="FG15" i="1"/>
  <c r="FF15" i="1"/>
  <c r="FE15" i="1"/>
  <c r="FD15" i="1"/>
  <c r="EU15" i="1"/>
  <c r="ET15" i="1"/>
  <c r="ES15" i="1"/>
  <c r="ER15" i="1"/>
  <c r="EQ15" i="1"/>
  <c r="EP15" i="1"/>
  <c r="EO15" i="1"/>
  <c r="EN15" i="1"/>
  <c r="DO15" i="1"/>
  <c r="MA15" i="1" s="1"/>
  <c r="DN15" i="1"/>
  <c r="DM15" i="1"/>
  <c r="N15" i="1"/>
  <c r="H15" i="1"/>
  <c r="MC14" i="1"/>
  <c r="JS14" i="1"/>
  <c r="JR14" i="1"/>
  <c r="JQ14" i="1"/>
  <c r="JP14" i="1"/>
  <c r="JO14" i="1"/>
  <c r="JN14" i="1"/>
  <c r="JM14" i="1"/>
  <c r="JL14" i="1"/>
  <c r="JC14" i="1"/>
  <c r="JB14" i="1"/>
  <c r="JA14" i="1"/>
  <c r="IZ14" i="1"/>
  <c r="IY14" i="1"/>
  <c r="JG14" i="1" s="1"/>
  <c r="IX14" i="1"/>
  <c r="JF14" i="1" s="1"/>
  <c r="IW14" i="1"/>
  <c r="IV14" i="1"/>
  <c r="IM14" i="1"/>
  <c r="IL14" i="1"/>
  <c r="IK14" i="1"/>
  <c r="IJ14" i="1"/>
  <c r="II14" i="1"/>
  <c r="IH14" i="1"/>
  <c r="IG14" i="1"/>
  <c r="IF14" i="1"/>
  <c r="HW14" i="1"/>
  <c r="HV14" i="1"/>
  <c r="HU14" i="1"/>
  <c r="HT14" i="1"/>
  <c r="HS14" i="1"/>
  <c r="HR14" i="1"/>
  <c r="HQ14" i="1"/>
  <c r="HY14" i="1" s="1"/>
  <c r="HP14" i="1"/>
  <c r="HG14" i="1"/>
  <c r="HF14" i="1"/>
  <c r="HE14" i="1"/>
  <c r="HD14" i="1"/>
  <c r="HC14" i="1"/>
  <c r="HB14" i="1"/>
  <c r="HA14" i="1"/>
  <c r="GZ14" i="1"/>
  <c r="GX14" i="1"/>
  <c r="GW14" i="1"/>
  <c r="GV14" i="1"/>
  <c r="GU14" i="1"/>
  <c r="GT14" i="1"/>
  <c r="GS14" i="1"/>
  <c r="GR14" i="1"/>
  <c r="GQ14" i="1"/>
  <c r="GP14" i="1"/>
  <c r="GO14" i="1"/>
  <c r="GN14" i="1"/>
  <c r="GM14" i="1"/>
  <c r="GL14" i="1"/>
  <c r="GK14" i="1"/>
  <c r="GJ14" i="1"/>
  <c r="GA14" i="1"/>
  <c r="FZ14" i="1"/>
  <c r="FY14" i="1"/>
  <c r="FX14" i="1"/>
  <c r="FW14" i="1"/>
  <c r="FV14" i="1"/>
  <c r="FU14" i="1"/>
  <c r="FT14" i="1"/>
  <c r="FK14" i="1"/>
  <c r="FM14" i="1" s="1"/>
  <c r="FJ14" i="1"/>
  <c r="FI14" i="1"/>
  <c r="FH14" i="1"/>
  <c r="FG14" i="1"/>
  <c r="FF14" i="1"/>
  <c r="FE14" i="1"/>
  <c r="FD14" i="1"/>
  <c r="EU14" i="1"/>
  <c r="ET14" i="1"/>
  <c r="ES14" i="1"/>
  <c r="ER14" i="1"/>
  <c r="EQ14" i="1"/>
  <c r="EP14" i="1"/>
  <c r="EO14" i="1"/>
  <c r="EN14" i="1"/>
  <c r="DO14" i="1"/>
  <c r="LZ14" i="1" s="1"/>
  <c r="MK14" i="1" s="1"/>
  <c r="NC14" i="1" s="1"/>
  <c r="ND14" i="1" s="1"/>
  <c r="DN14" i="1"/>
  <c r="DM14" i="1"/>
  <c r="N14" i="1"/>
  <c r="H14" i="1"/>
  <c r="MC13" i="1"/>
  <c r="JS13" i="1"/>
  <c r="JR13" i="1"/>
  <c r="JQ13" i="1"/>
  <c r="JP13" i="1"/>
  <c r="JO13" i="1"/>
  <c r="JN13" i="1"/>
  <c r="JM13" i="1"/>
  <c r="JL13" i="1"/>
  <c r="JT13" i="1" s="1"/>
  <c r="JC13" i="1"/>
  <c r="JB13" i="1"/>
  <c r="JA13" i="1"/>
  <c r="IZ13" i="1"/>
  <c r="IY13" i="1"/>
  <c r="IX13" i="1"/>
  <c r="IW13" i="1"/>
  <c r="IV13" i="1"/>
  <c r="IM13" i="1"/>
  <c r="IL13" i="1"/>
  <c r="IK13" i="1"/>
  <c r="IJ13" i="1"/>
  <c r="II13" i="1"/>
  <c r="IH13" i="1"/>
  <c r="IG13" i="1"/>
  <c r="IF13" i="1"/>
  <c r="HW13" i="1"/>
  <c r="HV13" i="1"/>
  <c r="HU13" i="1"/>
  <c r="HT13" i="1"/>
  <c r="HS13" i="1"/>
  <c r="HR13" i="1"/>
  <c r="HQ13" i="1"/>
  <c r="HP13" i="1"/>
  <c r="HG13" i="1"/>
  <c r="HF13" i="1"/>
  <c r="HE13" i="1"/>
  <c r="HD13" i="1"/>
  <c r="HC13" i="1"/>
  <c r="HB13" i="1"/>
  <c r="HA13" i="1"/>
  <c r="GZ13" i="1"/>
  <c r="GX13" i="1"/>
  <c r="GW13" i="1"/>
  <c r="GV13" i="1"/>
  <c r="GU13" i="1"/>
  <c r="GT13" i="1"/>
  <c r="GS13" i="1"/>
  <c r="GR13" i="1"/>
  <c r="GQ13" i="1"/>
  <c r="GP13" i="1"/>
  <c r="GO13" i="1"/>
  <c r="GN13" i="1"/>
  <c r="GM13" i="1"/>
  <c r="GL13" i="1"/>
  <c r="GK13" i="1"/>
  <c r="GJ13" i="1"/>
  <c r="GA13" i="1"/>
  <c r="FZ13" i="1"/>
  <c r="FY13" i="1"/>
  <c r="FX13" i="1"/>
  <c r="FW13" i="1"/>
  <c r="FV13" i="1"/>
  <c r="FU13" i="1"/>
  <c r="GC13" i="1" s="1"/>
  <c r="FT13" i="1"/>
  <c r="FK13" i="1"/>
  <c r="FJ13" i="1"/>
  <c r="FI13" i="1"/>
  <c r="FH13" i="1"/>
  <c r="FG13" i="1"/>
  <c r="FF13" i="1"/>
  <c r="FE13" i="1"/>
  <c r="FD13" i="1"/>
  <c r="EU13" i="1"/>
  <c r="ET13" i="1"/>
  <c r="ES13" i="1"/>
  <c r="ER13" i="1"/>
  <c r="EQ13" i="1"/>
  <c r="EP13" i="1"/>
  <c r="EO13" i="1"/>
  <c r="EW13" i="1" s="1"/>
  <c r="EN13" i="1"/>
  <c r="DO13" i="1"/>
  <c r="MA13" i="1" s="1"/>
  <c r="DN13" i="1"/>
  <c r="DM13" i="1"/>
  <c r="N13" i="1"/>
  <c r="H13" i="1"/>
  <c r="MC12" i="1"/>
  <c r="JS12" i="1"/>
  <c r="JR12" i="1"/>
  <c r="JQ12" i="1"/>
  <c r="JP12" i="1"/>
  <c r="JO12" i="1"/>
  <c r="JN12" i="1"/>
  <c r="JM12" i="1"/>
  <c r="JL12" i="1"/>
  <c r="JC12" i="1"/>
  <c r="JB12" i="1"/>
  <c r="JA12" i="1"/>
  <c r="IZ12" i="1"/>
  <c r="IY12" i="1"/>
  <c r="IX12" i="1"/>
  <c r="IW12" i="1"/>
  <c r="IV12" i="1"/>
  <c r="IM12" i="1"/>
  <c r="IL12" i="1"/>
  <c r="IK12" i="1"/>
  <c r="IJ12" i="1"/>
  <c r="II12" i="1"/>
  <c r="IH12" i="1"/>
  <c r="IP12" i="1" s="1"/>
  <c r="IG12" i="1"/>
  <c r="IF12" i="1"/>
  <c r="HW12" i="1"/>
  <c r="HV12" i="1"/>
  <c r="HU12" i="1"/>
  <c r="HT12" i="1"/>
  <c r="HS12" i="1"/>
  <c r="HR12" i="1"/>
  <c r="HQ12" i="1"/>
  <c r="HP12" i="1"/>
  <c r="HG12" i="1"/>
  <c r="HF12" i="1"/>
  <c r="HE12" i="1"/>
  <c r="HD12" i="1"/>
  <c r="HC12" i="1"/>
  <c r="HB12" i="1"/>
  <c r="HA12" i="1"/>
  <c r="GZ12" i="1"/>
  <c r="HH12" i="1" s="1"/>
  <c r="GX12" i="1"/>
  <c r="GW12" i="1"/>
  <c r="GV12" i="1"/>
  <c r="GU12" i="1"/>
  <c r="GT12" i="1"/>
  <c r="GS12" i="1"/>
  <c r="GR12" i="1"/>
  <c r="GQ12" i="1"/>
  <c r="GP12" i="1"/>
  <c r="GO12" i="1"/>
  <c r="GN12" i="1"/>
  <c r="GM12" i="1"/>
  <c r="GL12" i="1"/>
  <c r="GK12" i="1"/>
  <c r="GJ12" i="1"/>
  <c r="GA12" i="1"/>
  <c r="FZ12" i="1"/>
  <c r="FY12" i="1"/>
  <c r="FX12" i="1"/>
  <c r="FW12" i="1"/>
  <c r="FV12" i="1"/>
  <c r="FU12" i="1"/>
  <c r="FT12" i="1"/>
  <c r="FK12" i="1"/>
  <c r="FJ12" i="1"/>
  <c r="FI12" i="1"/>
  <c r="FH12" i="1"/>
  <c r="FG12" i="1"/>
  <c r="FF12" i="1"/>
  <c r="FE12" i="1"/>
  <c r="FD12" i="1"/>
  <c r="EU12" i="1"/>
  <c r="ET12" i="1"/>
  <c r="ES12" i="1"/>
  <c r="ER12" i="1"/>
  <c r="EQ12" i="1"/>
  <c r="EP12" i="1"/>
  <c r="EO12" i="1"/>
  <c r="EN12" i="1"/>
  <c r="DO12" i="1"/>
  <c r="DN12" i="1"/>
  <c r="DM12" i="1"/>
  <c r="N12" i="1"/>
  <c r="H12" i="1"/>
  <c r="MC11" i="1"/>
  <c r="JS11" i="1"/>
  <c r="JR11" i="1"/>
  <c r="JQ11" i="1"/>
  <c r="JP11" i="1"/>
  <c r="JO11" i="1"/>
  <c r="JN11" i="1"/>
  <c r="JM11" i="1"/>
  <c r="JL11" i="1"/>
  <c r="JC11" i="1"/>
  <c r="JB11" i="1"/>
  <c r="JA11" i="1"/>
  <c r="IZ11" i="1"/>
  <c r="IY11" i="1"/>
  <c r="IX11" i="1"/>
  <c r="IW11" i="1"/>
  <c r="IV11" i="1"/>
  <c r="IM11" i="1"/>
  <c r="IL11" i="1"/>
  <c r="IK11" i="1"/>
  <c r="IJ11" i="1"/>
  <c r="II11" i="1"/>
  <c r="IH11" i="1"/>
  <c r="IG11" i="1"/>
  <c r="IF11" i="1"/>
  <c r="HW11" i="1"/>
  <c r="HV11" i="1"/>
  <c r="HU11" i="1"/>
  <c r="HT11" i="1"/>
  <c r="HS11" i="1"/>
  <c r="HR11" i="1"/>
  <c r="HQ11" i="1"/>
  <c r="HP11" i="1"/>
  <c r="HG11" i="1"/>
  <c r="HF11" i="1"/>
  <c r="HE11" i="1"/>
  <c r="HD11" i="1"/>
  <c r="HC11" i="1"/>
  <c r="HB11" i="1"/>
  <c r="HA11" i="1"/>
  <c r="GZ11" i="1"/>
  <c r="GX11" i="1"/>
  <c r="GW11" i="1"/>
  <c r="GV11" i="1"/>
  <c r="GU11" i="1"/>
  <c r="GT11" i="1"/>
  <c r="GS11" i="1"/>
  <c r="GR11" i="1"/>
  <c r="GQ11" i="1"/>
  <c r="GP11" i="1"/>
  <c r="GO11" i="1"/>
  <c r="GN11" i="1"/>
  <c r="GM11" i="1"/>
  <c r="GL11" i="1"/>
  <c r="GK11" i="1"/>
  <c r="GJ11" i="1"/>
  <c r="GA11" i="1"/>
  <c r="FZ11" i="1"/>
  <c r="FY11" i="1"/>
  <c r="FX11" i="1"/>
  <c r="FW11" i="1"/>
  <c r="FV11" i="1"/>
  <c r="FU11" i="1"/>
  <c r="FT11" i="1"/>
  <c r="FK11" i="1"/>
  <c r="FJ11" i="1"/>
  <c r="FI11" i="1"/>
  <c r="FH11" i="1"/>
  <c r="FG11" i="1"/>
  <c r="FF11" i="1"/>
  <c r="FE11" i="1"/>
  <c r="FD11" i="1"/>
  <c r="EU11" i="1"/>
  <c r="ET11" i="1"/>
  <c r="ES11" i="1"/>
  <c r="ER11" i="1"/>
  <c r="EQ11" i="1"/>
  <c r="EP11" i="1"/>
  <c r="EO11" i="1"/>
  <c r="EN11" i="1"/>
  <c r="DO11" i="1"/>
  <c r="LZ11" i="1" s="1"/>
  <c r="DN11" i="1"/>
  <c r="DM11" i="1"/>
  <c r="N11" i="1"/>
  <c r="H11" i="1"/>
  <c r="MC10" i="1"/>
  <c r="JS10" i="1"/>
  <c r="JR10" i="1"/>
  <c r="JQ10" i="1"/>
  <c r="JP10" i="1"/>
  <c r="JO10" i="1"/>
  <c r="JN10" i="1"/>
  <c r="JM10" i="1"/>
  <c r="JL10" i="1"/>
  <c r="JC10" i="1"/>
  <c r="JB10" i="1"/>
  <c r="JA10" i="1"/>
  <c r="IZ10" i="1"/>
  <c r="IY10" i="1"/>
  <c r="IX10" i="1"/>
  <c r="IW10" i="1"/>
  <c r="IV10" i="1"/>
  <c r="IM10" i="1"/>
  <c r="IL10" i="1"/>
  <c r="IK10" i="1"/>
  <c r="IJ10" i="1"/>
  <c r="II10" i="1"/>
  <c r="IH10" i="1"/>
  <c r="IG10" i="1"/>
  <c r="IF10" i="1"/>
  <c r="HW10" i="1"/>
  <c r="HV10" i="1"/>
  <c r="HU10" i="1"/>
  <c r="HT10" i="1"/>
  <c r="HS10" i="1"/>
  <c r="HR10" i="1"/>
  <c r="HQ10" i="1"/>
  <c r="HP10" i="1"/>
  <c r="HG10" i="1"/>
  <c r="HF10" i="1"/>
  <c r="HE10" i="1"/>
  <c r="HD10" i="1"/>
  <c r="HC10" i="1"/>
  <c r="HB10" i="1"/>
  <c r="HA10" i="1"/>
  <c r="GZ10" i="1"/>
  <c r="GX10" i="1"/>
  <c r="GW10" i="1"/>
  <c r="GV10" i="1"/>
  <c r="GU10" i="1"/>
  <c r="GT10" i="1"/>
  <c r="GS10" i="1"/>
  <c r="GR10" i="1"/>
  <c r="GQ10" i="1"/>
  <c r="GP10" i="1"/>
  <c r="GO10" i="1"/>
  <c r="GN10" i="1"/>
  <c r="GM10" i="1"/>
  <c r="GL10" i="1"/>
  <c r="GK10" i="1"/>
  <c r="GJ10" i="1"/>
  <c r="GA10" i="1"/>
  <c r="FZ10" i="1"/>
  <c r="FY10" i="1"/>
  <c r="GG10" i="1" s="1"/>
  <c r="FX10" i="1"/>
  <c r="FW10" i="1"/>
  <c r="FV10" i="1"/>
  <c r="FU10" i="1"/>
  <c r="FT10" i="1"/>
  <c r="FK10" i="1"/>
  <c r="FJ10" i="1"/>
  <c r="FI10" i="1"/>
  <c r="FH10" i="1"/>
  <c r="FG10" i="1"/>
  <c r="FF10" i="1"/>
  <c r="FE10" i="1"/>
  <c r="FD10" i="1"/>
  <c r="EU10" i="1"/>
  <c r="ET10" i="1"/>
  <c r="ES10" i="1"/>
  <c r="ER10" i="1"/>
  <c r="EQ10" i="1"/>
  <c r="EP10" i="1"/>
  <c r="EO10" i="1"/>
  <c r="EN10" i="1"/>
  <c r="DO10" i="1"/>
  <c r="LZ10" i="1" s="1"/>
  <c r="DN10" i="1"/>
  <c r="DM10" i="1"/>
  <c r="N10" i="1"/>
  <c r="H10" i="1"/>
  <c r="MC9" i="1"/>
  <c r="JS9" i="1"/>
  <c r="JR9" i="1"/>
  <c r="JQ9" i="1"/>
  <c r="JP9" i="1"/>
  <c r="JO9" i="1"/>
  <c r="JN9" i="1"/>
  <c r="JM9" i="1"/>
  <c r="JL9" i="1"/>
  <c r="JC9" i="1"/>
  <c r="JB9" i="1"/>
  <c r="JA9" i="1"/>
  <c r="IZ9" i="1"/>
  <c r="IY9" i="1"/>
  <c r="IX9" i="1"/>
  <c r="IW9" i="1"/>
  <c r="IV9" i="1"/>
  <c r="IM9" i="1"/>
  <c r="IL9" i="1"/>
  <c r="IK9" i="1"/>
  <c r="IJ9" i="1"/>
  <c r="II9" i="1"/>
  <c r="IH9" i="1"/>
  <c r="IG9" i="1"/>
  <c r="IF9" i="1"/>
  <c r="HW9" i="1"/>
  <c r="HV9" i="1"/>
  <c r="HU9" i="1"/>
  <c r="HT9" i="1"/>
  <c r="HS9" i="1"/>
  <c r="HR9" i="1"/>
  <c r="HQ9" i="1"/>
  <c r="HP9" i="1"/>
  <c r="HG9" i="1"/>
  <c r="HF9" i="1"/>
  <c r="HE9" i="1"/>
  <c r="HD9" i="1"/>
  <c r="HC9" i="1"/>
  <c r="HB9" i="1"/>
  <c r="HA9" i="1"/>
  <c r="GZ9" i="1"/>
  <c r="GX9" i="1"/>
  <c r="GW9" i="1"/>
  <c r="GV9" i="1"/>
  <c r="GU9" i="1"/>
  <c r="GT9" i="1"/>
  <c r="GS9" i="1"/>
  <c r="GR9" i="1"/>
  <c r="GQ9" i="1"/>
  <c r="GP9" i="1"/>
  <c r="GO9" i="1"/>
  <c r="GN9" i="1"/>
  <c r="GM9" i="1"/>
  <c r="GL9" i="1"/>
  <c r="GK9" i="1"/>
  <c r="GJ9" i="1"/>
  <c r="GA9" i="1"/>
  <c r="FZ9" i="1"/>
  <c r="FY9" i="1"/>
  <c r="FX9" i="1"/>
  <c r="FW9" i="1"/>
  <c r="FV9" i="1"/>
  <c r="FU9" i="1"/>
  <c r="FT9" i="1"/>
  <c r="FK9" i="1"/>
  <c r="FJ9" i="1"/>
  <c r="FI9" i="1"/>
  <c r="FH9" i="1"/>
  <c r="FG9" i="1"/>
  <c r="FF9" i="1"/>
  <c r="FE9" i="1"/>
  <c r="FD9" i="1"/>
  <c r="EU9" i="1"/>
  <c r="ET9" i="1"/>
  <c r="ES9" i="1"/>
  <c r="ER9" i="1"/>
  <c r="EQ9" i="1"/>
  <c r="EP9" i="1"/>
  <c r="EO9" i="1"/>
  <c r="EN9" i="1"/>
  <c r="DO9" i="1"/>
  <c r="MA9" i="1" s="1"/>
  <c r="DN9" i="1"/>
  <c r="DM9" i="1"/>
  <c r="N9" i="1"/>
  <c r="H9" i="1"/>
  <c r="MC8" i="1"/>
  <c r="JS8" i="1"/>
  <c r="JR8" i="1"/>
  <c r="JQ8" i="1"/>
  <c r="JP8" i="1"/>
  <c r="JX8" i="1" s="1"/>
  <c r="JO8" i="1"/>
  <c r="JN8" i="1"/>
  <c r="JM8" i="1"/>
  <c r="JL8" i="1"/>
  <c r="JC8" i="1"/>
  <c r="JB8" i="1"/>
  <c r="JA8" i="1"/>
  <c r="IZ8" i="1"/>
  <c r="IY8" i="1"/>
  <c r="IX8" i="1"/>
  <c r="IW8" i="1"/>
  <c r="IV8" i="1"/>
  <c r="IM8" i="1"/>
  <c r="IL8" i="1"/>
  <c r="IK8" i="1"/>
  <c r="IJ8" i="1"/>
  <c r="II8" i="1"/>
  <c r="IH8" i="1"/>
  <c r="IG8" i="1"/>
  <c r="IF8" i="1"/>
  <c r="HW8" i="1"/>
  <c r="HV8" i="1"/>
  <c r="HU8" i="1"/>
  <c r="HT8" i="1"/>
  <c r="HS8" i="1"/>
  <c r="HR8" i="1"/>
  <c r="HQ8" i="1"/>
  <c r="HP8" i="1"/>
  <c r="HG8" i="1"/>
  <c r="HF8" i="1"/>
  <c r="HE8" i="1"/>
  <c r="HD8" i="1"/>
  <c r="HL8" i="1" s="1"/>
  <c r="HC8" i="1"/>
  <c r="HB8" i="1"/>
  <c r="HA8" i="1"/>
  <c r="GZ8" i="1"/>
  <c r="GX8" i="1"/>
  <c r="GW8" i="1"/>
  <c r="GV8" i="1"/>
  <c r="GU8" i="1"/>
  <c r="GT8" i="1"/>
  <c r="GS8" i="1"/>
  <c r="GR8" i="1"/>
  <c r="GQ8" i="1"/>
  <c r="GP8" i="1"/>
  <c r="GO8" i="1"/>
  <c r="GN8" i="1"/>
  <c r="GM8" i="1"/>
  <c r="GL8" i="1"/>
  <c r="GK8" i="1"/>
  <c r="GJ8" i="1"/>
  <c r="GA8" i="1"/>
  <c r="FZ8" i="1"/>
  <c r="GH8" i="1" s="1"/>
  <c r="FY8" i="1"/>
  <c r="GG8" i="1" s="1"/>
  <c r="FX8" i="1"/>
  <c r="GF8" i="1" s="1"/>
  <c r="FW8" i="1"/>
  <c r="GE8" i="1" s="1"/>
  <c r="FV8" i="1"/>
  <c r="GD8" i="1" s="1"/>
  <c r="FU8" i="1"/>
  <c r="GC8" i="1" s="1"/>
  <c r="FT8" i="1"/>
  <c r="GB8" i="1" s="1"/>
  <c r="FK8" i="1"/>
  <c r="FJ8" i="1"/>
  <c r="FI8" i="1"/>
  <c r="FH8" i="1"/>
  <c r="FG8" i="1"/>
  <c r="FF8" i="1"/>
  <c r="FE8" i="1"/>
  <c r="FD8" i="1"/>
  <c r="EU8" i="1"/>
  <c r="ET8" i="1"/>
  <c r="FB8" i="1" s="1"/>
  <c r="ES8" i="1"/>
  <c r="FA8" i="1" s="1"/>
  <c r="ER8" i="1"/>
  <c r="EQ8" i="1"/>
  <c r="EY8" i="1" s="1"/>
  <c r="EP8" i="1"/>
  <c r="EO8" i="1"/>
  <c r="EN8" i="1"/>
  <c r="EV8" i="1" s="1"/>
  <c r="DO8" i="1"/>
  <c r="LZ8" i="1" s="1"/>
  <c r="DN8" i="1"/>
  <c r="DM8" i="1"/>
  <c r="N8" i="1"/>
  <c r="H8" i="1"/>
  <c r="MC7" i="1"/>
  <c r="JS7" i="1"/>
  <c r="JR7" i="1"/>
  <c r="JQ7" i="1"/>
  <c r="JP7" i="1"/>
  <c r="JO7" i="1"/>
  <c r="JN7" i="1"/>
  <c r="JM7" i="1"/>
  <c r="JL7" i="1"/>
  <c r="JC7" i="1"/>
  <c r="JB7" i="1"/>
  <c r="JA7" i="1"/>
  <c r="IZ7" i="1"/>
  <c r="IY7" i="1"/>
  <c r="IX7" i="1"/>
  <c r="IW7" i="1"/>
  <c r="IV7" i="1"/>
  <c r="IM7" i="1"/>
  <c r="IL7" i="1"/>
  <c r="IK7" i="1"/>
  <c r="IJ7" i="1"/>
  <c r="II7" i="1"/>
  <c r="IH7" i="1"/>
  <c r="IG7" i="1"/>
  <c r="IF7" i="1"/>
  <c r="HW7" i="1"/>
  <c r="HV7" i="1"/>
  <c r="HU7" i="1"/>
  <c r="HT7" i="1"/>
  <c r="HS7" i="1"/>
  <c r="HR7" i="1"/>
  <c r="HQ7" i="1"/>
  <c r="HP7" i="1"/>
  <c r="HG7" i="1"/>
  <c r="HM7" i="1" s="1"/>
  <c r="HF7" i="1"/>
  <c r="HE7" i="1"/>
  <c r="HD7" i="1"/>
  <c r="HC7" i="1"/>
  <c r="HB7" i="1"/>
  <c r="HA7" i="1"/>
  <c r="GZ7" i="1"/>
  <c r="GX7" i="1"/>
  <c r="GW7" i="1"/>
  <c r="GV7" i="1"/>
  <c r="GU7" i="1"/>
  <c r="GT7" i="1"/>
  <c r="GS7" i="1"/>
  <c r="GR7" i="1"/>
  <c r="GQ7" i="1"/>
  <c r="GP7" i="1"/>
  <c r="GO7" i="1"/>
  <c r="GN7" i="1"/>
  <c r="GM7" i="1"/>
  <c r="GL7" i="1"/>
  <c r="GK7" i="1"/>
  <c r="GJ7" i="1"/>
  <c r="GA7" i="1"/>
  <c r="FZ7" i="1"/>
  <c r="FY7" i="1"/>
  <c r="FX7" i="1"/>
  <c r="FW7" i="1"/>
  <c r="FV7" i="1"/>
  <c r="FU7" i="1"/>
  <c r="FT7" i="1"/>
  <c r="FK7" i="1"/>
  <c r="FJ7" i="1"/>
  <c r="FI7" i="1"/>
  <c r="FH7" i="1"/>
  <c r="FG7" i="1"/>
  <c r="FF7" i="1"/>
  <c r="FE7" i="1"/>
  <c r="FD7" i="1"/>
  <c r="EU7" i="1"/>
  <c r="ET7" i="1"/>
  <c r="ES7" i="1"/>
  <c r="FA7" i="1" s="1"/>
  <c r="ER7" i="1"/>
  <c r="EQ7" i="1"/>
  <c r="EP7" i="1"/>
  <c r="EO7" i="1"/>
  <c r="EN7" i="1"/>
  <c r="DO7" i="1"/>
  <c r="MA7" i="1" s="1"/>
  <c r="DN7" i="1"/>
  <c r="DM7" i="1"/>
  <c r="N7" i="1"/>
  <c r="H7" i="1"/>
  <c r="MC6" i="1"/>
  <c r="JS6" i="1"/>
  <c r="JR6" i="1"/>
  <c r="JQ6" i="1"/>
  <c r="JP6" i="1"/>
  <c r="JO6" i="1"/>
  <c r="JN6" i="1"/>
  <c r="JM6" i="1"/>
  <c r="JL6" i="1"/>
  <c r="JC6" i="1"/>
  <c r="JB6" i="1"/>
  <c r="JA6" i="1"/>
  <c r="IZ6" i="1"/>
  <c r="IY6" i="1"/>
  <c r="IX6" i="1"/>
  <c r="IW6" i="1"/>
  <c r="IV6" i="1"/>
  <c r="IM6" i="1"/>
  <c r="IL6" i="1"/>
  <c r="IK6" i="1"/>
  <c r="IJ6" i="1"/>
  <c r="II6" i="1"/>
  <c r="IH6" i="1"/>
  <c r="IG6" i="1"/>
  <c r="IF6" i="1"/>
  <c r="HW6" i="1"/>
  <c r="HV6" i="1"/>
  <c r="HU6" i="1"/>
  <c r="HT6" i="1"/>
  <c r="HS6" i="1"/>
  <c r="HR6" i="1"/>
  <c r="HQ6" i="1"/>
  <c r="HP6" i="1"/>
  <c r="HG6" i="1"/>
  <c r="HF6" i="1"/>
  <c r="HE6" i="1"/>
  <c r="HD6" i="1"/>
  <c r="HC6" i="1"/>
  <c r="HB6" i="1"/>
  <c r="HA6" i="1"/>
  <c r="GZ6" i="1"/>
  <c r="GX6" i="1"/>
  <c r="GW6" i="1"/>
  <c r="GV6" i="1"/>
  <c r="GU6" i="1"/>
  <c r="GT6" i="1"/>
  <c r="GS6" i="1"/>
  <c r="GR6" i="1"/>
  <c r="GQ6" i="1"/>
  <c r="GP6" i="1"/>
  <c r="GO6" i="1"/>
  <c r="GN6" i="1"/>
  <c r="GM6" i="1"/>
  <c r="GL6" i="1"/>
  <c r="GK6" i="1"/>
  <c r="GJ6" i="1"/>
  <c r="GA6" i="1"/>
  <c r="FZ6" i="1"/>
  <c r="FY6" i="1"/>
  <c r="FX6" i="1"/>
  <c r="FW6" i="1"/>
  <c r="FV6" i="1"/>
  <c r="FU6" i="1"/>
  <c r="FT6" i="1"/>
  <c r="FK6" i="1"/>
  <c r="FJ6" i="1"/>
  <c r="FI6" i="1"/>
  <c r="FH6" i="1"/>
  <c r="FG6" i="1"/>
  <c r="FF6" i="1"/>
  <c r="FE6" i="1"/>
  <c r="FD6" i="1"/>
  <c r="EU6" i="1"/>
  <c r="ET6" i="1"/>
  <c r="ES6" i="1"/>
  <c r="ER6" i="1"/>
  <c r="EQ6" i="1"/>
  <c r="EP6" i="1"/>
  <c r="EO6" i="1"/>
  <c r="EN6" i="1"/>
  <c r="DO6" i="1"/>
  <c r="MA6" i="1" s="1"/>
  <c r="DN6" i="1"/>
  <c r="DM6" i="1"/>
  <c r="N6" i="1"/>
  <c r="H6" i="1"/>
  <c r="MC5" i="1"/>
  <c r="JS5" i="1"/>
  <c r="JR5" i="1"/>
  <c r="JQ5" i="1"/>
  <c r="JP5" i="1"/>
  <c r="JO5" i="1"/>
  <c r="JN5" i="1"/>
  <c r="JM5" i="1"/>
  <c r="JL5" i="1"/>
  <c r="JC5" i="1"/>
  <c r="JB5" i="1"/>
  <c r="JA5" i="1"/>
  <c r="IZ5" i="1"/>
  <c r="IY5" i="1"/>
  <c r="IX5" i="1"/>
  <c r="IW5" i="1"/>
  <c r="IV5" i="1"/>
  <c r="IM5" i="1"/>
  <c r="IL5" i="1"/>
  <c r="IK5" i="1"/>
  <c r="IJ5" i="1"/>
  <c r="II5" i="1"/>
  <c r="IH5" i="1"/>
  <c r="IG5" i="1"/>
  <c r="IF5" i="1"/>
  <c r="HW5" i="1"/>
  <c r="HV5" i="1"/>
  <c r="HU5" i="1"/>
  <c r="IC5" i="1" s="1"/>
  <c r="HT5" i="1"/>
  <c r="HS5" i="1"/>
  <c r="HR5" i="1"/>
  <c r="HQ5" i="1"/>
  <c r="HP5" i="1"/>
  <c r="HG5" i="1"/>
  <c r="HF5" i="1"/>
  <c r="HE5" i="1"/>
  <c r="HD5" i="1"/>
  <c r="HC5" i="1"/>
  <c r="HB5" i="1"/>
  <c r="HA5" i="1"/>
  <c r="GZ5" i="1"/>
  <c r="GX5" i="1"/>
  <c r="GW5" i="1"/>
  <c r="GV5" i="1"/>
  <c r="GU5" i="1"/>
  <c r="GT5" i="1"/>
  <c r="GS5" i="1"/>
  <c r="GR5" i="1"/>
  <c r="GQ5" i="1"/>
  <c r="GP5" i="1"/>
  <c r="GO5" i="1"/>
  <c r="GN5" i="1"/>
  <c r="GM5" i="1"/>
  <c r="GL5" i="1"/>
  <c r="GK5" i="1"/>
  <c r="GJ5" i="1"/>
  <c r="GA5" i="1"/>
  <c r="FZ5" i="1"/>
  <c r="FY5" i="1"/>
  <c r="FX5" i="1"/>
  <c r="FW5" i="1"/>
  <c r="FV5" i="1"/>
  <c r="FU5" i="1"/>
  <c r="FT5" i="1"/>
  <c r="FK5" i="1"/>
  <c r="FJ5" i="1"/>
  <c r="FI5" i="1"/>
  <c r="FH5" i="1"/>
  <c r="FG5" i="1"/>
  <c r="FF5" i="1"/>
  <c r="FE5" i="1"/>
  <c r="FD5" i="1"/>
  <c r="EU5" i="1"/>
  <c r="ET5" i="1"/>
  <c r="ES5" i="1"/>
  <c r="ER5" i="1"/>
  <c r="EQ5" i="1"/>
  <c r="EP5" i="1"/>
  <c r="EO5" i="1"/>
  <c r="EN5" i="1"/>
  <c r="DO5" i="1"/>
  <c r="MA5" i="1" s="1"/>
  <c r="ML5" i="1" s="1"/>
  <c r="NE5" i="1" s="1"/>
  <c r="NF5" i="1" s="1"/>
  <c r="DN5" i="1"/>
  <c r="DM5" i="1"/>
  <c r="N5" i="1"/>
  <c r="H5" i="1"/>
  <c r="J2" i="1" a="1"/>
  <c r="J2" i="1" s="1"/>
  <c r="HH8" i="1" l="1"/>
  <c r="EW7" i="1"/>
  <c r="EY13" i="1"/>
  <c r="GE13" i="1"/>
  <c r="HX8" i="1"/>
  <c r="EV11" i="1"/>
  <c r="GB11" i="1"/>
  <c r="HY16" i="1"/>
  <c r="EX11" i="1"/>
  <c r="EZ11" i="1"/>
  <c r="JZ14" i="1"/>
  <c r="GE16" i="1"/>
  <c r="HI14" i="1"/>
  <c r="FA16" i="1"/>
  <c r="ID13" i="1"/>
  <c r="FB16" i="1"/>
  <c r="JE8" i="1"/>
  <c r="GC11" i="1"/>
  <c r="GD11" i="1"/>
  <c r="JG8" i="1"/>
  <c r="EY11" i="1"/>
  <c r="GE11" i="1"/>
  <c r="FA11" i="1"/>
  <c r="GG11" i="1"/>
  <c r="FB11" i="1"/>
  <c r="GH11" i="1"/>
  <c r="JD8" i="1"/>
  <c r="JF9" i="1"/>
  <c r="GF13" i="1"/>
  <c r="FQ5" i="1"/>
  <c r="JI10" i="1"/>
  <c r="JJ10" i="1"/>
  <c r="HY11" i="1"/>
  <c r="HI13" i="1"/>
  <c r="IO7" i="1"/>
  <c r="JX16" i="1"/>
  <c r="HK8" i="1"/>
  <c r="HX12" i="1"/>
  <c r="JD12" i="1"/>
  <c r="JY14" i="1"/>
  <c r="FO8" i="1"/>
  <c r="IC9" i="1"/>
  <c r="EZ12" i="1"/>
  <c r="HL5" i="1"/>
  <c r="IB6" i="1"/>
  <c r="JH6" i="1"/>
  <c r="HK5" i="1"/>
  <c r="HM5" i="1"/>
  <c r="EX6" i="1"/>
  <c r="FQ8" i="1"/>
  <c r="HJ11" i="1"/>
  <c r="FM12" i="1"/>
  <c r="HN5" i="1"/>
  <c r="FN11" i="1"/>
  <c r="HL9" i="1"/>
  <c r="JY9" i="1"/>
  <c r="HH10" i="1"/>
  <c r="IN10" i="1"/>
  <c r="JT10" i="1"/>
  <c r="HM15" i="1"/>
  <c r="HH7" i="1"/>
  <c r="IN7" i="1"/>
  <c r="JT7" i="1"/>
  <c r="HN9" i="1"/>
  <c r="JV10" i="1"/>
  <c r="IP7" i="1"/>
  <c r="JV7" i="1"/>
  <c r="HK10" i="1"/>
  <c r="JW10" i="1"/>
  <c r="JU7" i="1"/>
  <c r="EZ5" i="1"/>
  <c r="IQ7" i="1"/>
  <c r="JW7" i="1"/>
  <c r="HM10" i="1"/>
  <c r="JY10" i="1"/>
  <c r="GH5" i="1"/>
  <c r="HN10" i="1"/>
  <c r="JZ10" i="1"/>
  <c r="ID6" i="1"/>
  <c r="FN8" i="1"/>
  <c r="ID9" i="1"/>
  <c r="FP8" i="1"/>
  <c r="JI12" i="1"/>
  <c r="FR8" i="1"/>
  <c r="FR14" i="1"/>
  <c r="ID16" i="1"/>
  <c r="FP9" i="1"/>
  <c r="IB10" i="1"/>
  <c r="GH13" i="1"/>
  <c r="HZ13" i="1"/>
  <c r="GD13" i="1"/>
  <c r="IS6" i="1"/>
  <c r="FL7" i="1"/>
  <c r="IB11" i="1"/>
  <c r="FL13" i="1"/>
  <c r="IO13" i="1"/>
  <c r="FN6" i="1"/>
  <c r="HX6" i="1"/>
  <c r="FM7" i="1"/>
  <c r="FM10" i="1"/>
  <c r="ID5" i="1"/>
  <c r="FN7" i="1"/>
  <c r="EV9" i="1"/>
  <c r="ID11" i="1"/>
  <c r="JW13" i="1"/>
  <c r="JF6" i="1"/>
  <c r="GC9" i="1"/>
  <c r="HZ9" i="1"/>
  <c r="JF12" i="1"/>
  <c r="IR13" i="1"/>
  <c r="JJ14" i="1"/>
  <c r="JI7" i="1"/>
  <c r="EV5" i="1"/>
  <c r="HH5" i="1"/>
  <c r="JG6" i="1"/>
  <c r="IA9" i="1"/>
  <c r="FP10" i="1"/>
  <c r="IA12" i="1"/>
  <c r="JG12" i="1"/>
  <c r="HI5" i="1"/>
  <c r="FL8" i="1"/>
  <c r="IT13" i="1"/>
  <c r="JJ7" i="1"/>
  <c r="FM5" i="1"/>
  <c r="HJ5" i="1"/>
  <c r="IC6" i="1"/>
  <c r="FM8" i="1"/>
  <c r="HJ8" i="1"/>
  <c r="FR16" i="1"/>
  <c r="JD14" i="1"/>
  <c r="JE14" i="1"/>
  <c r="IA11" i="1"/>
  <c r="HL16" i="1"/>
  <c r="JH5" i="1"/>
  <c r="FR6" i="1"/>
  <c r="JZ6" i="1"/>
  <c r="MK11" i="1"/>
  <c r="NC11" i="1" s="1"/>
  <c r="ND11" i="1" s="1"/>
  <c r="IR7" i="1"/>
  <c r="JX7" i="1"/>
  <c r="EY10" i="1"/>
  <c r="GC14" i="1"/>
  <c r="FQ7" i="1"/>
  <c r="IS7" i="1"/>
  <c r="JY7" i="1"/>
  <c r="GD14" i="1"/>
  <c r="FR7" i="1"/>
  <c r="IT7" i="1"/>
  <c r="JZ7" i="1"/>
  <c r="HY9" i="1"/>
  <c r="JU9" i="1"/>
  <c r="JH14" i="1"/>
  <c r="JZ15" i="1"/>
  <c r="KG14" i="1"/>
  <c r="IO16" i="1"/>
  <c r="IN6" i="1"/>
  <c r="EX12" i="1"/>
  <c r="GH14" i="1"/>
  <c r="FN15" i="1"/>
  <c r="IP16" i="1"/>
  <c r="FL6" i="1"/>
  <c r="IO6" i="1"/>
  <c r="JT6" i="1"/>
  <c r="IO11" i="1"/>
  <c r="IN14" i="1"/>
  <c r="EV15" i="1"/>
  <c r="GB15" i="1"/>
  <c r="FO16" i="1"/>
  <c r="IQ16" i="1"/>
  <c r="EX5" i="1"/>
  <c r="IP6" i="1"/>
  <c r="IP11" i="1"/>
  <c r="JV11" i="1"/>
  <c r="EW15" i="1"/>
  <c r="IR16" i="1"/>
  <c r="EY5" i="1"/>
  <c r="HX5" i="1"/>
  <c r="JD5" i="1"/>
  <c r="IQ6" i="1"/>
  <c r="JI9" i="1"/>
  <c r="IQ11" i="1"/>
  <c r="FA12" i="1"/>
  <c r="HN13" i="1"/>
  <c r="IP14" i="1"/>
  <c r="JT14" i="1"/>
  <c r="IA15" i="1"/>
  <c r="FQ16" i="1"/>
  <c r="IS16" i="1"/>
  <c r="FO6" i="1"/>
  <c r="MK8" i="1"/>
  <c r="NC8" i="1" s="1"/>
  <c r="ND8" i="1" s="1"/>
  <c r="HL11" i="1"/>
  <c r="IR11" i="1"/>
  <c r="EV13" i="1"/>
  <c r="IQ14" i="1"/>
  <c r="EY15" i="1"/>
  <c r="GE15" i="1"/>
  <c r="IB15" i="1"/>
  <c r="HM11" i="1"/>
  <c r="HL14" i="1"/>
  <c r="JV14" i="1"/>
  <c r="IC15" i="1"/>
  <c r="IA5" i="1"/>
  <c r="FQ6" i="1"/>
  <c r="IT6" i="1"/>
  <c r="HY7" i="1"/>
  <c r="JV8" i="1"/>
  <c r="HN11" i="1"/>
  <c r="IT11" i="1"/>
  <c r="IO12" i="1"/>
  <c r="EX13" i="1"/>
  <c r="HM14" i="1"/>
  <c r="JW14" i="1"/>
  <c r="FA15" i="1"/>
  <c r="GG15" i="1"/>
  <c r="KF5" i="1"/>
  <c r="JU8" i="1"/>
  <c r="HX10" i="1"/>
  <c r="JH12" i="1"/>
  <c r="IR14" i="1"/>
  <c r="FA5" i="1"/>
  <c r="HY5" i="1"/>
  <c r="FM6" i="1"/>
  <c r="HM8" i="1"/>
  <c r="GE9" i="1"/>
  <c r="IB9" i="1"/>
  <c r="IC12" i="1"/>
  <c r="FO13" i="1"/>
  <c r="HK13" i="1"/>
  <c r="KC14" i="1"/>
  <c r="IS14" i="1"/>
  <c r="JU14" i="1"/>
  <c r="IS15" i="1"/>
  <c r="GG16" i="1"/>
  <c r="JI16" i="1"/>
  <c r="KB13" i="1"/>
  <c r="ID7" i="1"/>
  <c r="JZ9" i="1"/>
  <c r="ML15" i="1"/>
  <c r="NE15" i="1" s="1"/>
  <c r="NF15" i="1" s="1"/>
  <c r="GF16" i="1"/>
  <c r="JH16" i="1"/>
  <c r="FB5" i="1"/>
  <c r="HZ5" i="1"/>
  <c r="HZ6" i="1"/>
  <c r="KE7" i="1"/>
  <c r="HL7" i="1"/>
  <c r="EX8" i="1"/>
  <c r="HN8" i="1"/>
  <c r="GF9" i="1"/>
  <c r="HJ10" i="1"/>
  <c r="IS11" i="1"/>
  <c r="JJ12" i="1"/>
  <c r="FP13" i="1"/>
  <c r="IT14" i="1"/>
  <c r="IT15" i="1"/>
  <c r="JJ16" i="1"/>
  <c r="GG9" i="1"/>
  <c r="FQ13" i="1"/>
  <c r="HM13" i="1"/>
  <c r="GG5" i="1"/>
  <c r="IB5" i="1"/>
  <c r="EZ8" i="1"/>
  <c r="JY8" i="1"/>
  <c r="FB9" i="1"/>
  <c r="JH9" i="1"/>
  <c r="HL10" i="1"/>
  <c r="JX11" i="1"/>
  <c r="GF12" i="1"/>
  <c r="GE14" i="1"/>
  <c r="JX14" i="1"/>
  <c r="GC15" i="1"/>
  <c r="JV15" i="1"/>
  <c r="ML6" i="1"/>
  <c r="NE6" i="1" s="1"/>
  <c r="NF6" i="1" s="1"/>
  <c r="JT12" i="1"/>
  <c r="FB14" i="1"/>
  <c r="JE5" i="1"/>
  <c r="EW6" i="1"/>
  <c r="EZ7" i="1"/>
  <c r="GC7" i="1"/>
  <c r="JF8" i="1"/>
  <c r="EW11" i="1"/>
  <c r="HX13" i="1"/>
  <c r="FL14" i="1"/>
  <c r="KD15" i="1"/>
  <c r="HN7" i="1"/>
  <c r="JT5" i="1"/>
  <c r="GD7" i="1"/>
  <c r="HZ7" i="1"/>
  <c r="JD7" i="1"/>
  <c r="JT9" i="1"/>
  <c r="EV10" i="1"/>
  <c r="GB10" i="1"/>
  <c r="HY10" i="1"/>
  <c r="IQ10" i="1"/>
  <c r="JX10" i="1"/>
  <c r="HY13" i="1"/>
  <c r="JY13" i="1"/>
  <c r="MA14" i="1"/>
  <c r="ML14" i="1" s="1"/>
  <c r="NE14" i="1" s="1"/>
  <c r="NF14" i="1" s="1"/>
  <c r="HY6" i="1"/>
  <c r="KH7" i="1"/>
  <c r="GE7" i="1"/>
  <c r="IA7" i="1"/>
  <c r="JE7" i="1"/>
  <c r="JH8" i="1"/>
  <c r="IP9" i="1"/>
  <c r="GC10" i="1"/>
  <c r="MA10" i="1"/>
  <c r="ML10" i="1" s="1"/>
  <c r="NE10" i="1" s="1"/>
  <c r="NF10" i="1" s="1"/>
  <c r="HH11" i="1"/>
  <c r="FN14" i="1"/>
  <c r="HN16" i="1"/>
  <c r="HX7" i="1"/>
  <c r="EZ6" i="1"/>
  <c r="IB7" i="1"/>
  <c r="JF7" i="1"/>
  <c r="IC8" i="1"/>
  <c r="JI8" i="1"/>
  <c r="IA10" i="1"/>
  <c r="HI11" i="1"/>
  <c r="KH12" i="1"/>
  <c r="IR12" i="1"/>
  <c r="FB13" i="1"/>
  <c r="IA13" i="1"/>
  <c r="FO14" i="1"/>
  <c r="GD15" i="1"/>
  <c r="ID15" i="1"/>
  <c r="HX16" i="1"/>
  <c r="JD6" i="1"/>
  <c r="IC7" i="1"/>
  <c r="JG7" i="1"/>
  <c r="ID8" i="1"/>
  <c r="JJ8" i="1"/>
  <c r="HJ9" i="1"/>
  <c r="IB13" i="1"/>
  <c r="FP14" i="1"/>
  <c r="IN15" i="1"/>
  <c r="JD16" i="1"/>
  <c r="GB7" i="1"/>
  <c r="JX5" i="1"/>
  <c r="FB6" i="1"/>
  <c r="JE6" i="1"/>
  <c r="JW6" i="1"/>
  <c r="GH7" i="1"/>
  <c r="JH7" i="1"/>
  <c r="HI8" i="1"/>
  <c r="FM9" i="1"/>
  <c r="HX9" i="1"/>
  <c r="JX9" i="1"/>
  <c r="IC10" i="1"/>
  <c r="HK11" i="1"/>
  <c r="IN11" i="1"/>
  <c r="JT11" i="1"/>
  <c r="EW12" i="1"/>
  <c r="GB12" i="1"/>
  <c r="JZ12" i="1"/>
  <c r="IC13" i="1"/>
  <c r="FQ14" i="1"/>
  <c r="HK14" i="1"/>
  <c r="IO14" i="1"/>
  <c r="IO15" i="1"/>
  <c r="EX16" i="1"/>
  <c r="HZ16" i="1"/>
  <c r="JE16" i="1"/>
  <c r="JT15" i="1"/>
  <c r="JX6" i="1"/>
  <c r="ML7" i="1"/>
  <c r="NE7" i="1" s="1"/>
  <c r="NF7" i="1" s="1"/>
  <c r="KB7" i="1"/>
  <c r="HI7" i="1"/>
  <c r="KG8" i="1"/>
  <c r="KF8" i="1"/>
  <c r="KF10" i="1"/>
  <c r="IR10" i="1"/>
  <c r="HZ12" i="1"/>
  <c r="KG15" i="1"/>
  <c r="FN16" i="1"/>
  <c r="HI16" i="1"/>
  <c r="FR5" i="1"/>
  <c r="EV7" i="1"/>
  <c r="HJ7" i="1"/>
  <c r="IQ8" i="1"/>
  <c r="JT8" i="1"/>
  <c r="FN9" i="1"/>
  <c r="JG9" i="1"/>
  <c r="FO11" i="1"/>
  <c r="KH11" i="1"/>
  <c r="GG12" i="1"/>
  <c r="LZ13" i="1"/>
  <c r="MK13" i="1" s="1"/>
  <c r="NC13" i="1" s="1"/>
  <c r="ND13" i="1" s="1"/>
  <c r="HJ16" i="1"/>
  <c r="IN16" i="1"/>
  <c r="KF11" i="1"/>
  <c r="HI6" i="1"/>
  <c r="JJ5" i="1"/>
  <c r="FP7" i="1"/>
  <c r="IR8" i="1"/>
  <c r="FO9" i="1"/>
  <c r="HK9" i="1"/>
  <c r="IT10" i="1"/>
  <c r="IB12" i="1"/>
  <c r="HH13" i="1"/>
  <c r="HN15" i="1"/>
  <c r="FP16" i="1"/>
  <c r="HK16" i="1"/>
  <c r="ML16" i="1"/>
  <c r="NE16" i="1" s="1"/>
  <c r="NF16" i="1" s="1"/>
  <c r="JT16" i="1"/>
  <c r="JW8" i="1"/>
  <c r="ML9" i="1"/>
  <c r="NE9" i="1" s="1"/>
  <c r="NF9" i="1" s="1"/>
  <c r="HM9" i="1"/>
  <c r="JJ9" i="1"/>
  <c r="ID12" i="1"/>
  <c r="JW12" i="1"/>
  <c r="GG14" i="1"/>
  <c r="HX14" i="1"/>
  <c r="JU15" i="1"/>
  <c r="EV16" i="1"/>
  <c r="HM16" i="1"/>
  <c r="JU16" i="1"/>
  <c r="EW10" i="1"/>
  <c r="IO10" i="1"/>
  <c r="JV13" i="1"/>
  <c r="HL15" i="1"/>
  <c r="EW16" i="1"/>
  <c r="JV16" i="1"/>
  <c r="JY6" i="1"/>
  <c r="JD9" i="1"/>
  <c r="FP11" i="1"/>
  <c r="GH12" i="1"/>
  <c r="HZ8" i="1"/>
  <c r="JZ8" i="1"/>
  <c r="FQ9" i="1"/>
  <c r="HI9" i="1"/>
  <c r="JE9" i="1"/>
  <c r="GD10" i="1"/>
  <c r="IS10" i="1"/>
  <c r="KB14" i="1"/>
  <c r="IA14" i="1"/>
  <c r="FL15" i="1"/>
  <c r="HX15" i="1"/>
  <c r="JX15" i="1"/>
  <c r="EY16" i="1"/>
  <c r="GB16" i="1"/>
  <c r="HH16" i="1"/>
  <c r="IT16" i="1"/>
  <c r="JF5" i="1"/>
  <c r="KD16" i="1"/>
  <c r="JW16" i="1"/>
  <c r="KI5" i="1"/>
  <c r="GE5" i="1"/>
  <c r="JI5" i="1"/>
  <c r="LZ6" i="1"/>
  <c r="MK6" i="1" s="1"/>
  <c r="NC6" i="1" s="1"/>
  <c r="ND6" i="1" s="1"/>
  <c r="KI7" i="1"/>
  <c r="HK7" i="1"/>
  <c r="IA8" i="1"/>
  <c r="EY9" i="1"/>
  <c r="FM13" i="1"/>
  <c r="GH15" i="1"/>
  <c r="HY15" i="1"/>
  <c r="JY15" i="1"/>
  <c r="GC16" i="1"/>
  <c r="JY16" i="1"/>
  <c r="JW15" i="1"/>
  <c r="GF5" i="1"/>
  <c r="IS5" i="1"/>
  <c r="JJ6" i="1"/>
  <c r="IB8" i="1"/>
  <c r="KF9" i="1"/>
  <c r="ID10" i="1"/>
  <c r="FN13" i="1"/>
  <c r="IS13" i="1"/>
  <c r="JZ13" i="1"/>
  <c r="HJ14" i="1"/>
  <c r="HZ15" i="1"/>
  <c r="GD16" i="1"/>
  <c r="JZ16" i="1"/>
  <c r="KI16" i="1"/>
  <c r="KG10" i="1"/>
  <c r="HH15" i="1"/>
  <c r="FN5" i="1"/>
  <c r="JU6" i="1"/>
  <c r="GG7" i="1"/>
  <c r="MA8" i="1"/>
  <c r="ML8" i="1" s="1"/>
  <c r="NE8" i="1" s="1"/>
  <c r="NF8" i="1" s="1"/>
  <c r="GC12" i="1"/>
  <c r="HL12" i="1"/>
  <c r="FR13" i="1"/>
  <c r="KC13" i="1"/>
  <c r="HJ13" i="1"/>
  <c r="KF14" i="1"/>
  <c r="HN14" i="1"/>
  <c r="EX15" i="1"/>
  <c r="HI15" i="1"/>
  <c r="GH16" i="1"/>
  <c r="IC16" i="1"/>
  <c r="FO5" i="1"/>
  <c r="JV6" i="1"/>
  <c r="EZ9" i="1"/>
  <c r="EX10" i="1"/>
  <c r="KI10" i="1"/>
  <c r="IP10" i="1"/>
  <c r="FL11" i="1"/>
  <c r="GD12" i="1"/>
  <c r="JX13" i="1"/>
  <c r="FA14" i="1"/>
  <c r="FL16" i="1"/>
  <c r="KB8" i="1"/>
  <c r="ID14" i="1"/>
  <c r="HY8" i="1"/>
  <c r="JU13" i="1"/>
  <c r="IC14" i="1"/>
  <c r="FP5" i="1"/>
  <c r="JG5" i="1"/>
  <c r="KB9" i="1"/>
  <c r="HH9" i="1"/>
  <c r="HI10" i="1"/>
  <c r="FM11" i="1"/>
  <c r="FB12" i="1"/>
  <c r="GE12" i="1"/>
  <c r="HY12" i="1"/>
  <c r="IT12" i="1"/>
  <c r="KD13" i="1"/>
  <c r="HL13" i="1"/>
  <c r="KH14" i="1"/>
  <c r="HH14" i="1"/>
  <c r="JI14" i="1"/>
  <c r="HK15" i="1"/>
  <c r="FM16" i="1"/>
  <c r="FA6" i="1"/>
  <c r="KG6" i="1"/>
  <c r="IO8" i="1"/>
  <c r="FR9" i="1"/>
  <c r="KH9" i="1"/>
  <c r="KD10" i="1"/>
  <c r="JG10" i="1"/>
  <c r="EY12" i="1"/>
  <c r="KE12" i="1"/>
  <c r="KI6" i="1"/>
  <c r="HN6" i="1"/>
  <c r="HK6" i="1"/>
  <c r="HJ6" i="1"/>
  <c r="HM6" i="1"/>
  <c r="KB5" i="1"/>
  <c r="FL5" i="1"/>
  <c r="IT5" i="1"/>
  <c r="IR5" i="1"/>
  <c r="IO5" i="1"/>
  <c r="IN5" i="1"/>
  <c r="GD6" i="1"/>
  <c r="KI8" i="1"/>
  <c r="IS8" i="1"/>
  <c r="JH10" i="1"/>
  <c r="JF10" i="1"/>
  <c r="JE10" i="1"/>
  <c r="GD5" i="1"/>
  <c r="GB5" i="1"/>
  <c r="IQ5" i="1"/>
  <c r="FA9" i="1"/>
  <c r="KG9" i="1"/>
  <c r="JI11" i="1"/>
  <c r="JG11" i="1"/>
  <c r="JE11" i="1"/>
  <c r="IT8" i="1"/>
  <c r="IP8" i="1"/>
  <c r="IN8" i="1"/>
  <c r="IS9" i="1"/>
  <c r="GG6" i="1"/>
  <c r="KI9" i="1"/>
  <c r="KH10" i="1"/>
  <c r="FB10" i="1"/>
  <c r="JI15" i="1"/>
  <c r="JE15" i="1"/>
  <c r="EW9" i="1"/>
  <c r="KC9" i="1"/>
  <c r="KC7" i="1"/>
  <c r="IT9" i="1"/>
  <c r="IR9" i="1"/>
  <c r="IO9" i="1"/>
  <c r="IN9" i="1"/>
  <c r="GH6" i="1"/>
  <c r="GF6" i="1"/>
  <c r="GC6" i="1"/>
  <c r="GB6" i="1"/>
  <c r="IQ9" i="1"/>
  <c r="JZ5" i="1"/>
  <c r="JW5" i="1"/>
  <c r="JV5" i="1"/>
  <c r="KF6" i="1"/>
  <c r="FP6" i="1"/>
  <c r="GE6" i="1"/>
  <c r="HH6" i="1"/>
  <c r="KD7" i="1"/>
  <c r="GH9" i="1"/>
  <c r="GD9" i="1"/>
  <c r="GB9" i="1"/>
  <c r="EW5" i="1"/>
  <c r="KC5" i="1"/>
  <c r="JU5" i="1"/>
  <c r="LZ5" i="1"/>
  <c r="MK5" i="1" s="1"/>
  <c r="NC5" i="1" s="1"/>
  <c r="ND5" i="1" s="1"/>
  <c r="EV6" i="1"/>
  <c r="KB6" i="1"/>
  <c r="JY5" i="1"/>
  <c r="KG7" i="1"/>
  <c r="KB10" i="1"/>
  <c r="MA12" i="1"/>
  <c r="ML12" i="1" s="1"/>
  <c r="NE12" i="1" s="1"/>
  <c r="NF12" i="1" s="1"/>
  <c r="LZ12" i="1"/>
  <c r="MK12" i="1" s="1"/>
  <c r="NC12" i="1" s="1"/>
  <c r="ND12" i="1" s="1"/>
  <c r="JJ13" i="1"/>
  <c r="JG13" i="1"/>
  <c r="JF13" i="1"/>
  <c r="JD13" i="1"/>
  <c r="EX14" i="1"/>
  <c r="KD14" i="1"/>
  <c r="KC6" i="1"/>
  <c r="KG5" i="1"/>
  <c r="EW8" i="1"/>
  <c r="KC8" i="1"/>
  <c r="KH8" i="1"/>
  <c r="KC10" i="1"/>
  <c r="FQ12" i="1"/>
  <c r="JH13" i="1"/>
  <c r="KC15" i="1"/>
  <c r="EY6" i="1"/>
  <c r="KE6" i="1"/>
  <c r="HL6" i="1"/>
  <c r="KC11" i="1"/>
  <c r="GC5" i="1"/>
  <c r="IP5" i="1"/>
  <c r="KD6" i="1"/>
  <c r="KE8" i="1"/>
  <c r="IC11" i="1"/>
  <c r="KG11" i="1"/>
  <c r="KI12" i="1"/>
  <c r="FR12" i="1"/>
  <c r="FO12" i="1"/>
  <c r="FA10" i="1"/>
  <c r="FL10" i="1"/>
  <c r="GE10" i="1"/>
  <c r="GF11" i="1"/>
  <c r="HX11" i="1"/>
  <c r="JJ11" i="1"/>
  <c r="JZ11" i="1"/>
  <c r="FN12" i="1"/>
  <c r="HN12" i="1"/>
  <c r="IQ12" i="1"/>
  <c r="JX12" i="1"/>
  <c r="JJ15" i="1"/>
  <c r="EZ16" i="1"/>
  <c r="KF16" i="1"/>
  <c r="IA6" i="1"/>
  <c r="IR6" i="1"/>
  <c r="JI6" i="1"/>
  <c r="EX7" i="1"/>
  <c r="FO7" i="1"/>
  <c r="GF7" i="1"/>
  <c r="KD9" i="1"/>
  <c r="JV9" i="1"/>
  <c r="FN10" i="1"/>
  <c r="GH10" i="1"/>
  <c r="FQ11" i="1"/>
  <c r="HZ11" i="1"/>
  <c r="KD11" i="1"/>
  <c r="KB12" i="1"/>
  <c r="FP12" i="1"/>
  <c r="IS12" i="1"/>
  <c r="KC12" i="1"/>
  <c r="ML13" i="1"/>
  <c r="NE13" i="1" s="1"/>
  <c r="NF13" i="1" s="1"/>
  <c r="KE14" i="1"/>
  <c r="KF15" i="1"/>
  <c r="GF15" i="1"/>
  <c r="KG16" i="1"/>
  <c r="EY7" i="1"/>
  <c r="KF7" i="1"/>
  <c r="JW9" i="1"/>
  <c r="FR11" i="1"/>
  <c r="NC127" i="1"/>
  <c r="ND127" i="1" s="1"/>
  <c r="MN127" i="1" a="1"/>
  <c r="MN127" i="1" s="1"/>
  <c r="FQ10" i="1"/>
  <c r="KD12" i="1"/>
  <c r="KG12" i="1"/>
  <c r="FB7" i="1"/>
  <c r="EZ10" i="1"/>
  <c r="JU11" i="1"/>
  <c r="MA11" i="1"/>
  <c r="ML11" i="1" s="1"/>
  <c r="NE11" i="1" s="1"/>
  <c r="NF11" i="1" s="1"/>
  <c r="KF12" i="1"/>
  <c r="HI12" i="1"/>
  <c r="IP13" i="1"/>
  <c r="KE13" i="1"/>
  <c r="KI14" i="1"/>
  <c r="KE15" i="1"/>
  <c r="FO15" i="1"/>
  <c r="FL9" i="1"/>
  <c r="LZ9" i="1"/>
  <c r="MK9" i="1" s="1"/>
  <c r="NC9" i="1" s="1"/>
  <c r="ND9" i="1" s="1"/>
  <c r="KB11" i="1"/>
  <c r="JV12" i="1"/>
  <c r="EZ13" i="1"/>
  <c r="KF13" i="1"/>
  <c r="IQ13" i="1"/>
  <c r="KI13" i="1"/>
  <c r="EV14" i="1"/>
  <c r="KB15" i="1"/>
  <c r="KE11" i="1"/>
  <c r="JW11" i="1"/>
  <c r="HK12" i="1"/>
  <c r="FA13" i="1"/>
  <c r="KG13" i="1"/>
  <c r="EW14" i="1"/>
  <c r="KD5" i="1"/>
  <c r="KH6" i="1"/>
  <c r="LZ7" i="1"/>
  <c r="MK7" i="1" s="1"/>
  <c r="NC7" i="1" s="1"/>
  <c r="ND7" i="1" s="1"/>
  <c r="KE9" i="1"/>
  <c r="GF10" i="1"/>
  <c r="KH13" i="1"/>
  <c r="GB13" i="1"/>
  <c r="EY14" i="1"/>
  <c r="GB14" i="1"/>
  <c r="KE5" i="1"/>
  <c r="EX9" i="1"/>
  <c r="HZ10" i="1"/>
  <c r="JD11" i="1"/>
  <c r="JY11" i="1"/>
  <c r="EV12" i="1"/>
  <c r="HM12" i="1"/>
  <c r="JE12" i="1"/>
  <c r="JY12" i="1"/>
  <c r="EZ14" i="1"/>
  <c r="HZ14" i="1"/>
  <c r="FR15" i="1"/>
  <c r="FQ15" i="1"/>
  <c r="JD15" i="1"/>
  <c r="FO10" i="1"/>
  <c r="JE13" i="1"/>
  <c r="IB14" i="1"/>
  <c r="FM15" i="1"/>
  <c r="JF11" i="1"/>
  <c r="JF15" i="1"/>
  <c r="KH5" i="1"/>
  <c r="KD8" i="1"/>
  <c r="JU10" i="1"/>
  <c r="IN12" i="1"/>
  <c r="IN13" i="1"/>
  <c r="GF14" i="1"/>
  <c r="FB15" i="1"/>
  <c r="KH15" i="1"/>
  <c r="JG15" i="1"/>
  <c r="KE10" i="1"/>
  <c r="FR10" i="1"/>
  <c r="JD10" i="1"/>
  <c r="MK10" i="1"/>
  <c r="NC10" i="1" s="1"/>
  <c r="ND10" i="1" s="1"/>
  <c r="KI11" i="1"/>
  <c r="JH11" i="1"/>
  <c r="FL12" i="1"/>
  <c r="HJ12" i="1"/>
  <c r="JU12" i="1"/>
  <c r="GG13" i="1"/>
  <c r="KI15" i="1"/>
  <c r="JH15" i="1"/>
  <c r="JI13" i="1"/>
  <c r="KE16" i="1"/>
  <c r="DN79" i="1"/>
  <c r="DN95" i="1"/>
  <c r="DO120" i="1"/>
  <c r="DN118" i="1"/>
  <c r="DN45" i="1"/>
  <c r="DN61" i="1"/>
  <c r="DN77" i="1"/>
  <c r="DN93" i="1"/>
  <c r="DN109" i="1"/>
  <c r="KH16" i="1"/>
  <c r="DN52" i="1"/>
  <c r="DN68" i="1"/>
  <c r="DN84" i="1"/>
  <c r="DN100" i="1"/>
  <c r="DN59" i="1"/>
  <c r="DN75" i="1"/>
  <c r="DN91" i="1"/>
  <c r="DN107" i="1"/>
  <c r="EZ15" i="1"/>
  <c r="LZ16" i="1"/>
  <c r="MK16" i="1" s="1"/>
  <c r="NC16" i="1" s="1"/>
  <c r="ND16" i="1" s="1"/>
  <c r="DN48" i="1"/>
  <c r="DN64" i="1"/>
  <c r="DN80" i="1"/>
  <c r="DN96" i="1"/>
  <c r="DN112" i="1"/>
  <c r="DN55" i="1"/>
  <c r="DN71" i="1"/>
  <c r="DN87" i="1"/>
  <c r="DN103" i="1"/>
  <c r="DN119" i="1"/>
  <c r="DN46" i="1"/>
  <c r="DN62" i="1"/>
  <c r="DN78" i="1"/>
  <c r="DN94" i="1"/>
  <c r="DN110" i="1"/>
  <c r="DN117" i="1"/>
  <c r="LZ15" i="1"/>
  <c r="MK15" i="1" s="1"/>
  <c r="NC15" i="1" s="1"/>
  <c r="ND15" i="1" s="1"/>
  <c r="DN51" i="1"/>
  <c r="DN67" i="1"/>
  <c r="KB16" i="1"/>
  <c r="DN58" i="1"/>
  <c r="DN74" i="1"/>
  <c r="DN90" i="1"/>
  <c r="DN106" i="1"/>
  <c r="DN122" i="1"/>
  <c r="KC16" i="1"/>
  <c r="DN49" i="1"/>
  <c r="DN65" i="1"/>
  <c r="DN81" i="1"/>
  <c r="DN97" i="1"/>
  <c r="DN113" i="1"/>
  <c r="KO7" i="1" l="1"/>
  <c r="KN11" i="1"/>
  <c r="LW11" i="1" s="1"/>
  <c r="MH11" i="1" s="1"/>
  <c r="MW11" i="1" s="1"/>
  <c r="MX11" i="1" s="1"/>
  <c r="LB7" i="1"/>
  <c r="LK7" i="1" s="1" a="1"/>
  <c r="LK7" i="1" s="1"/>
  <c r="KT7" i="1"/>
  <c r="LB16" i="1"/>
  <c r="LD8" i="1"/>
  <c r="KZ9" i="1"/>
  <c r="KO16" i="1"/>
  <c r="LX16" i="1" s="1"/>
  <c r="MI16" i="1" s="1"/>
  <c r="MY16" i="1" s="1"/>
  <c r="MZ16" i="1" s="1"/>
  <c r="LD14" i="1"/>
  <c r="KM8" i="1"/>
  <c r="KR8" i="1"/>
  <c r="KS8" i="1" s="1"/>
  <c r="KK7" i="1"/>
  <c r="KU7" i="1" s="1"/>
  <c r="KX16" i="1"/>
  <c r="LI16" i="1" s="1" a="1"/>
  <c r="LI16" i="1" s="1"/>
  <c r="KL16" i="1"/>
  <c r="LU16" i="1" s="1"/>
  <c r="MF16" i="1" s="1"/>
  <c r="MS16" i="1" s="1"/>
  <c r="MT16" i="1" s="1"/>
  <c r="KT13" i="1"/>
  <c r="KZ12" i="1"/>
  <c r="LJ12" i="1" s="1" a="1"/>
  <c r="LJ12" i="1" s="1"/>
  <c r="KP14" i="1"/>
  <c r="LY14" i="1" s="1"/>
  <c r="MJ14" i="1" s="1"/>
  <c r="NA14" i="1" s="1"/>
  <c r="NB14" i="1" s="1"/>
  <c r="KV16" i="1"/>
  <c r="KJ9" i="1"/>
  <c r="LS9" i="1" s="1"/>
  <c r="MD9" i="1" s="1"/>
  <c r="KV8" i="1"/>
  <c r="LH8" i="1" s="1" a="1"/>
  <c r="LH8" i="1" s="1"/>
  <c r="KK6" i="1"/>
  <c r="LT6" i="1" s="1"/>
  <c r="ME6" i="1" s="1"/>
  <c r="MQ6" i="1" s="1"/>
  <c r="MR6" i="1" s="1"/>
  <c r="KX8" i="1"/>
  <c r="KP6" i="1"/>
  <c r="KV15" i="1"/>
  <c r="KJ8" i="1"/>
  <c r="LS8" i="1" s="1"/>
  <c r="KX9" i="1"/>
  <c r="LI9" i="1" s="1" a="1"/>
  <c r="LI9" i="1" s="1"/>
  <c r="KR15" i="1"/>
  <c r="LF15" i="1" s="1" a="1"/>
  <c r="LF15" i="1" s="1"/>
  <c r="KM13" i="1"/>
  <c r="LV13" i="1" s="1"/>
  <c r="MG13" i="1" s="1"/>
  <c r="MU13" i="1" s="1"/>
  <c r="MV13" i="1" s="1"/>
  <c r="KR13" i="1"/>
  <c r="LF13" i="1" s="1" a="1"/>
  <c r="LF13" i="1" s="1"/>
  <c r="KJ10" i="1"/>
  <c r="LS10" i="1" s="1"/>
  <c r="MD10" i="1" s="1"/>
  <c r="KR11" i="1"/>
  <c r="LF11" i="1" s="1" a="1"/>
  <c r="LF11" i="1" s="1"/>
  <c r="KL6" i="1"/>
  <c r="LU6" i="1" s="1"/>
  <c r="MF6" i="1" s="1"/>
  <c r="MS6" i="1" s="1"/>
  <c r="MT6" i="1" s="1"/>
  <c r="KK13" i="1"/>
  <c r="LT13" i="1" s="1"/>
  <c r="ME13" i="1" s="1"/>
  <c r="MQ13" i="1" s="1"/>
  <c r="MR13" i="1" s="1"/>
  <c r="LD11" i="1"/>
  <c r="LL11" i="1" s="1" a="1"/>
  <c r="LL11" i="1" s="1"/>
  <c r="KL13" i="1"/>
  <c r="LU13" i="1" s="1"/>
  <c r="MF13" i="1" s="1"/>
  <c r="MS13" i="1" s="1"/>
  <c r="MT13" i="1" s="1"/>
  <c r="KT11" i="1"/>
  <c r="LG11" i="1" s="1" a="1"/>
  <c r="LG11" i="1" s="1"/>
  <c r="KX11" i="1"/>
  <c r="LI11" i="1" s="1" a="1"/>
  <c r="LI11" i="1" s="1"/>
  <c r="KL15" i="1"/>
  <c r="LU15" i="1" s="1"/>
  <c r="MF15" i="1" s="1"/>
  <c r="MS15" i="1" s="1"/>
  <c r="MT15" i="1" s="1"/>
  <c r="KN12" i="1"/>
  <c r="KP12" i="1"/>
  <c r="LY12" i="1" s="1"/>
  <c r="MJ12" i="1" s="1"/>
  <c r="NA12" i="1" s="1"/>
  <c r="NB12" i="1" s="1"/>
  <c r="KL10" i="1"/>
  <c r="LU10" i="1" s="1"/>
  <c r="MF10" i="1" s="1"/>
  <c r="MS10" i="1" s="1"/>
  <c r="MT10" i="1" s="1"/>
  <c r="KM16" i="1"/>
  <c r="KO5" i="1"/>
  <c r="LX5" i="1" s="1"/>
  <c r="MI5" i="1" s="1"/>
  <c r="MY5" i="1" s="1"/>
  <c r="MZ5" i="1" s="1"/>
  <c r="KM5" i="1"/>
  <c r="LV5" i="1" s="1"/>
  <c r="MG5" i="1" s="1"/>
  <c r="MU5" i="1" s="1"/>
  <c r="MV5" i="1" s="1"/>
  <c r="KL8" i="1"/>
  <c r="KO8" i="1"/>
  <c r="LX8" i="1" s="1"/>
  <c r="MI8" i="1" s="1"/>
  <c r="MY8" i="1" s="1"/>
  <c r="MZ8" i="1" s="1"/>
  <c r="KZ5" i="1"/>
  <c r="LJ5" i="1" s="1" a="1"/>
  <c r="LJ5" i="1" s="1"/>
  <c r="KP13" i="1"/>
  <c r="LY13" i="1" s="1"/>
  <c r="MJ13" i="1" s="1"/>
  <c r="NA13" i="1" s="1"/>
  <c r="NB13" i="1" s="1"/>
  <c r="KK12" i="1"/>
  <c r="LT12" i="1" s="1"/>
  <c r="ME12" i="1" s="1"/>
  <c r="MQ12" i="1" s="1"/>
  <c r="MR12" i="1" s="1"/>
  <c r="LB14" i="1"/>
  <c r="LK14" i="1" s="1" a="1"/>
  <c r="LK14" i="1" s="1"/>
  <c r="KP16" i="1"/>
  <c r="LY16" i="1" s="1"/>
  <c r="MJ16" i="1" s="1"/>
  <c r="NA16" i="1" s="1"/>
  <c r="NB16" i="1" s="1"/>
  <c r="KK16" i="1"/>
  <c r="LT16" i="1" s="1"/>
  <c r="ME16" i="1" s="1"/>
  <c r="MQ16" i="1" s="1"/>
  <c r="MR16" i="1" s="1"/>
  <c r="LD12" i="1"/>
  <c r="LL12" i="1" s="1" a="1"/>
  <c r="LL12" i="1" s="1"/>
  <c r="KN8" i="1"/>
  <c r="LW8" i="1" s="1"/>
  <c r="MH8" i="1" s="1"/>
  <c r="MW8" i="1" s="1"/>
  <c r="MX8" i="1" s="1"/>
  <c r="KR7" i="1"/>
  <c r="LF7" i="1" s="1" a="1"/>
  <c r="LF7" i="1" s="1"/>
  <c r="KR16" i="1"/>
  <c r="KT12" i="1"/>
  <c r="LG12" i="1" s="1" a="1"/>
  <c r="LG12" i="1" s="1"/>
  <c r="KZ7" i="1"/>
  <c r="LJ7" i="1" s="1" a="1"/>
  <c r="LJ7" i="1" s="1"/>
  <c r="KO14" i="1"/>
  <c r="LX14" i="1" s="1"/>
  <c r="MI14" i="1" s="1"/>
  <c r="MY14" i="1" s="1"/>
  <c r="MZ14" i="1" s="1"/>
  <c r="LD5" i="1"/>
  <c r="LL5" i="1" s="1" a="1"/>
  <c r="LL5" i="1" s="1"/>
  <c r="KJ16" i="1"/>
  <c r="LS16" i="1" s="1"/>
  <c r="MD16" i="1" s="1"/>
  <c r="LB5" i="1"/>
  <c r="LK5" i="1" s="1" a="1"/>
  <c r="LK5" i="1" s="1"/>
  <c r="KJ7" i="1"/>
  <c r="LS7" i="1" s="1"/>
  <c r="MD7" i="1" s="1"/>
  <c r="KJ5" i="1"/>
  <c r="LS5" i="1" s="1"/>
  <c r="MD5" i="1" s="1"/>
  <c r="LD9" i="1"/>
  <c r="LL9" i="1" s="1" a="1"/>
  <c r="LL9" i="1" s="1"/>
  <c r="KT16" i="1"/>
  <c r="KX10" i="1"/>
  <c r="LI10" i="1" s="1" a="1"/>
  <c r="LI10" i="1" s="1"/>
  <c r="LY6" i="1"/>
  <c r="MJ6" i="1" s="1"/>
  <c r="NA6" i="1" s="1"/>
  <c r="NB6" i="1" s="1"/>
  <c r="KZ8" i="1"/>
  <c r="LA8" i="1" s="1"/>
  <c r="KV6" i="1"/>
  <c r="KM15" i="1"/>
  <c r="LV15" i="1" s="1"/>
  <c r="MG15" i="1" s="1"/>
  <c r="MU15" i="1" s="1"/>
  <c r="MV15" i="1" s="1"/>
  <c r="KV5" i="1"/>
  <c r="LH5" i="1" s="1" a="1"/>
  <c r="LH5" i="1" s="1"/>
  <c r="KT6" i="1"/>
  <c r="LW12" i="1"/>
  <c r="MH12" i="1" s="1"/>
  <c r="MW12" i="1" s="1"/>
  <c r="MX12" i="1" s="1"/>
  <c r="KR9" i="1"/>
  <c r="LF9" i="1" s="1" a="1"/>
  <c r="LF9" i="1" s="1"/>
  <c r="KN5" i="1"/>
  <c r="LW5" i="1" s="1"/>
  <c r="MH5" i="1" s="1"/>
  <c r="MW5" i="1" s="1"/>
  <c r="MX5" i="1" s="1"/>
  <c r="KX13" i="1"/>
  <c r="KT10" i="1"/>
  <c r="LG10" i="1" s="1" a="1"/>
  <c r="LG10" i="1" s="1"/>
  <c r="LD16" i="1"/>
  <c r="LL16" i="1" s="1" a="1"/>
  <c r="LL16" i="1" s="1"/>
  <c r="KV13" i="1"/>
  <c r="KL11" i="1"/>
  <c r="LU11" i="1" s="1"/>
  <c r="MF11" i="1" s="1"/>
  <c r="MS11" i="1" s="1"/>
  <c r="MT11" i="1" s="1"/>
  <c r="LB8" i="1"/>
  <c r="KV10" i="1"/>
  <c r="LH10" i="1" s="1" a="1"/>
  <c r="LH10" i="1" s="1"/>
  <c r="LB15" i="1"/>
  <c r="LK15" i="1" s="1" a="1"/>
  <c r="LK15" i="1" s="1"/>
  <c r="LB11" i="1"/>
  <c r="LK11" i="1" s="1" a="1"/>
  <c r="LK11" i="1" s="1"/>
  <c r="LJ9" i="1" a="1"/>
  <c r="LJ9" i="1" s="1"/>
  <c r="LL8" i="1" a="1"/>
  <c r="LL8" i="1" s="1"/>
  <c r="KR12" i="1"/>
  <c r="KJ12" i="1"/>
  <c r="LS12" i="1" s="1"/>
  <c r="LD13" i="1"/>
  <c r="KJ11" i="1"/>
  <c r="LS11" i="1" s="1"/>
  <c r="KZ11" i="1"/>
  <c r="KL7" i="1"/>
  <c r="LU7" i="1" s="1"/>
  <c r="MF7" i="1" s="1"/>
  <c r="MS7" i="1" s="1"/>
  <c r="MT7" i="1" s="1"/>
  <c r="KV7" i="1"/>
  <c r="KM11" i="1"/>
  <c r="LV11" i="1" s="1"/>
  <c r="MG11" i="1" s="1"/>
  <c r="MU11" i="1" s="1"/>
  <c r="MV11" i="1" s="1"/>
  <c r="KN7" i="1"/>
  <c r="LW7" i="1" s="1"/>
  <c r="MH7" i="1" s="1"/>
  <c r="MW7" i="1" s="1"/>
  <c r="MX7" i="1" s="1"/>
  <c r="LD10" i="1"/>
  <c r="KP10" i="1"/>
  <c r="LY10" i="1" s="1"/>
  <c r="MJ10" i="1" s="1"/>
  <c r="NA10" i="1" s="1"/>
  <c r="NB10" i="1" s="1"/>
  <c r="KL14" i="1"/>
  <c r="LU14" i="1" s="1"/>
  <c r="MF14" i="1" s="1"/>
  <c r="MS14" i="1" s="1"/>
  <c r="MT14" i="1" s="1"/>
  <c r="KV14" i="1"/>
  <c r="KM6" i="1"/>
  <c r="LV6" i="1" s="1"/>
  <c r="MG6" i="1" s="1"/>
  <c r="MU6" i="1" s="1"/>
  <c r="MV6" i="1" s="1"/>
  <c r="KX6" i="1"/>
  <c r="KJ15" i="1"/>
  <c r="LS15" i="1" s="1"/>
  <c r="KP11" i="1"/>
  <c r="LY11" i="1" s="1"/>
  <c r="MJ11" i="1" s="1"/>
  <c r="NA11" i="1" s="1"/>
  <c r="NB11" i="1" s="1"/>
  <c r="KZ10" i="1"/>
  <c r="KN10" i="1"/>
  <c r="LW10" i="1" s="1"/>
  <c r="MH10" i="1" s="1"/>
  <c r="MW10" i="1" s="1"/>
  <c r="MX10" i="1" s="1"/>
  <c r="KM12" i="1"/>
  <c r="LV12" i="1" s="1"/>
  <c r="MG12" i="1" s="1"/>
  <c r="MU12" i="1" s="1"/>
  <c r="MV12" i="1" s="1"/>
  <c r="KX12" i="1"/>
  <c r="KV12" i="1"/>
  <c r="KL12" i="1"/>
  <c r="LU12" i="1" s="1"/>
  <c r="MF12" i="1" s="1"/>
  <c r="MS12" i="1" s="1"/>
  <c r="MT12" i="1" s="1"/>
  <c r="KJ6" i="1"/>
  <c r="LS6" i="1" s="1"/>
  <c r="KR6" i="1"/>
  <c r="KN6" i="1"/>
  <c r="LW6" i="1" s="1"/>
  <c r="MH6" i="1" s="1"/>
  <c r="MW6" i="1" s="1"/>
  <c r="MX6" i="1" s="1"/>
  <c r="KV9" i="1"/>
  <c r="KL9" i="1"/>
  <c r="LU9" i="1" s="1"/>
  <c r="MF9" i="1" s="1"/>
  <c r="MS9" i="1" s="1"/>
  <c r="MT9" i="1" s="1"/>
  <c r="KP7" i="1"/>
  <c r="LY7" i="1" s="1"/>
  <c r="MJ7" i="1" s="1"/>
  <c r="NA7" i="1" s="1"/>
  <c r="NB7" i="1" s="1"/>
  <c r="LD7" i="1"/>
  <c r="KM10" i="1"/>
  <c r="LV10" i="1" s="1"/>
  <c r="MG10" i="1" s="1"/>
  <c r="MU10" i="1" s="1"/>
  <c r="MV10" i="1" s="1"/>
  <c r="KP8" i="1"/>
  <c r="LY8" i="1" s="1"/>
  <c r="MJ8" i="1" s="1"/>
  <c r="NA8" i="1" s="1"/>
  <c r="NB8" i="1" s="1"/>
  <c r="MD8" i="1"/>
  <c r="KN16" i="1"/>
  <c r="LW16" i="1" s="1"/>
  <c r="MH16" i="1" s="1"/>
  <c r="MW16" i="1" s="1"/>
  <c r="MX16" i="1" s="1"/>
  <c r="KZ16" i="1"/>
  <c r="LH15" i="1" a="1"/>
  <c r="LH15" i="1" s="1"/>
  <c r="KT5" i="1"/>
  <c r="KK5" i="1"/>
  <c r="LT5" i="1" s="1"/>
  <c r="ME5" i="1" s="1"/>
  <c r="MQ5" i="1" s="1"/>
  <c r="MR5" i="1" s="1"/>
  <c r="KM7" i="1"/>
  <c r="LV7" i="1" s="1"/>
  <c r="MG7" i="1" s="1"/>
  <c r="MU7" i="1" s="1"/>
  <c r="MV7" i="1" s="1"/>
  <c r="KX7" i="1"/>
  <c r="KK10" i="1"/>
  <c r="LT10" i="1" s="1"/>
  <c r="ME10" i="1" s="1"/>
  <c r="MQ10" i="1" s="1"/>
  <c r="MR10" i="1" s="1"/>
  <c r="LB12" i="1"/>
  <c r="LD6" i="1"/>
  <c r="KK9" i="1"/>
  <c r="LT9" i="1" s="1"/>
  <c r="ME9" i="1" s="1"/>
  <c r="MQ9" i="1" s="1"/>
  <c r="MR9" i="1" s="1"/>
  <c r="KT9" i="1"/>
  <c r="KK11" i="1"/>
  <c r="LT11" i="1" s="1"/>
  <c r="ME11" i="1" s="1"/>
  <c r="MQ11" i="1" s="1"/>
  <c r="MR11" i="1" s="1"/>
  <c r="LC16" i="1"/>
  <c r="LK16" i="1" a="1"/>
  <c r="LK16" i="1" s="1"/>
  <c r="KL5" i="1"/>
  <c r="LU5" i="1" s="1"/>
  <c r="MF5" i="1" s="1"/>
  <c r="MS5" i="1" s="1"/>
  <c r="MT5" i="1" s="1"/>
  <c r="KX15" i="1"/>
  <c r="KM9" i="1"/>
  <c r="LV9" i="1" s="1"/>
  <c r="MG9" i="1" s="1"/>
  <c r="MU9" i="1" s="1"/>
  <c r="MV9" i="1" s="1"/>
  <c r="KN15" i="1"/>
  <c r="LW15" i="1" s="1"/>
  <c r="MH15" i="1" s="1"/>
  <c r="MW15" i="1" s="1"/>
  <c r="MX15" i="1" s="1"/>
  <c r="KZ15" i="1"/>
  <c r="KN14" i="1"/>
  <c r="LW14" i="1" s="1"/>
  <c r="MH14" i="1" s="1"/>
  <c r="MW14" i="1" s="1"/>
  <c r="MX14" i="1" s="1"/>
  <c r="KZ14" i="1"/>
  <c r="KK14" i="1"/>
  <c r="LT14" i="1" s="1"/>
  <c r="ME14" i="1" s="1"/>
  <c r="MQ14" i="1" s="1"/>
  <c r="MR14" i="1" s="1"/>
  <c r="KT14" i="1"/>
  <c r="KJ14" i="1"/>
  <c r="LS14" i="1" s="1"/>
  <c r="KR14" i="1"/>
  <c r="KN9" i="1"/>
  <c r="LW9" i="1" s="1"/>
  <c r="MH9" i="1" s="1"/>
  <c r="MW9" i="1" s="1"/>
  <c r="MX9" i="1" s="1"/>
  <c r="KR10" i="1"/>
  <c r="LC7" i="1"/>
  <c r="LG7" i="1" a="1"/>
  <c r="LG7" i="1" s="1"/>
  <c r="KX14" i="1"/>
  <c r="KM14" i="1"/>
  <c r="LV14" i="1" s="1"/>
  <c r="MG14" i="1" s="1"/>
  <c r="MU14" i="1" s="1"/>
  <c r="MV14" i="1" s="1"/>
  <c r="LB10" i="1"/>
  <c r="KO10" i="1"/>
  <c r="LX10" i="1" s="1"/>
  <c r="MI10" i="1" s="1"/>
  <c r="MY10" i="1" s="1"/>
  <c r="MZ10" i="1" s="1"/>
  <c r="KO11" i="1"/>
  <c r="LX11" i="1" s="1"/>
  <c r="MI11" i="1" s="1"/>
  <c r="MY11" i="1" s="1"/>
  <c r="MZ11" i="1" s="1"/>
  <c r="KJ13" i="1"/>
  <c r="LS13" i="1" s="1"/>
  <c r="KP9" i="1"/>
  <c r="LY9" i="1" s="1"/>
  <c r="MJ9" i="1" s="1"/>
  <c r="NA9" i="1" s="1"/>
  <c r="NB9" i="1" s="1"/>
  <c r="LB9" i="1"/>
  <c r="KO9" i="1"/>
  <c r="LX9" i="1" s="1"/>
  <c r="MI9" i="1" s="1"/>
  <c r="MY9" i="1" s="1"/>
  <c r="MZ9" i="1" s="1"/>
  <c r="LX7" i="1"/>
  <c r="MI7" i="1" s="1"/>
  <c r="MY7" i="1" s="1"/>
  <c r="MZ7" i="1" s="1"/>
  <c r="KP15" i="1"/>
  <c r="LY15" i="1" s="1"/>
  <c r="MJ15" i="1" s="1"/>
  <c r="NA15" i="1" s="1"/>
  <c r="NB15" i="1" s="1"/>
  <c r="LD15" i="1"/>
  <c r="KT15" i="1"/>
  <c r="KK15" i="1"/>
  <c r="LT15" i="1" s="1"/>
  <c r="ME15" i="1" s="1"/>
  <c r="MQ15" i="1" s="1"/>
  <c r="MR15" i="1" s="1"/>
  <c r="LI8" i="1" a="1"/>
  <c r="LI8" i="1" s="1"/>
  <c r="KY8" i="1"/>
  <c r="KT8" i="1"/>
  <c r="KK8" i="1"/>
  <c r="LT8" i="1" s="1"/>
  <c r="ME8" i="1" s="1"/>
  <c r="MQ8" i="1" s="1"/>
  <c r="MR8" i="1" s="1"/>
  <c r="LV8" i="1"/>
  <c r="MG8" i="1" s="1"/>
  <c r="MU8" i="1" s="1"/>
  <c r="MV8" i="1" s="1"/>
  <c r="KO13" i="1"/>
  <c r="LX13" i="1" s="1"/>
  <c r="MI13" i="1" s="1"/>
  <c r="MY13" i="1" s="1"/>
  <c r="MZ13" i="1" s="1"/>
  <c r="LB13" i="1"/>
  <c r="KO12" i="1"/>
  <c r="LX12" i="1" s="1"/>
  <c r="MI12" i="1" s="1"/>
  <c r="MY12" i="1" s="1"/>
  <c r="MZ12" i="1" s="1"/>
  <c r="KZ6" i="1"/>
  <c r="KR5" i="1"/>
  <c r="LB6" i="1"/>
  <c r="KO6" i="1"/>
  <c r="LX6" i="1" s="1"/>
  <c r="MI6" i="1" s="1"/>
  <c r="MY6" i="1" s="1"/>
  <c r="MZ6" i="1" s="1"/>
  <c r="KO15" i="1"/>
  <c r="LX15" i="1" s="1"/>
  <c r="MI15" i="1" s="1"/>
  <c r="MY15" i="1" s="1"/>
  <c r="MZ15" i="1" s="1"/>
  <c r="KV11" i="1"/>
  <c r="KX5" i="1"/>
  <c r="KP5" i="1"/>
  <c r="LY5" i="1" s="1"/>
  <c r="MJ5" i="1" s="1"/>
  <c r="NA5" i="1" s="1"/>
  <c r="NB5" i="1" s="1"/>
  <c r="KN13" i="1"/>
  <c r="LW13" i="1" s="1"/>
  <c r="MH13" i="1" s="1"/>
  <c r="MW13" i="1" s="1"/>
  <c r="MX13" i="1" s="1"/>
  <c r="KZ13" i="1"/>
  <c r="LL14" i="1" a="1"/>
  <c r="LL14" i="1" s="1"/>
  <c r="LT7" i="1" l="1"/>
  <c r="ME7" i="1" s="1"/>
  <c r="MQ7" i="1" s="1"/>
  <c r="MR7" i="1" s="1"/>
  <c r="KY13" i="1"/>
  <c r="LF8" i="1" a="1"/>
  <c r="LF8" i="1" s="1"/>
  <c r="LA12" i="1"/>
  <c r="KW16" i="1"/>
  <c r="KW13" i="1"/>
  <c r="KU13" i="1"/>
  <c r="LH13" i="1" a="1"/>
  <c r="LH13" i="1" s="1"/>
  <c r="KY16" i="1"/>
  <c r="LA5" i="1"/>
  <c r="LE14" i="1"/>
  <c r="LH16" i="1" a="1"/>
  <c r="LH16" i="1" s="1"/>
  <c r="LG13" i="1" a="1"/>
  <c r="LG13" i="1" s="1"/>
  <c r="KU6" i="1"/>
  <c r="KW8" i="1"/>
  <c r="KS16" i="1"/>
  <c r="LU8" i="1"/>
  <c r="MF8" i="1" s="1"/>
  <c r="MS8" i="1" s="1"/>
  <c r="MT8" i="1" s="1"/>
  <c r="KW6" i="1"/>
  <c r="KS7" i="1"/>
  <c r="LC8" i="1"/>
  <c r="LE16" i="1"/>
  <c r="KU16" i="1"/>
  <c r="LI13" i="1" a="1"/>
  <c r="LI13" i="1" s="1"/>
  <c r="KS9" i="1"/>
  <c r="KU12" i="1"/>
  <c r="LK8" i="1" a="1"/>
  <c r="LK8" i="1" s="1"/>
  <c r="LF16" i="1" a="1"/>
  <c r="LF16" i="1" s="1"/>
  <c r="LG6" i="1" a="1"/>
  <c r="LG6" i="1" s="1"/>
  <c r="KS15" i="1"/>
  <c r="KW10" i="1"/>
  <c r="MB7" i="1"/>
  <c r="LC5" i="1"/>
  <c r="LG16" i="1" a="1"/>
  <c r="LG16" i="1" s="1"/>
  <c r="LE12" i="1"/>
  <c r="LV16" i="1"/>
  <c r="MG16" i="1" s="1"/>
  <c r="MU16" i="1" s="1"/>
  <c r="MV16" i="1" s="1"/>
  <c r="LC14" i="1"/>
  <c r="KW15" i="1"/>
  <c r="LJ8" i="1" a="1"/>
  <c r="LJ8" i="1" s="1"/>
  <c r="KS11" i="1"/>
  <c r="LH6" i="1" a="1"/>
  <c r="LH6" i="1" s="1"/>
  <c r="LE11" i="1"/>
  <c r="KS6" i="1"/>
  <c r="LF6" i="1" a="1"/>
  <c r="LF6" i="1" s="1"/>
  <c r="MD12" i="1"/>
  <c r="MB12" i="1"/>
  <c r="KY5" i="1"/>
  <c r="LI5" i="1" a="1"/>
  <c r="LI5" i="1" s="1"/>
  <c r="MB6" i="1"/>
  <c r="MD6" i="1"/>
  <c r="KS12" i="1"/>
  <c r="LF12" i="1" a="1"/>
  <c r="LF12" i="1" s="1"/>
  <c r="LE7" i="1"/>
  <c r="LL7" i="1" a="1"/>
  <c r="LL7" i="1" s="1"/>
  <c r="KY12" i="1"/>
  <c r="LI12" i="1" a="1"/>
  <c r="LI12" i="1" s="1"/>
  <c r="KW12" i="1"/>
  <c r="LH12" i="1" a="1"/>
  <c r="LH12" i="1" s="1"/>
  <c r="LA7" i="1"/>
  <c r="LA15" i="1"/>
  <c r="LJ15" i="1" a="1"/>
  <c r="LJ15" i="1" s="1"/>
  <c r="LC6" i="1"/>
  <c r="LK6" i="1" a="1"/>
  <c r="LK6" i="1" s="1"/>
  <c r="LG15" i="1" a="1"/>
  <c r="LG15" i="1" s="1"/>
  <c r="KU15" i="1"/>
  <c r="KY15" i="1"/>
  <c r="LI15" i="1" a="1"/>
  <c r="LI15" i="1" s="1"/>
  <c r="LK12" i="1" a="1"/>
  <c r="LK12" i="1" s="1"/>
  <c r="LC12" i="1"/>
  <c r="LE10" i="1"/>
  <c r="LL10" i="1" a="1"/>
  <c r="LL10" i="1" s="1"/>
  <c r="KY11" i="1"/>
  <c r="KU8" i="1"/>
  <c r="LG8" i="1" a="1"/>
  <c r="LG8" i="1" s="1"/>
  <c r="KW11" i="1"/>
  <c r="LH11" i="1" a="1"/>
  <c r="LH11" i="1" s="1"/>
  <c r="KW14" i="1"/>
  <c r="LH14" i="1" a="1"/>
  <c r="LH14" i="1" s="1"/>
  <c r="KS5" i="1"/>
  <c r="LF5" i="1" a="1"/>
  <c r="LF5" i="1" s="1"/>
  <c r="LE15" i="1"/>
  <c r="LL15" i="1" a="1"/>
  <c r="LL15" i="1" s="1"/>
  <c r="KW5" i="1"/>
  <c r="MB10" i="1"/>
  <c r="LF10" i="1" a="1"/>
  <c r="LF10" i="1" s="1"/>
  <c r="KS10" i="1"/>
  <c r="KW9" i="1"/>
  <c r="LH9" i="1" a="1"/>
  <c r="LH9" i="1" s="1"/>
  <c r="LA10" i="1"/>
  <c r="LJ10" i="1" a="1"/>
  <c r="LJ10" i="1" s="1"/>
  <c r="LE8" i="1"/>
  <c r="MM10" i="1"/>
  <c r="MO10" i="1"/>
  <c r="MP10" i="1" s="1"/>
  <c r="KY14" i="1"/>
  <c r="LI14" i="1" a="1"/>
  <c r="LI14" i="1" s="1"/>
  <c r="LL6" i="1" a="1"/>
  <c r="LL6" i="1" s="1"/>
  <c r="LE6" i="1"/>
  <c r="LA6" i="1"/>
  <c r="LJ6" i="1" a="1"/>
  <c r="LJ6" i="1" s="1"/>
  <c r="LI7" i="1" a="1"/>
  <c r="LI7" i="1" s="1"/>
  <c r="KY7" i="1"/>
  <c r="LC9" i="1"/>
  <c r="LK9" i="1" a="1"/>
  <c r="LK9" i="1" s="1"/>
  <c r="KS14" i="1"/>
  <c r="LF14" i="1" a="1"/>
  <c r="LF14" i="1" s="1"/>
  <c r="KU5" i="1"/>
  <c r="LG5" i="1" a="1"/>
  <c r="LG5" i="1" s="1"/>
  <c r="LC15" i="1"/>
  <c r="MD15" i="1"/>
  <c r="MB15" i="1"/>
  <c r="KW7" i="1"/>
  <c r="LH7" i="1" a="1"/>
  <c r="LH7" i="1" s="1"/>
  <c r="KS13" i="1"/>
  <c r="KY10" i="1"/>
  <c r="KU11" i="1"/>
  <c r="LC10" i="1"/>
  <c r="LK10" i="1" a="1"/>
  <c r="LK10" i="1" s="1"/>
  <c r="LK13" i="1" a="1"/>
  <c r="LK13" i="1" s="1"/>
  <c r="LC13" i="1"/>
  <c r="MB14" i="1"/>
  <c r="MD14" i="1"/>
  <c r="LA16" i="1"/>
  <c r="LJ16" i="1" a="1"/>
  <c r="LJ16" i="1" s="1"/>
  <c r="KY6" i="1"/>
  <c r="LI6" i="1" a="1"/>
  <c r="LI6" i="1" s="1"/>
  <c r="KU9" i="1"/>
  <c r="LG9" i="1" a="1"/>
  <c r="LG9" i="1" s="1"/>
  <c r="MD13" i="1"/>
  <c r="MB13" i="1"/>
  <c r="LG14" i="1" a="1"/>
  <c r="LG14" i="1" s="1"/>
  <c r="KU14" i="1"/>
  <c r="MO16" i="1"/>
  <c r="MP16" i="1" s="1"/>
  <c r="MM16" i="1"/>
  <c r="LJ11" i="1" a="1"/>
  <c r="LJ11" i="1" s="1"/>
  <c r="LA11" i="1"/>
  <c r="KU10" i="1"/>
  <c r="LE9" i="1"/>
  <c r="KY9" i="1"/>
  <c r="MM7" i="1"/>
  <c r="MO7" i="1"/>
  <c r="MP7" i="1" s="1"/>
  <c r="LJ13" i="1" a="1"/>
  <c r="LJ13" i="1" s="1"/>
  <c r="LA13" i="1"/>
  <c r="MM5" i="1"/>
  <c r="MO5" i="1"/>
  <c r="MP5" i="1" s="1"/>
  <c r="MD11" i="1"/>
  <c r="MB11" i="1"/>
  <c r="MB9" i="1"/>
  <c r="MO9" i="1"/>
  <c r="MP9" i="1" s="1"/>
  <c r="MM9" i="1"/>
  <c r="LA14" i="1"/>
  <c r="LJ14" i="1" a="1"/>
  <c r="LJ14" i="1" s="1"/>
  <c r="LC11" i="1"/>
  <c r="MO8" i="1"/>
  <c r="MP8" i="1" s="1"/>
  <c r="MB5" i="1"/>
  <c r="LL13" i="1" a="1"/>
  <c r="LL13" i="1" s="1"/>
  <c r="LE13" i="1"/>
  <c r="LA9" i="1"/>
  <c r="LE5" i="1"/>
  <c r="MB8" i="1" l="1"/>
  <c r="MM8" i="1"/>
  <c r="MB16" i="1"/>
  <c r="MM14" i="1"/>
  <c r="MO14" i="1"/>
  <c r="MP14" i="1" s="1"/>
  <c r="MN16" i="1" a="1"/>
  <c r="MN16" i="1" s="1"/>
  <c r="NG16" i="1"/>
  <c r="NH16" i="1" s="1"/>
  <c r="NI16" i="1" s="1"/>
  <c r="NJ16" i="1" s="1"/>
  <c r="MO11" i="1"/>
  <c r="MP11" i="1" s="1"/>
  <c r="MM11" i="1"/>
  <c r="MO6" i="1"/>
  <c r="MP6" i="1" s="1"/>
  <c r="MM6" i="1"/>
  <c r="MN5" i="1" a="1"/>
  <c r="MN5" i="1" s="1"/>
  <c r="NG5" i="1"/>
  <c r="NH5" i="1" s="1"/>
  <c r="NI5" i="1" s="1"/>
  <c r="NJ5" i="1" s="1"/>
  <c r="MM13" i="1"/>
  <c r="MO13" i="1"/>
  <c r="MP13" i="1" s="1"/>
  <c r="MO15" i="1"/>
  <c r="MP15" i="1" s="1"/>
  <c r="MM15" i="1"/>
  <c r="MO12" i="1"/>
  <c r="MP12" i="1" s="1"/>
  <c r="MM12" i="1"/>
  <c r="NG7" i="1"/>
  <c r="NH7" i="1" s="1"/>
  <c r="NI7" i="1" s="1"/>
  <c r="NJ7" i="1" s="1"/>
  <c r="MN7" i="1" a="1"/>
  <c r="MN7" i="1" s="1"/>
  <c r="MN10" i="1" a="1"/>
  <c r="MN10" i="1" s="1"/>
  <c r="NG10" i="1"/>
  <c r="NH10" i="1" s="1"/>
  <c r="NI10" i="1" s="1"/>
  <c r="NJ10" i="1" s="1"/>
  <c r="NG9" i="1"/>
  <c r="NH9" i="1" s="1"/>
  <c r="NI9" i="1" s="1"/>
  <c r="NJ9" i="1" s="1"/>
  <c r="MN9" i="1" a="1"/>
  <c r="MN9" i="1" s="1"/>
  <c r="NG8" i="1"/>
  <c r="NH8" i="1" s="1"/>
  <c r="NI8" i="1" s="1"/>
  <c r="NJ8" i="1" s="1"/>
  <c r="MN8" i="1" a="1"/>
  <c r="MN8" i="1" s="1"/>
  <c r="MN15" i="1" l="1" a="1"/>
  <c r="MN15" i="1" s="1"/>
  <c r="NG15" i="1"/>
  <c r="NH15" i="1" s="1"/>
  <c r="NI15" i="1" s="1"/>
  <c r="NJ15" i="1" s="1"/>
  <c r="NG6" i="1"/>
  <c r="NH6" i="1" s="1"/>
  <c r="NI6" i="1" s="1"/>
  <c r="NJ6" i="1" s="1"/>
  <c r="MN6" i="1" a="1"/>
  <c r="MN6" i="1" s="1"/>
  <c r="LN9" i="1"/>
  <c r="LM9" i="1" s="1" a="1"/>
  <c r="LM9" i="1" s="1"/>
  <c r="MN11" i="1" a="1"/>
  <c r="MN11" i="1" s="1"/>
  <c r="NG11" i="1"/>
  <c r="NH11" i="1" s="1"/>
  <c r="NI11" i="1" s="1"/>
  <c r="NJ11" i="1" s="1"/>
  <c r="LN5" i="1"/>
  <c r="LM5" i="1" s="1" a="1"/>
  <c r="LM5" i="1" s="1"/>
  <c r="LN16" i="1"/>
  <c r="LM16" i="1" s="1" a="1"/>
  <c r="LM16" i="1" s="1"/>
  <c r="MN12" i="1" a="1"/>
  <c r="MN12" i="1" s="1"/>
  <c r="NG12" i="1"/>
  <c r="NH12" i="1" s="1"/>
  <c r="NI12" i="1" s="1"/>
  <c r="NJ12" i="1" s="1"/>
  <c r="LN8" i="1"/>
  <c r="LM8" i="1" s="1" a="1"/>
  <c r="LM8" i="1" s="1"/>
  <c r="NG13" i="1"/>
  <c r="NH13" i="1" s="1"/>
  <c r="NI13" i="1" s="1"/>
  <c r="NJ13" i="1" s="1"/>
  <c r="MN13" i="1" a="1"/>
  <c r="MN13" i="1" s="1"/>
  <c r="LN10" i="1"/>
  <c r="LM10" i="1" s="1" a="1"/>
  <c r="LM10" i="1" s="1"/>
  <c r="LN7" i="1"/>
  <c r="LM7" i="1" s="1" a="1"/>
  <c r="LM7" i="1" s="1"/>
  <c r="MN14" i="1" a="1"/>
  <c r="MN14" i="1" s="1"/>
  <c r="NG14" i="1"/>
  <c r="NH14" i="1" s="1"/>
  <c r="NI14" i="1" s="1"/>
  <c r="NJ14" i="1" s="1"/>
  <c r="LP7" i="1" l="1" a="1"/>
  <c r="LP7" i="1" s="1"/>
  <c r="LP8" i="1" a="1"/>
  <c r="LP8" i="1" s="1"/>
  <c r="LO8" i="1" a="1"/>
  <c r="LO8" i="1" s="1"/>
  <c r="LQ8" i="1" s="1"/>
  <c r="LO9" i="1" a="1"/>
  <c r="LO9" i="1" s="1"/>
  <c r="LQ9" i="1" s="1"/>
  <c r="LP9" i="1" a="1"/>
  <c r="LP9" i="1" s="1"/>
  <c r="LO5" i="1" a="1"/>
  <c r="LO5" i="1" s="1"/>
  <c r="LQ5" i="1" s="1"/>
  <c r="LO16" i="1" a="1"/>
  <c r="LO16" i="1" s="1"/>
  <c r="LQ16" i="1" s="1"/>
  <c r="LO10" i="1" a="1"/>
  <c r="LO10" i="1" s="1"/>
  <c r="LQ10" i="1" s="1"/>
  <c r="LN11" i="1"/>
  <c r="LM11" i="1" s="1" a="1"/>
  <c r="LM11" i="1" s="1"/>
  <c r="LP16" i="1" a="1"/>
  <c r="LP16" i="1" s="1"/>
  <c r="LN12" i="1"/>
  <c r="LM12" i="1" s="1" a="1"/>
  <c r="LM12" i="1" s="1"/>
  <c r="LP5" i="1" a="1"/>
  <c r="LP5" i="1" s="1"/>
  <c r="LP10" i="1" a="1"/>
  <c r="LP10" i="1" s="1"/>
  <c r="LN13" i="1"/>
  <c r="LM13" i="1" s="1" a="1"/>
  <c r="LM13" i="1" s="1"/>
  <c r="LN6" i="1"/>
  <c r="LM6" i="1" s="1" a="1"/>
  <c r="LM6" i="1" s="1"/>
  <c r="LN14" i="1"/>
  <c r="LM14" i="1" s="1" a="1"/>
  <c r="LM14" i="1" s="1"/>
  <c r="LO7" i="1" a="1"/>
  <c r="LO7" i="1" s="1"/>
  <c r="LQ7" i="1" s="1"/>
  <c r="LN15" i="1"/>
  <c r="LM15" i="1" s="1" a="1"/>
  <c r="LM15" i="1" s="1"/>
  <c r="LP15" i="1" l="1" a="1"/>
  <c r="LP15" i="1" s="1"/>
  <c r="LP6" i="1" a="1"/>
  <c r="LP6" i="1" s="1"/>
  <c r="LO11" i="1" a="1"/>
  <c r="LO11" i="1" s="1"/>
  <c r="LQ11" i="1" s="1"/>
  <c r="LO13" i="1" a="1"/>
  <c r="LO13" i="1" s="1"/>
  <c r="LQ13" i="1" s="1"/>
  <c r="LO12" i="1" a="1"/>
  <c r="LO12" i="1" s="1"/>
  <c r="LQ12" i="1" s="1"/>
  <c r="LO14" i="1" a="1"/>
  <c r="LO14" i="1" s="1"/>
  <c r="LQ14" i="1" s="1"/>
  <c r="LP14" i="1" a="1"/>
  <c r="LP14" i="1" s="1"/>
  <c r="LP11" i="1" a="1"/>
  <c r="LP11" i="1" s="1"/>
  <c r="LP13" i="1" a="1"/>
  <c r="LP13" i="1" s="1"/>
  <c r="LO15" i="1" a="1"/>
  <c r="LO15" i="1" s="1"/>
  <c r="LQ15" i="1" s="1"/>
  <c r="LP12" i="1" a="1"/>
  <c r="LP12" i="1" s="1"/>
  <c r="LO6" i="1" a="1"/>
  <c r="LO6" i="1" s="1"/>
  <c r="LQ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<sst xmlns="http://schemas.openxmlformats.org/spreadsheetml/2006/main" count="548" uniqueCount="426">
  <si>
    <t>&lt;&lt; Program/part information</t>
  </si>
  <si>
    <t>&lt;&lt; At time of quote</t>
  </si>
  <si>
    <t>&lt;&lt; 2019 Historical actual</t>
  </si>
  <si>
    <t>&lt;&lt; 2020 Historical actual</t>
  </si>
  <si>
    <t>&lt;&lt; 2021 Historical actual</t>
  </si>
  <si>
    <t>&lt;&lt; 2022 Historical actual</t>
  </si>
  <si>
    <t>&lt;&lt; 2023 Historical actual</t>
  </si>
  <si>
    <t>&lt;&lt; 2024 Historical actual</t>
  </si>
  <si>
    <t>&lt;&lt; 2025 Historical actual</t>
  </si>
  <si>
    <t>&lt;&lt; 2026 Latest estimate</t>
  </si>
  <si>
    <t>&lt;&lt; BP for 2027</t>
  </si>
  <si>
    <t>&lt;&lt; Other info</t>
  </si>
  <si>
    <t>&lt;&lt; Margin erosion analysis</t>
  </si>
  <si>
    <t>Quoted price (or CBA price as proxy) over the years</t>
  </si>
  <si>
    <t>Quoted volume over the years</t>
  </si>
  <si>
    <t>At-quote unit costs, currency of choice</t>
  </si>
  <si>
    <t>Unit costs, currency of choice</t>
  </si>
  <si>
    <t>Currency of choice per unit</t>
  </si>
  <si>
    <t># of units</t>
  </si>
  <si>
    <t>Variable Cost</t>
  </si>
  <si>
    <t>Fixed Cost</t>
  </si>
  <si>
    <t>Material costs</t>
  </si>
  <si>
    <t>Direct labor costs</t>
  </si>
  <si>
    <t>Variable overhead costs</t>
  </si>
  <si>
    <t>Indirect labor</t>
  </si>
  <si>
    <t>Fixed Overhead</t>
  </si>
  <si>
    <t>SG&amp;A</t>
  </si>
  <si>
    <t>Depreciation</t>
  </si>
  <si>
    <t>Corporate allocation</t>
  </si>
  <si>
    <t>Amortized tooling</t>
  </si>
  <si>
    <t>Totals</t>
  </si>
  <si>
    <t>Opportunity</t>
  </si>
  <si>
    <t xml:space="preserve">OEM </t>
  </si>
  <si>
    <t>Platform</t>
  </si>
  <si>
    <t>Program Name</t>
  </si>
  <si>
    <t>Part Segment
/Type</t>
  </si>
  <si>
    <t>Part number</t>
  </si>
  <si>
    <t>Part description</t>
  </si>
  <si>
    <t>Division</t>
  </si>
  <si>
    <t>Helper</t>
  </si>
  <si>
    <t>Subgroup</t>
  </si>
  <si>
    <t>Intercompany (Y/N)</t>
  </si>
  <si>
    <t>Production
/Service</t>
  </si>
  <si>
    <t>Quote Date</t>
  </si>
  <si>
    <t>SOP (date)</t>
  </si>
  <si>
    <t>EOP (date)</t>
  </si>
  <si>
    <t>2019 quote price</t>
  </si>
  <si>
    <t>2020 quote price</t>
  </si>
  <si>
    <t>2021 quote price</t>
  </si>
  <si>
    <t>2022 quote price</t>
  </si>
  <si>
    <t>2023 quote price</t>
  </si>
  <si>
    <t>2024 quote price</t>
  </si>
  <si>
    <t>2025 quote price</t>
  </si>
  <si>
    <t>2026 quote price</t>
  </si>
  <si>
    <t>2027 quote price</t>
  </si>
  <si>
    <t>2019 quote volume</t>
  </si>
  <si>
    <t>2020 quote volume</t>
  </si>
  <si>
    <t>2021 quote volume</t>
  </si>
  <si>
    <t>2022 quote volume</t>
  </si>
  <si>
    <t>2023 quote volume</t>
  </si>
  <si>
    <t>2024 quote volume</t>
  </si>
  <si>
    <t>2025 quote volume</t>
  </si>
  <si>
    <t>2026 quote volume</t>
  </si>
  <si>
    <t>2027 quote volume</t>
  </si>
  <si>
    <t>At quote direct material</t>
  </si>
  <si>
    <t>At quote direct labor</t>
  </si>
  <si>
    <t>At quote variable Overhead</t>
  </si>
  <si>
    <t>At quote indirect labor</t>
  </si>
  <si>
    <t>At quote Fixed Overhead</t>
  </si>
  <si>
    <t>At quote depreciation</t>
  </si>
  <si>
    <t>At quote amortized tooling</t>
  </si>
  <si>
    <t>At quote corporate allocation</t>
  </si>
  <si>
    <t>At quote other SG&amp;A</t>
  </si>
  <si>
    <t>2019 Base price</t>
  </si>
  <si>
    <t>2019 Average price</t>
  </si>
  <si>
    <t>2019 Full year volume</t>
  </si>
  <si>
    <t>2019 Direct material</t>
  </si>
  <si>
    <t>2019 Direct labor</t>
  </si>
  <si>
    <t>2019 Variable Overhead</t>
  </si>
  <si>
    <t>2019 indirect labor</t>
  </si>
  <si>
    <t>2019 Fixed Overhead</t>
  </si>
  <si>
    <t>2019 depreciation</t>
  </si>
  <si>
    <t>2019 amortized tooling</t>
  </si>
  <si>
    <t>2019 corporate allocation</t>
  </si>
  <si>
    <t>2019 other SG&amp;A</t>
  </si>
  <si>
    <t>2020 Base price</t>
  </si>
  <si>
    <t>2020 Average price</t>
  </si>
  <si>
    <t>2020 Full year volume</t>
  </si>
  <si>
    <t>2020 Direct material</t>
  </si>
  <si>
    <t>2020 Direct labor</t>
  </si>
  <si>
    <t>2020 Variable Overhead</t>
  </si>
  <si>
    <t>2020 indirect labor</t>
  </si>
  <si>
    <t>2020 Fixed Overhead</t>
  </si>
  <si>
    <t>2020 depreciation</t>
  </si>
  <si>
    <t>2020 amortized tooling</t>
  </si>
  <si>
    <t>2020 corporate allocation</t>
  </si>
  <si>
    <t>2020 other SG&amp;A</t>
  </si>
  <si>
    <t>2021 Base price</t>
  </si>
  <si>
    <t>2021 Average price</t>
  </si>
  <si>
    <t>2021 Full year volume</t>
  </si>
  <si>
    <t>2021 Direct material</t>
  </si>
  <si>
    <t>2021 Direct labor</t>
  </si>
  <si>
    <t>2021 Variable Overhead</t>
  </si>
  <si>
    <t>2021 indirect labor</t>
  </si>
  <si>
    <t>2021 Fixed Overhead</t>
  </si>
  <si>
    <t>2021 depreciation</t>
  </si>
  <si>
    <t>2021 amortized tooling</t>
  </si>
  <si>
    <t>2021 corporate allocation</t>
  </si>
  <si>
    <t>2021 other SG&amp;A</t>
  </si>
  <si>
    <t>2022 Base price</t>
  </si>
  <si>
    <t>2022 Average price</t>
  </si>
  <si>
    <t>2022 Full year volume</t>
  </si>
  <si>
    <t>2022 Direct material</t>
  </si>
  <si>
    <t>2022 Direct labor</t>
  </si>
  <si>
    <t>2022 Variable Overhead</t>
  </si>
  <si>
    <t>2022 indirect labor</t>
  </si>
  <si>
    <t>2022 Fixed Overhead</t>
  </si>
  <si>
    <t>2022 depreciation</t>
  </si>
  <si>
    <t>2022 amortized tooling</t>
  </si>
  <si>
    <t>2022 corporate allocation</t>
  </si>
  <si>
    <t>2022 other SG&amp;A</t>
  </si>
  <si>
    <t>2023 Base price</t>
  </si>
  <si>
    <t>2023 Average price</t>
  </si>
  <si>
    <t>2023 Full year volume</t>
  </si>
  <si>
    <t>2023 Direct material</t>
  </si>
  <si>
    <t>2023 Direct labor</t>
  </si>
  <si>
    <t>2023 Variable Overhead</t>
  </si>
  <si>
    <t>2023 indirect labor</t>
  </si>
  <si>
    <t>2023 Fixed Overhead</t>
  </si>
  <si>
    <t>2023 depreciation</t>
  </si>
  <si>
    <t>2023 amortized tooling</t>
  </si>
  <si>
    <t>2023 corporate allocation</t>
  </si>
  <si>
    <t>2023 other SG&amp;A</t>
  </si>
  <si>
    <t>2024 Base price</t>
  </si>
  <si>
    <t>2024 Average price</t>
  </si>
  <si>
    <t>2024 Full year volume</t>
  </si>
  <si>
    <t>2024 Direct material</t>
  </si>
  <si>
    <t>2024 Direct labor</t>
  </si>
  <si>
    <t>2024 Variable Overhead</t>
  </si>
  <si>
    <t>2024 indirect labor</t>
  </si>
  <si>
    <t>2024 Fixed Overhead</t>
  </si>
  <si>
    <t>2024 depreciation</t>
  </si>
  <si>
    <t>2024 amortized tooling</t>
  </si>
  <si>
    <t>2024 corporate allocation</t>
  </si>
  <si>
    <t>2024 other SG&amp;A</t>
  </si>
  <si>
    <t>2025 Base price</t>
  </si>
  <si>
    <t>2025 Average price</t>
  </si>
  <si>
    <t>2025 Full year volume</t>
  </si>
  <si>
    <t>2025 revenue estimate</t>
  </si>
  <si>
    <t>2025 EBIT estimate</t>
  </si>
  <si>
    <t>2025 EBIT % estimate</t>
  </si>
  <si>
    <t>2025 Direct material</t>
  </si>
  <si>
    <t>2025 Direct labor</t>
  </si>
  <si>
    <t>2025 Variable Overhead</t>
  </si>
  <si>
    <t>2025 indirect labor</t>
  </si>
  <si>
    <t>2025 Fixed Overhead</t>
  </si>
  <si>
    <t>2025 depreciation</t>
  </si>
  <si>
    <t>2025 amortized tooling</t>
  </si>
  <si>
    <t>2025 corporate allocation</t>
  </si>
  <si>
    <t>2025 other SG&amp;A</t>
  </si>
  <si>
    <t>2026 Base price</t>
  </si>
  <si>
    <t>2026 Average price</t>
  </si>
  <si>
    <t>2026 Full year volume</t>
  </si>
  <si>
    <t>2026 Direct material</t>
  </si>
  <si>
    <t>2026 Direct labor</t>
  </si>
  <si>
    <t>2026 Variable Overhead</t>
  </si>
  <si>
    <t>2026 Indirect labor</t>
  </si>
  <si>
    <t>2026 Fixed Overhead</t>
  </si>
  <si>
    <t>2026 SG&amp;A</t>
  </si>
  <si>
    <t>2026 Depreciation</t>
  </si>
  <si>
    <t>2026 Fees</t>
  </si>
  <si>
    <t>2026 Other costs</t>
  </si>
  <si>
    <t>2027 Unit price</t>
  </si>
  <si>
    <t>2027 Full year volume</t>
  </si>
  <si>
    <t>Currency</t>
  </si>
  <si>
    <t>At quote total material 2025</t>
  </si>
  <si>
    <t>Total material 2019</t>
  </si>
  <si>
    <t>Total material 2020</t>
  </si>
  <si>
    <t>Total material 2021</t>
  </si>
  <si>
    <t>Total material 2022</t>
  </si>
  <si>
    <t>Total material 2023</t>
  </si>
  <si>
    <t>Total material 2024</t>
  </si>
  <si>
    <t>Total material 2025</t>
  </si>
  <si>
    <t>Total material delta, from quote</t>
  </si>
  <si>
    <t>Total material delta, 2019</t>
  </si>
  <si>
    <t>Total material delta, 2020</t>
  </si>
  <si>
    <t>Total material delta, 2021</t>
  </si>
  <si>
    <t>Total material delta, 2022</t>
  </si>
  <si>
    <t>Total material delta, 2023</t>
  </si>
  <si>
    <t>Total material delta, 2024</t>
  </si>
  <si>
    <t>x</t>
  </si>
  <si>
    <t>At quote total DL 2025</t>
  </si>
  <si>
    <t>Total DL 2019</t>
  </si>
  <si>
    <t>Total DL 2020</t>
  </si>
  <si>
    <t>Total DL 2021</t>
  </si>
  <si>
    <t>Total DL 2022</t>
  </si>
  <si>
    <t>Total DL 2023</t>
  </si>
  <si>
    <t>Total DL 2024</t>
  </si>
  <si>
    <t>Total DL 2025</t>
  </si>
  <si>
    <t>Total DL delta, from quote</t>
  </si>
  <si>
    <t>Total DL delta, 2019</t>
  </si>
  <si>
    <t>Total DL delta, 2020</t>
  </si>
  <si>
    <t>Total DL delta, 2021</t>
  </si>
  <si>
    <t>Total DL delta, 2022</t>
  </si>
  <si>
    <t>Total DL delta, 2023</t>
  </si>
  <si>
    <t>Total DL delta, 2024</t>
  </si>
  <si>
    <t>At quote total VOH 2025</t>
  </si>
  <si>
    <t>Total VOH 2019</t>
  </si>
  <si>
    <t>Total VOH 2020</t>
  </si>
  <si>
    <t>Total VOH 2021</t>
  </si>
  <si>
    <t>Total VOH 2022</t>
  </si>
  <si>
    <t>Total VOH 2023</t>
  </si>
  <si>
    <t>Total VOH 2024</t>
  </si>
  <si>
    <t>Total VOH 2025</t>
  </si>
  <si>
    <t>Total VOH delta, from quote</t>
  </si>
  <si>
    <t>Total VOH delta, 2019</t>
  </si>
  <si>
    <t>Total VOH delta, 2020</t>
  </si>
  <si>
    <t>Total VOH delta, 2021</t>
  </si>
  <si>
    <t>Total VOH delta, 2022</t>
  </si>
  <si>
    <t>Total VOH delta, 2023</t>
  </si>
  <si>
    <t>Total VOH delta, 2024</t>
  </si>
  <si>
    <t>At quote total IDL 2025</t>
  </si>
  <si>
    <t>Total IDL 2019</t>
  </si>
  <si>
    <t>Total IDL 2020</t>
  </si>
  <si>
    <t>Total IDL 2021</t>
  </si>
  <si>
    <t>Total IDL 2022</t>
  </si>
  <si>
    <t>Total IDL 2023</t>
  </si>
  <si>
    <t>Total IDL 2024</t>
  </si>
  <si>
    <t>Total IDL 2025</t>
  </si>
  <si>
    <t>Total IDL delta, from quote</t>
  </si>
  <si>
    <t>Total IDL delta, 2019</t>
  </si>
  <si>
    <t>Total IDL delta, 2020</t>
  </si>
  <si>
    <t>Total IDL delta, 2021</t>
  </si>
  <si>
    <t>Total IDL delta, 2022</t>
  </si>
  <si>
    <t>Total IDL delta, 2023</t>
  </si>
  <si>
    <t>Total IDL delta, 2024</t>
  </si>
  <si>
    <t>At quote total Fixed Overhead 2025</t>
  </si>
  <si>
    <t>Total Fixed Overhead 2019</t>
  </si>
  <si>
    <t>Total Fixed Overhead 2020</t>
  </si>
  <si>
    <t>Total Fixed Overhead 2021</t>
  </si>
  <si>
    <t>Total Fixed Overhead 2022</t>
  </si>
  <si>
    <t>Total Fixed Overhead 2023</t>
  </si>
  <si>
    <t>Total Fixed Overhead 2024</t>
  </si>
  <si>
    <t>Total Fixed Overhead 2025</t>
  </si>
  <si>
    <t>Total Fixed Overhead delta, from quote</t>
  </si>
  <si>
    <t>Total Fixed Overhead delta, 2019</t>
  </si>
  <si>
    <t>Total Fixed Overhead delta, 2020</t>
  </si>
  <si>
    <t>Total Fixed Overhead delta, 2021</t>
  </si>
  <si>
    <t>Total Fixed Overhead delta, 2022</t>
  </si>
  <si>
    <t>Total Fixed Overhead delta, 2023</t>
  </si>
  <si>
    <t>Total Fixed Overhead delta, 2024</t>
  </si>
  <si>
    <t>At quote total SG&amp;A 2025</t>
  </si>
  <si>
    <t>Total SG&amp;A 2019</t>
  </si>
  <si>
    <t>Total SG&amp;A 2020</t>
  </si>
  <si>
    <t>Total SG&amp;A 2021</t>
  </si>
  <si>
    <t>Total SG&amp;A 2022</t>
  </si>
  <si>
    <t>Total SG&amp;A 2023</t>
  </si>
  <si>
    <t>Total SG&amp;A 2024</t>
  </si>
  <si>
    <t>Total SG&amp;A 2025</t>
  </si>
  <si>
    <t>Total SG&amp;A delta, from quote</t>
  </si>
  <si>
    <t>Total SG&amp;A delta, 2019</t>
  </si>
  <si>
    <t>Total SG&amp;A delta, 2020</t>
  </si>
  <si>
    <t>Total SG&amp;A delta, 2021</t>
  </si>
  <si>
    <t>Total SG&amp;A delta, 2022</t>
  </si>
  <si>
    <t>Total SG&amp;A delta, 2023</t>
  </si>
  <si>
    <t>Total SG&amp;A delta, 2024</t>
  </si>
  <si>
    <t>At quote total depreciation 2025</t>
  </si>
  <si>
    <t>Total depreciation 2019</t>
  </si>
  <si>
    <t>Total depreciation 2020</t>
  </si>
  <si>
    <t>Total depreciation 2021</t>
  </si>
  <si>
    <t>Total depreciation 2022</t>
  </si>
  <si>
    <t>Total depreciation 2023</t>
  </si>
  <si>
    <t>Total depreciation 2024</t>
  </si>
  <si>
    <t>Total depreciation 2025</t>
  </si>
  <si>
    <t>Total depreciation delta, from quote</t>
  </si>
  <si>
    <t>Total depreciation delta, 2019</t>
  </si>
  <si>
    <t>Total depreciation delta, 2020</t>
  </si>
  <si>
    <t>Total depreciation delta, 2021</t>
  </si>
  <si>
    <t>Total depreciation delta, 2022</t>
  </si>
  <si>
    <t>Total depreciation delta, 2023</t>
  </si>
  <si>
    <t>Total depreciation delta, 2024</t>
  </si>
  <si>
    <t>At quote total corporate allocation 2025</t>
  </si>
  <si>
    <t>Total corporate allocation 2019</t>
  </si>
  <si>
    <t>Total corporate allocation 2020</t>
  </si>
  <si>
    <t>Total corporate allocation 2021</t>
  </si>
  <si>
    <t>Total corporate allocation 2022</t>
  </si>
  <si>
    <t>Total corporate allocation 2023</t>
  </si>
  <si>
    <t>Total corporate allocation 2024</t>
  </si>
  <si>
    <t>Total corporate allocation 2025</t>
  </si>
  <si>
    <t>Total fees delta, from quote</t>
  </si>
  <si>
    <t>Total fees delta, 2019</t>
  </si>
  <si>
    <t>Total fees delta, 2020</t>
  </si>
  <si>
    <t>Total fees delta, 2021</t>
  </si>
  <si>
    <t>Total fees delta, 2022</t>
  </si>
  <si>
    <t>Total fees delta, 2023</t>
  </si>
  <si>
    <t>Total fees delta, 2024</t>
  </si>
  <si>
    <t>At quote total other costs 2025</t>
  </si>
  <si>
    <t>Total other costs 2019</t>
  </si>
  <si>
    <t>Total other costs 2020</t>
  </si>
  <si>
    <t>Total other costs 2021</t>
  </si>
  <si>
    <t>Total other costs 2022</t>
  </si>
  <si>
    <t>Total other costs 2023</t>
  </si>
  <si>
    <t>Total other costs 2024</t>
  </si>
  <si>
    <t>Total other costs 2025</t>
  </si>
  <si>
    <t>Total other costs delta, from quote</t>
  </si>
  <si>
    <t>Total other costs delta, 2019</t>
  </si>
  <si>
    <t>Total other costs delta, 2020</t>
  </si>
  <si>
    <t>Total other costs delta, 2021</t>
  </si>
  <si>
    <t>Total other costs delta, 2022</t>
  </si>
  <si>
    <t>Total other costs delta, 2023</t>
  </si>
  <si>
    <t>Total other costs delta, 2024</t>
  </si>
  <si>
    <t>Total cost at quote 2025</t>
  </si>
  <si>
    <t>Total cost, 2019</t>
  </si>
  <si>
    <t>Total cost, 2020</t>
  </si>
  <si>
    <t>Total cost, 2021</t>
  </si>
  <si>
    <t>Total cost, 2022</t>
  </si>
  <si>
    <t>Total cost, 2023</t>
  </si>
  <si>
    <t>Total cost, 2024</t>
  </si>
  <si>
    <t>Total cost, 2025</t>
  </si>
  <si>
    <t>Total delta from quote, 2025</t>
  </si>
  <si>
    <t>Total delta, 2019</t>
  </si>
  <si>
    <t>Total delta, 2020</t>
  </si>
  <si>
    <t>Total delta, 2021</t>
  </si>
  <si>
    <t>Total delta, 2022</t>
  </si>
  <si>
    <t>Total delta, 2023</t>
  </si>
  <si>
    <t>Total delta, 2024</t>
  </si>
  <si>
    <t>Top cost delta from quote,  $</t>
  </si>
  <si>
    <t>Top cost delta from quote,  % of total delta</t>
  </si>
  <si>
    <t>Top cost delta 2019, $</t>
  </si>
  <si>
    <t>Top cost delta 2019, % of total delta</t>
  </si>
  <si>
    <t>Top cost delta 2020, $</t>
  </si>
  <si>
    <t>Top cost delta 2020, % of total delta</t>
  </si>
  <si>
    <t>Top cost delta 2021, $</t>
  </si>
  <si>
    <t>Top cost delta 2021, % of total delta</t>
  </si>
  <si>
    <t>Top cost delta 2022, $</t>
  </si>
  <si>
    <t>Top cost delta 2022, % of total delta</t>
  </si>
  <si>
    <t>Top cost delta 2023, $</t>
  </si>
  <si>
    <t>Top cost delta 2023, % of total delta</t>
  </si>
  <si>
    <t>Top cost delta 2024, $</t>
  </si>
  <si>
    <t>Top cost delta 2024, % of total delta</t>
  </si>
  <si>
    <t>Top cost delta from quote, name</t>
  </si>
  <si>
    <t>Top cost delta 2019, name</t>
  </si>
  <si>
    <t>Top cost delta 2020, name</t>
  </si>
  <si>
    <t>Top cost delta 2021, name</t>
  </si>
  <si>
    <t>Top cost delta 2022, name</t>
  </si>
  <si>
    <t>Top cost delta 2023, name</t>
  </si>
  <si>
    <t>Top cost delta 2024, name</t>
  </si>
  <si>
    <t>Max total delta</t>
  </si>
  <si>
    <t>Max delta year</t>
  </si>
  <si>
    <t>Max cost delta, $</t>
  </si>
  <si>
    <t>Max cost delta, name</t>
  </si>
  <si>
    <t>Max cost delta, % of max total delta</t>
  </si>
  <si>
    <t>Target price increase to keep EBIT% constant, at quote 2025</t>
  </si>
  <si>
    <t>Target price increase to keep EBIT% constant, 2019</t>
  </si>
  <si>
    <t>Target price increase to keep EBIT% constant, 2020</t>
  </si>
  <si>
    <t>Target price increase to keep EBIT% constant, 2021</t>
  </si>
  <si>
    <t>Target price increase to keep EBIT% constant, 2022</t>
  </si>
  <si>
    <t>Target price increase to keep EBIT% constant, 2023</t>
  </si>
  <si>
    <t>Target price increase to keep EBIT% constant, 2024</t>
  </si>
  <si>
    <t>Target price increase to reach 0% EBIT margin</t>
  </si>
  <si>
    <t>Target price increase to reach 12% EBIT margin</t>
  </si>
  <si>
    <t>Max price increase, %</t>
  </si>
  <si>
    <t>2025 actual price</t>
  </si>
  <si>
    <t>Target price to keep EBIT% constant, at quote 2025</t>
  </si>
  <si>
    <t>Target price to keep EBIT% constant, 2019</t>
  </si>
  <si>
    <t>Target price to keep EBIT% constant, 2020</t>
  </si>
  <si>
    <t>Target price to keep EBIT% constant, 2021</t>
  </si>
  <si>
    <t>Target price to keep EBIT% constant, 2022</t>
  </si>
  <si>
    <t>Target price to keep EBIT% constant, 2023</t>
  </si>
  <si>
    <t>Target price to keep EBIT% constant, 2024</t>
  </si>
  <si>
    <t>Target price to reach 0% EBIT margin</t>
  </si>
  <si>
    <t>Target price to reach 12% EBIT margin</t>
  </si>
  <si>
    <t>Max target price increase</t>
  </si>
  <si>
    <t>Max opportunity year</t>
  </si>
  <si>
    <t>At quote opportunity</t>
  </si>
  <si>
    <t>At quote opportunity post success factor</t>
  </si>
  <si>
    <t>2019 opportunity</t>
  </si>
  <si>
    <t>2019 opportunity post success factor</t>
  </si>
  <si>
    <t>2020 opportunity</t>
  </si>
  <si>
    <t>2020 opportunity post success factor</t>
  </si>
  <si>
    <t>2021 opportunity</t>
  </si>
  <si>
    <t>2021 opportunity post success factor</t>
  </si>
  <si>
    <t>2022 opportunity</t>
  </si>
  <si>
    <t>2022 opportunity post success factor</t>
  </si>
  <si>
    <t>2023 opportunity</t>
  </si>
  <si>
    <t>2023 opportunity post success factor</t>
  </si>
  <si>
    <t>2024 opportunity</t>
  </si>
  <si>
    <t>2024 opportunity post success factor</t>
  </si>
  <si>
    <t>0% EBIT target opportunity</t>
  </si>
  <si>
    <t>0% EBIT target opportunity post success factor</t>
  </si>
  <si>
    <t>12% EBIT target opportunity</t>
  </si>
  <si>
    <t>12% EBIT target opportunity post success factor</t>
  </si>
  <si>
    <t>Max difference between target and actual</t>
  </si>
  <si>
    <t>Max total opportunity to keep EBIT% fixed</t>
  </si>
  <si>
    <t>External factor</t>
  </si>
  <si>
    <t>Max total opportunity post-success factor</t>
  </si>
  <si>
    <t>GM</t>
  </si>
  <si>
    <t>GEM</t>
  </si>
  <si>
    <t>BIW</t>
  </si>
  <si>
    <t>All</t>
  </si>
  <si>
    <t>Santo Antonio CBA</t>
  </si>
  <si>
    <t>Brazil</t>
  </si>
  <si>
    <t>N</t>
  </si>
  <si>
    <t>Production</t>
  </si>
  <si>
    <t>BRL</t>
  </si>
  <si>
    <t>SAP - 2016</t>
  </si>
  <si>
    <t>Sao Jose Dos Pinhais CBA</t>
  </si>
  <si>
    <t>Y</t>
  </si>
  <si>
    <t>Stellantis</t>
  </si>
  <si>
    <t>PSA</t>
  </si>
  <si>
    <t>Acier 1</t>
  </si>
  <si>
    <t>Renault</t>
  </si>
  <si>
    <t>BBB</t>
  </si>
  <si>
    <t>HJD/HHA</t>
  </si>
  <si>
    <t>Subframe</t>
  </si>
  <si>
    <t>CVT</t>
  </si>
  <si>
    <t>Crossmember</t>
  </si>
  <si>
    <t>Ibirite CBA</t>
  </si>
  <si>
    <t>IBI - 2146</t>
  </si>
  <si>
    <t>Ip Beam</t>
  </si>
  <si>
    <t>HJF</t>
  </si>
  <si>
    <t>BMW</t>
  </si>
  <si>
    <t>G20</t>
  </si>
  <si>
    <t>Joinville CBA</t>
  </si>
  <si>
    <t>U11</t>
  </si>
  <si>
    <t>Rear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</si>
</sst>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_([$$-409]* \(#,##0.00\);_([$$-409]* &quot;-&quot;??_);_(@_)"/>
    <numFmt numFmtId="165" formatCode="_([$$-409]* #,##0_);_([$$-409]* \(#,##0\);_([$$-409]* &quot;-&quot;??_);_(@_)"/>
    <numFmt numFmtId="166" formatCode="0.0000%"/>
    <numFmt numFmtId="169" formatCode="0.0%"/>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s>
  <fills count="16">
    <fill>
      <patternFill patternType="none"/>
    </fill>
    <fill>
      <patternFill patternType="gray125"/>
    </fill>
    <fill>
      <patternFill patternType="solid">
        <fgColor theme="1" tint="0.499984740745262"/>
        <bgColor indexed="64"/>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theme="1" tint="0.499984740745262"/>
        <bgColor theme="4" tint="0.79998168889431442"/>
      </patternFill>
    </fill>
    <fill>
      <patternFill patternType="solid">
        <fgColor theme="0"/>
        <bgColor theme="4" tint="0.79998168889431442"/>
      </patternFill>
    </fill>
    <fill>
      <patternFill patternType="solid">
        <fgColor theme="9" tint="0.79998168889431442"/>
        <bgColor theme="4" tint="0.79998168889431442"/>
      </patternFill>
    </fill>
    <fill>
      <patternFill patternType="solid">
        <fgColor theme="8" tint="0.79998168889431442"/>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89999084444715716"/>
        <bgColor theme="4" tint="0.79998168889431442"/>
      </patternFill>
    </fill>
    <fill>
      <patternFill patternType="solid">
        <fgColor rgb="FFE6E6E6"/>
        <bgColor indexed="64"/>
      </patternFill>
    </fill>
    <fill>
      <patternFill patternType="solid">
        <fgColor theme="3" tint="0.89999084444715716"/>
        <bgColor indexed="64"/>
      </patternFill>
    </fill>
    <fill>
      <patternFill patternType="solid">
        <fgColor rgb="FFFFFFCC"/>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dashed">
        <color theme="1" tint="0.499984740745262"/>
      </bottom>
      <diagonal/>
    </border>
    <border>
      <left/>
      <right/>
      <top style="dashed">
        <color theme="1" tint="0.499984740745262"/>
      </top>
      <bottom style="dashed">
        <color theme="1" tint="0.499984740745262"/>
      </bottom>
      <diagonal/>
    </border>
  </borders>
  <cellStyleXfs count="3">
    <xf numFmtId="0" fontId="0" fillId="0" borderId="0"/>
    <xf numFmtId="9" fontId="1" fillId="0" borderId="0" applyFont="0" applyFill="0" applyBorder="0" applyAlignment="0" applyProtection="0"/>
    <xf numFmtId="0" fontId="5" fillId="13" borderId="0" applyNumberFormat="0" applyAlignment="0" applyProtection="0">
      <alignment vertical="center"/>
    </xf>
  </cellStyleXfs>
  <cellXfs count="100">
    <xf numFmtId="0" fontId="0" fillId="0" borderId="0" xfId="0"/>
    <xf numFmtId="0" fontId="2" fillId="2" borderId="1" xfId="0" applyFont="1" applyFill="1" applyBorder="1"/>
    <xf numFmtId="0" fontId="0" fillId="2" borderId="2" xfId="0" applyFill="1" applyBorder="1"/>
    <xf numFmtId="0" fontId="3" fillId="2" borderId="2" xfId="0" applyFont="1" applyFill="1" applyBorder="1"/>
    <xf numFmtId="0" fontId="3" fillId="2" borderId="3" xfId="0" applyFont="1" applyFill="1" applyBorder="1"/>
    <xf numFmtId="0" fontId="3" fillId="3" borderId="2" xfId="0" applyFont="1" applyFill="1" applyBorder="1" applyAlignment="1">
      <alignment horizontal="left"/>
    </xf>
    <xf numFmtId="0" fontId="0" fillId="3" borderId="2" xfId="0" applyFill="1" applyBorder="1"/>
    <xf numFmtId="0" fontId="3" fillId="4" borderId="2" xfId="0" applyFont="1" applyFill="1" applyBorder="1"/>
    <xf numFmtId="9" fontId="0" fillId="3" borderId="2" xfId="1" applyFont="1" applyFill="1" applyBorder="1"/>
    <xf numFmtId="9" fontId="1" fillId="4" borderId="2" xfId="1" applyFont="1" applyFill="1" applyBorder="1"/>
    <xf numFmtId="9" fontId="1" fillId="4" borderId="3" xfId="1" applyFont="1" applyFill="1" applyBorder="1"/>
    <xf numFmtId="0" fontId="2" fillId="2" borderId="2" xfId="0" applyFont="1" applyFill="1" applyBorder="1" applyAlignment="1">
      <alignment horizontal="left"/>
    </xf>
    <xf numFmtId="0" fontId="2" fillId="2" borderId="2" xfId="0" applyFont="1" applyFill="1" applyBorder="1"/>
    <xf numFmtId="0" fontId="2" fillId="5" borderId="2" xfId="0" applyFont="1" applyFill="1" applyBorder="1"/>
    <xf numFmtId="9" fontId="4" fillId="2" borderId="2" xfId="1" applyFont="1" applyFill="1" applyBorder="1"/>
    <xf numFmtId="9" fontId="4" fillId="5" borderId="2" xfId="1" applyFont="1" applyFill="1" applyBorder="1"/>
    <xf numFmtId="9" fontId="4" fillId="5" borderId="3" xfId="1" applyFont="1" applyFill="1" applyBorder="1"/>
    <xf numFmtId="0" fontId="3" fillId="3" borderId="2" xfId="0" applyFont="1" applyFill="1" applyBorder="1"/>
    <xf numFmtId="9" fontId="1" fillId="3" borderId="2" xfId="1" applyFont="1" applyFill="1" applyBorder="1"/>
    <xf numFmtId="9" fontId="0" fillId="4" borderId="2" xfId="1" applyFont="1" applyFill="1" applyBorder="1"/>
    <xf numFmtId="9" fontId="0" fillId="4" borderId="3" xfId="1" applyFont="1" applyFill="1" applyBorder="1"/>
    <xf numFmtId="0" fontId="3" fillId="3" borderId="1" xfId="0" applyFont="1" applyFill="1" applyBorder="1" applyAlignment="1">
      <alignment horizontal="left"/>
    </xf>
    <xf numFmtId="0" fontId="2" fillId="2" borderId="1" xfId="0" applyFont="1" applyFill="1" applyBorder="1" applyAlignment="1">
      <alignment horizontal="left"/>
    </xf>
    <xf numFmtId="0" fontId="3" fillId="3" borderId="4" xfId="0" applyFont="1" applyFill="1" applyBorder="1" applyAlignment="1">
      <alignment horizontal="left"/>
    </xf>
    <xf numFmtId="0" fontId="3" fillId="0" borderId="0" xfId="0" applyFont="1"/>
    <xf numFmtId="0" fontId="3" fillId="0" borderId="0" xfId="0" applyFont="1" applyAlignment="1">
      <alignment horizontal="left"/>
    </xf>
    <xf numFmtId="164" fontId="3" fillId="0" borderId="0" xfId="0" applyNumberFormat="1" applyFont="1"/>
    <xf numFmtId="14" fontId="3" fillId="0" borderId="0" xfId="0" applyNumberFormat="1" applyFont="1"/>
    <xf numFmtId="14" fontId="3" fillId="0" borderId="5" xfId="0" applyNumberFormat="1" applyFont="1" applyBorder="1"/>
    <xf numFmtId="0" fontId="3" fillId="0" borderId="6" xfId="0" applyFont="1" applyBorder="1"/>
    <xf numFmtId="0" fontId="3" fillId="0" borderId="7" xfId="0" applyFont="1" applyBorder="1"/>
    <xf numFmtId="0" fontId="0" fillId="0" borderId="8" xfId="0" applyBorder="1"/>
    <xf numFmtId="0" fontId="3" fillId="0" borderId="8" xfId="0" applyFont="1" applyBorder="1"/>
    <xf numFmtId="0" fontId="3" fillId="0" borderId="9" xfId="0" applyFont="1" applyBorder="1"/>
    <xf numFmtId="0" fontId="3" fillId="6" borderId="6" xfId="0" applyFont="1" applyFill="1" applyBorder="1"/>
    <xf numFmtId="0" fontId="3" fillId="6" borderId="0" xfId="0" applyFont="1" applyFill="1"/>
    <xf numFmtId="0" fontId="3" fillId="6" borderId="5" xfId="0" applyFont="1" applyFill="1" applyBorder="1"/>
    <xf numFmtId="0" fontId="3" fillId="6" borderId="8" xfId="0" applyFont="1" applyFill="1" applyBorder="1"/>
    <xf numFmtId="0" fontId="3" fillId="6" borderId="7" xfId="0" applyFont="1" applyFill="1" applyBorder="1"/>
    <xf numFmtId="0" fontId="3" fillId="6" borderId="9" xfId="0" applyFont="1" applyFill="1" applyBorder="1"/>
    <xf numFmtId="9" fontId="3" fillId="6" borderId="0" xfId="1" applyFont="1" applyFill="1"/>
    <xf numFmtId="164" fontId="3" fillId="6" borderId="0" xfId="0" applyNumberFormat="1" applyFont="1" applyFill="1"/>
    <xf numFmtId="165" fontId="3" fillId="6" borderId="0" xfId="1" applyNumberFormat="1" applyFont="1" applyFill="1"/>
    <xf numFmtId="0" fontId="0" fillId="0" borderId="10" xfId="0" applyBorder="1"/>
    <xf numFmtId="9" fontId="0" fillId="0" borderId="0" xfId="0" applyNumberFormat="1"/>
    <xf numFmtId="0" fontId="0" fillId="0" borderId="11" xfId="0" applyBorder="1"/>
    <xf numFmtId="0" fontId="3" fillId="0" borderId="4" xfId="0" applyFont="1" applyBorder="1"/>
    <xf numFmtId="0" fontId="3" fillId="0" borderId="12" xfId="0" applyFont="1" applyBorder="1"/>
    <xf numFmtId="0" fontId="3" fillId="7" borderId="0" xfId="0" applyFont="1" applyFill="1"/>
    <xf numFmtId="0" fontId="3" fillId="8" borderId="0" xfId="0" applyFont="1" applyFill="1"/>
    <xf numFmtId="0" fontId="3" fillId="8" borderId="5" xfId="0" applyFont="1" applyFill="1" applyBorder="1"/>
    <xf numFmtId="166" fontId="3" fillId="6" borderId="0" xfId="1" applyNumberFormat="1" applyFont="1" applyFill="1"/>
    <xf numFmtId="0" fontId="3" fillId="9" borderId="0" xfId="0" applyFont="1" applyFill="1" applyAlignment="1">
      <alignment horizontal="centerContinuous" vertical="center"/>
    </xf>
    <xf numFmtId="0" fontId="0" fillId="9" borderId="0" xfId="0" applyFill="1" applyAlignment="1">
      <alignment horizontal="centerContinuous" vertical="center"/>
    </xf>
    <xf numFmtId="0" fontId="0" fillId="0" borderId="0" xfId="0" applyAlignment="1">
      <alignment vertical="center"/>
    </xf>
    <xf numFmtId="0" fontId="3" fillId="10" borderId="0" xfId="0" applyFont="1" applyFill="1" applyAlignment="1">
      <alignment horizontal="centerContinuous" vertical="center"/>
    </xf>
    <xf numFmtId="0" fontId="0" fillId="10" borderId="0" xfId="0" applyFill="1" applyAlignment="1">
      <alignment horizontal="centerContinuous" vertical="center"/>
    </xf>
    <xf numFmtId="0" fontId="3" fillId="11" borderId="0" xfId="0" applyFont="1" applyFill="1" applyAlignment="1">
      <alignment horizontal="centerContinuous" vertical="center"/>
    </xf>
    <xf numFmtId="0" fontId="0" fillId="11" borderId="0" xfId="0" applyFill="1" applyAlignment="1">
      <alignment horizontal="centerContinuous" vertical="center"/>
    </xf>
    <xf numFmtId="0" fontId="0" fillId="11" borderId="4" xfId="0" applyFill="1" applyBorder="1" applyAlignment="1">
      <alignment horizontal="centerContinuous" vertical="center"/>
    </xf>
    <xf numFmtId="9" fontId="0" fillId="11" borderId="4" xfId="1" applyFont="1" applyFill="1" applyBorder="1" applyAlignment="1">
      <alignment horizontal="centerContinuous" vertical="center"/>
    </xf>
    <xf numFmtId="0" fontId="3" fillId="12" borderId="13" xfId="0" applyFont="1" applyFill="1" applyBorder="1" applyAlignment="1">
      <alignment vertical="center" wrapText="1"/>
    </xf>
    <xf numFmtId="0" fontId="3" fillId="12" borderId="13" xfId="0" applyFont="1" applyFill="1" applyBorder="1" applyAlignment="1">
      <alignment horizontal="left" vertical="center" wrapText="1"/>
    </xf>
    <xf numFmtId="0" fontId="3" fillId="12" borderId="13" xfId="0" applyFont="1" applyFill="1" applyBorder="1" applyAlignment="1">
      <alignment vertical="center"/>
    </xf>
    <xf numFmtId="14" fontId="3" fillId="12" borderId="13" xfId="0" applyNumberFormat="1" applyFont="1" applyFill="1" applyBorder="1" applyAlignment="1">
      <alignment vertical="center"/>
    </xf>
    <xf numFmtId="0" fontId="3" fillId="12" borderId="13"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5" fillId="14" borderId="13" xfId="2" applyFill="1" applyBorder="1" applyAlignment="1">
      <alignment horizontal="center" vertical="center" wrapText="1"/>
    </xf>
    <xf numFmtId="0" fontId="6" fillId="0" borderId="0" xfId="0" applyFont="1" applyAlignment="1">
      <alignment horizontal="left" vertical="center"/>
    </xf>
    <xf numFmtId="0" fontId="5" fillId="14" borderId="10" xfId="2" applyFill="1" applyBorder="1" applyAlignment="1">
      <alignment horizontal="center" vertical="center" wrapText="1"/>
    </xf>
    <xf numFmtId="0" fontId="5" fillId="14" borderId="6" xfId="2" applyFill="1" applyBorder="1" applyAlignment="1">
      <alignment horizontal="center" vertical="center" wrapText="1"/>
    </xf>
    <xf numFmtId="0" fontId="0" fillId="15" borderId="14" xfId="0" applyFill="1" applyBorder="1"/>
    <xf numFmtId="1" fontId="0" fillId="15" borderId="14" xfId="0" applyNumberFormat="1" applyFill="1" applyBorder="1"/>
    <xf numFmtId="14" fontId="0" fillId="15" borderId="14" xfId="0" applyNumberFormat="1" applyFill="1" applyBorder="1"/>
    <xf numFmtId="3" fontId="0" fillId="15" borderId="14" xfId="0" applyNumberFormat="1" applyFill="1" applyBorder="1" applyAlignment="1">
      <alignment horizontal="center"/>
    </xf>
    <xf numFmtId="3" fontId="0" fillId="0" borderId="14" xfId="0" applyNumberFormat="1" applyBorder="1" applyAlignment="1">
      <alignment horizontal="center"/>
    </xf>
    <xf numFmtId="9" fontId="0" fillId="0" borderId="14" xfId="0" applyNumberFormat="1" applyBorder="1" applyAlignment="1">
      <alignment horizontal="center"/>
    </xf>
    <xf numFmtId="165" fontId="0" fillId="9" borderId="14" xfId="0" applyNumberFormat="1" applyFill="1" applyBorder="1"/>
    <xf numFmtId="0" fontId="0" fillId="9" borderId="14" xfId="0" applyFill="1" applyBorder="1"/>
    <xf numFmtId="9" fontId="0" fillId="9" borderId="14" xfId="1" applyFont="1" applyFill="1" applyBorder="1"/>
    <xf numFmtId="165" fontId="0" fillId="9" borderId="14" xfId="1" applyNumberFormat="1" applyFont="1" applyFill="1" applyBorder="1"/>
    <xf numFmtId="0" fontId="0" fillId="9" borderId="14" xfId="1" applyNumberFormat="1" applyFont="1" applyFill="1" applyBorder="1"/>
    <xf numFmtId="0" fontId="0" fillId="15" borderId="15" xfId="0" applyFill="1" applyBorder="1"/>
    <xf numFmtId="0" fontId="0" fillId="15" borderId="15" xfId="0" applyFill="1" applyBorder="1" applyAlignment="1">
      <alignment horizontal="left"/>
    </xf>
    <xf numFmtId="3" fontId="0" fillId="15" borderId="15" xfId="0" applyNumberFormat="1" applyFill="1" applyBorder="1" applyAlignment="1">
      <alignment horizontal="center"/>
    </xf>
    <xf numFmtId="3" fontId="0" fillId="0" borderId="15" xfId="0" applyNumberFormat="1" applyBorder="1" applyAlignment="1">
      <alignment horizontal="center"/>
    </xf>
    <xf numFmtId="9" fontId="0" fillId="0" borderId="15" xfId="0" applyNumberFormat="1" applyBorder="1" applyAlignment="1">
      <alignment horizontal="center"/>
    </xf>
    <xf numFmtId="0" fontId="0" fillId="15" borderId="14" xfId="0" applyFill="1" applyBorder="1" applyAlignment="1">
      <alignment horizontal="left"/>
    </xf>
    <xf numFmtId="0" fontId="0" fillId="0" borderId="14" xfId="0" applyBorder="1"/>
    <xf numFmtId="0" fontId="0" fillId="0" borderId="14" xfId="0" applyBorder="1" applyAlignment="1">
      <alignment horizontal="left"/>
    </xf>
    <xf numFmtId="0" fontId="0" fillId="0" borderId="14" xfId="0" applyBorder="1" applyAlignment="1">
      <alignment horizontal="center"/>
    </xf>
    <xf numFmtId="164" fontId="0" fillId="0" borderId="14" xfId="0" applyNumberFormat="1" applyBorder="1" applyAlignment="1">
      <alignment horizontal="center"/>
    </xf>
    <xf numFmtId="165" fontId="0" fillId="0" borderId="14" xfId="0" applyNumberFormat="1" applyBorder="1"/>
    <xf numFmtId="9" fontId="0" fillId="0" borderId="14" xfId="1" applyFont="1" applyBorder="1"/>
    <xf numFmtId="165" fontId="0" fillId="0" borderId="14" xfId="1" applyNumberFormat="1" applyFont="1" applyBorder="1"/>
    <xf numFmtId="0" fontId="0" fillId="0" borderId="14" xfId="1" applyNumberFormat="1" applyFont="1" applyBorder="1"/>
    <xf numFmtId="0" fontId="0" fillId="0" borderId="0" xfId="0" applyAlignment="1">
      <alignment horizontal="left"/>
    </xf>
    <xf numFmtId="3" fontId="0" fillId="0" borderId="0" xfId="0" applyNumberFormat="1"/>
    <xf numFmtId="4" fontId="0" fillId="0" borderId="0" xfId="0" applyNumberFormat="1"/>
    <xf numFmtId="169" fontId="0" fillId="0" borderId="0" xfId="0" applyNumberFormat="1"/>
  </cellXfs>
  <cellStyles count="3">
    <cellStyle name="Heading 4 2" xfId="2" xr:uid="{3E1BAE2B-96E4-4A9E-8210-2DD22274038C}"/>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18" Type="http://schemas.openxmlformats.org/officeDocument/2006/relationships/customXml" Target="../customXml/item4.xml"/><Relationship Id="rId3" Type="http://schemas.openxmlformats.org/officeDocument/2006/relationships/externalLink" Target="externalLinks/externalLink2.xml"/><Relationship Id="rId7" Type="http://schemas.openxmlformats.org/officeDocument/2006/relationships/sheetMetadata" Target="metadata.xml"/><Relationship Id="rId12" Type="http://schemas.microsoft.com/office/2017/06/relationships/rdSupportingPropertyBag" Target="richData/rdsupportingpropertybag.xml"/><Relationship Id="rId17" Type="http://schemas.openxmlformats.org/officeDocument/2006/relationships/customXml" Target="../customXml/item3.xml"/><Relationship Id="rId2" Type="http://schemas.openxmlformats.org/officeDocument/2006/relationships/externalLink" Target="externalLinks/externalLink1.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ustomXml" Target="../customXml/item1.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escription"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mckinsey.sharepoint.com/sites/spe-int-z967fkf2ljbnqq/Shared%20Documents/Value%20Capture%20Oct%202025-2027/03%20Workstreams/Commercial/07.%20Client%20data%20sharing/EU%20Low%20CM/Q4F%202025_CM%20Template%20-%20Executive%20Review%20-%20247_Salzgitter.xlsb" TargetMode="External"/><Relationship Id="rId2" Type="http://schemas.microsoft.com/office/2019/04/relationships/externalLinkLongPath" Target="https://mckinsey.sharepoint.com/sites/spe-int-z967fkf2ljbnqq/Shared%20Documents/Value%20Capture%20Oct%202025-2027/03%20Workstreams/Commercial/07.%20Client%20data%20sharing/EU%20Low%20CM/Q4F%202025_CM%20Template%20-%20Executive%20Review%20-%20247_Salzgitter.xlsb?20A4CD7A" TargetMode="External"/><Relationship Id="rId1" Type="http://schemas.openxmlformats.org/officeDocument/2006/relationships/externalLinkPath" Target="file:///\\20A4CD7A\Q4F%202025_CM%20Template%20-%20Executive%20Review%20-%20247_Salzgitter.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rip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ata_input"/>
      <sheetName val="SLZ EBIT Target calculation"/>
      <sheetName val="SLZ Program EBIT opp. summary"/>
      <sheetName val="Salzgitter com. initiatives"/>
      <sheetName val="Target_report"/>
      <sheetName val="Action_input"/>
      <sheetName val="Action_report"/>
      <sheetName val="Recovery_repor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en-US</v>
    <v>av2elh</v>
    <v>268435456</v>
    <v>1</v>
    <v>Powered by Refinitiv</v>
    <v>0</v>
    <v>BRL/USD</v>
    <v>2</v>
    <v>3</v>
    <v>Finance</v>
    <v>4</v>
    <v>0.20469999999999999</v>
    <v>0.17510000000000001</v>
    <v>-2.5999999999999998E-4</v>
    <v>-1.3450000000000001E-3</v>
    <v>USD</v>
    <v>BRL</v>
    <v>0.19489999999999999</v>
    <v>Currency Pair</v>
    <v>46181.829872685186</v>
    <v>0.1925</v>
    <v>Brazilian Real/US Dollar FX Cross Rate</v>
    <v>0.1933</v>
    <v>0.1933</v>
    <v>0.193</v>
    <v>BRLUSD</v>
    <v>BRL/USD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0" formatCode="General"/>
    </x:dxf>
    <x:dxf>
      <x:numFmt numFmtId="14" formatCode="0.00%"/>
    </x:dxf>
    <x:dxf>
      <x:numFmt numFmtId="27" formatCode="m/d/yyyy\ h:mm"/>
    </x:dxf>
    <x:dxf>
      <x:numFmt numFmtId="2" formatCode="0.00"/>
    </x:dxf>
  </dxfs>
  <richProperties>
    <rPr n="NumberFormat" t="s"/>
    <rPr n="IsTitleField" t="b"/>
  </richProperties>
  <richStyles>
    <rSty dxfid="0">
      <rpv i="0">_([$$-en-US]* #,##0.00_);_([$$-en-US]* (#,##0.00);_([$$-en-US]* "-"??_);_(@_)</rpv>
    </rSty>
    <rSty>
      <rpv i="1">1</rpv>
    </rSty>
    <rSty dxfid="1"/>
    <rSty dxfid="2"/>
    <rSty dxfid="3">
      <rpv i="0">0.00</rpv>
    </rSty>
  </richStyles>
</richStyleSheet>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F1D3-7E8E-4ACF-BFBC-FA67681CFACD}">
  <sheetPr>
    <tabColor theme="4" tint="0.79998168889431442"/>
  </sheetPr>
  <dimension ref="A1:NJ132"/>
  <sheetViews>
    <sheetView showGridLines="0" tabSelected="1" zoomScale="85" zoomScaleNormal="85" workbookViewId="0">
      <selection activeCell="A4" sqref="A4"/>
    </sheetView>
  </sheetViews>
  <sheetFormatPr defaultColWidth="8.7109375" defaultRowHeight="15" outlineLevelCol="1" x14ac:dyDescent="0.25"/>
  <cols>
    <col min="1" max="4" width="12.5703125" customWidth="1"/>
    <col min="5" max="5" width="12.5703125" style="96" customWidth="1"/>
    <col min="6" max="6" width="12.5703125" customWidth="1"/>
    <col min="7" max="7" width="23.7109375" customWidth="1"/>
    <col min="8" max="8" width="26.28515625" customWidth="1" outlineLevel="1"/>
    <col min="9" max="13" width="12.5703125" customWidth="1"/>
    <col min="14" max="14" width="11.42578125" bestFit="1" customWidth="1"/>
    <col min="15" max="32" width="12.7109375" customWidth="1"/>
    <col min="33" max="41" width="15" customWidth="1"/>
    <col min="42" max="116" width="12.5703125" customWidth="1"/>
    <col min="117" max="117" width="17.5703125" bestFit="1" customWidth="1"/>
    <col min="118" max="118" width="15.7109375" bestFit="1" customWidth="1"/>
    <col min="119" max="142" width="12.5703125" customWidth="1"/>
    <col min="143" max="143" width="13.28515625" customWidth="1"/>
    <col min="144" max="158" width="16.28515625" customWidth="1"/>
    <col min="159" max="159" width="3.42578125" customWidth="1"/>
    <col min="160" max="174" width="16.28515625" customWidth="1"/>
    <col min="175" max="175" width="3.42578125" customWidth="1"/>
    <col min="176" max="190" width="16.28515625" customWidth="1"/>
    <col min="191" max="191" width="3.42578125" customWidth="1"/>
    <col min="192" max="206" width="16.28515625" customWidth="1"/>
    <col min="207" max="207" width="3.42578125" customWidth="1"/>
    <col min="208" max="222" width="16.28515625" customWidth="1"/>
    <col min="223" max="223" width="3.42578125" customWidth="1"/>
    <col min="224" max="238" width="16.28515625" customWidth="1"/>
    <col min="239" max="239" width="3.42578125" customWidth="1"/>
    <col min="240" max="254" width="17.42578125" customWidth="1"/>
    <col min="255" max="255" width="3.42578125" customWidth="1"/>
    <col min="256" max="270" width="17.42578125" customWidth="1"/>
    <col min="271" max="271" width="3.42578125" customWidth="1"/>
    <col min="272" max="286" width="17.42578125" customWidth="1"/>
    <col min="287" max="287" width="3.42578125" customWidth="1"/>
    <col min="288" max="288" width="16.28515625" customWidth="1"/>
    <col min="289" max="295" width="19.7109375" bestFit="1" customWidth="1"/>
    <col min="296" max="302" width="16.28515625" customWidth="1"/>
    <col min="303" max="303" width="3.42578125" customWidth="1"/>
    <col min="304" max="317" width="20.5703125" customWidth="1"/>
    <col min="318" max="329" width="16.28515625" customWidth="1"/>
    <col min="330" max="330" width="3.42578125" customWidth="1"/>
    <col min="331" max="374" width="27.5703125" customWidth="1"/>
    <col min="376" max="376" width="12.28515625" bestFit="1" customWidth="1"/>
  </cols>
  <sheetData>
    <row r="1" spans="1:374" x14ac:dyDescent="0.25">
      <c r="A1" s="1" t="s">
        <v>0</v>
      </c>
      <c r="B1" s="2"/>
      <c r="C1" s="2"/>
      <c r="D1" s="2"/>
      <c r="E1" s="2"/>
      <c r="F1" s="2"/>
      <c r="G1" s="2"/>
      <c r="H1" s="2"/>
      <c r="I1" s="2"/>
      <c r="J1" s="2"/>
      <c r="K1" s="2"/>
      <c r="L1" s="2"/>
      <c r="M1" s="2"/>
      <c r="N1" s="2"/>
      <c r="O1" s="1" t="s">
        <v>1</v>
      </c>
      <c r="P1" s="2"/>
      <c r="Q1" s="2"/>
      <c r="R1" s="2"/>
      <c r="S1" s="2"/>
      <c r="T1" s="2"/>
      <c r="U1" s="2"/>
      <c r="V1" s="2"/>
      <c r="W1" s="2"/>
      <c r="X1" s="2"/>
      <c r="Y1" s="2"/>
      <c r="Z1" s="2"/>
      <c r="AA1" s="2"/>
      <c r="AB1" s="2"/>
      <c r="AC1" s="2"/>
      <c r="AD1" s="2"/>
      <c r="AE1" s="2"/>
      <c r="AF1" s="2"/>
      <c r="AG1" s="2"/>
      <c r="AH1" s="3"/>
      <c r="AI1" s="3"/>
      <c r="AJ1" s="3"/>
      <c r="AK1" s="3"/>
      <c r="AL1" s="3"/>
      <c r="AM1" s="3"/>
      <c r="AN1" s="3"/>
      <c r="AO1" s="4"/>
      <c r="AP1" s="5" t="s">
        <v>2</v>
      </c>
      <c r="AQ1" s="6"/>
      <c r="AR1" s="7"/>
      <c r="AS1" s="6"/>
      <c r="AT1" s="7"/>
      <c r="AU1" s="7"/>
      <c r="AV1" s="8"/>
      <c r="AW1" s="8"/>
      <c r="AX1" s="8"/>
      <c r="AY1" s="8"/>
      <c r="AZ1" s="9"/>
      <c r="BA1" s="10"/>
      <c r="BB1" s="11" t="s">
        <v>3</v>
      </c>
      <c r="BC1" s="12"/>
      <c r="BD1" s="13"/>
      <c r="BE1" s="12"/>
      <c r="BF1" s="13"/>
      <c r="BG1" s="13"/>
      <c r="BH1" s="14"/>
      <c r="BI1" s="14"/>
      <c r="BJ1" s="14"/>
      <c r="BK1" s="14"/>
      <c r="BL1" s="15"/>
      <c r="BM1" s="16"/>
      <c r="BN1" s="5" t="s">
        <v>4</v>
      </c>
      <c r="BO1" s="17"/>
      <c r="BP1" s="7"/>
      <c r="BQ1" s="17"/>
      <c r="BR1" s="7"/>
      <c r="BS1" s="7"/>
      <c r="BT1" s="18"/>
      <c r="BU1" s="18"/>
      <c r="BV1" s="18"/>
      <c r="BW1" s="18"/>
      <c r="BX1" s="9"/>
      <c r="BY1" s="10"/>
      <c r="BZ1" s="11" t="s">
        <v>5</v>
      </c>
      <c r="CA1" s="12"/>
      <c r="CB1" s="13"/>
      <c r="CC1" s="12"/>
      <c r="CD1" s="13"/>
      <c r="CE1" s="13"/>
      <c r="CF1" s="14"/>
      <c r="CG1" s="14"/>
      <c r="CH1" s="14"/>
      <c r="CI1" s="14"/>
      <c r="CJ1" s="15"/>
      <c r="CK1" s="16"/>
      <c r="CL1" s="5" t="s">
        <v>6</v>
      </c>
      <c r="CM1" s="17"/>
      <c r="CN1" s="7"/>
      <c r="CO1" s="17"/>
      <c r="CP1" s="7"/>
      <c r="CQ1" s="7"/>
      <c r="CR1" s="8"/>
      <c r="CS1" s="8"/>
      <c r="CT1" s="8"/>
      <c r="CU1" s="8"/>
      <c r="CV1" s="19"/>
      <c r="CW1" s="20"/>
      <c r="CX1" s="11" t="s">
        <v>7</v>
      </c>
      <c r="CY1" s="12"/>
      <c r="CZ1" s="13"/>
      <c r="DA1" s="12"/>
      <c r="DB1" s="13"/>
      <c r="DC1" s="13"/>
      <c r="DD1" s="14"/>
      <c r="DE1" s="14"/>
      <c r="DF1" s="14"/>
      <c r="DG1" s="14"/>
      <c r="DH1" s="15"/>
      <c r="DI1" s="16"/>
      <c r="DJ1" s="5" t="s">
        <v>8</v>
      </c>
      <c r="DK1" s="6"/>
      <c r="DL1" s="7"/>
      <c r="DM1" s="7"/>
      <c r="DN1" s="7"/>
      <c r="DO1" s="7"/>
      <c r="DP1" s="6"/>
      <c r="DQ1" s="7"/>
      <c r="DR1" s="7"/>
      <c r="DS1" s="8"/>
      <c r="DT1" s="8"/>
      <c r="DU1" s="8"/>
      <c r="DV1" s="8"/>
      <c r="DW1" s="8"/>
      <c r="DX1" s="20"/>
      <c r="DY1" s="11" t="s">
        <v>9</v>
      </c>
      <c r="DZ1" s="12"/>
      <c r="EA1" s="13"/>
      <c r="EB1" s="12"/>
      <c r="EC1" s="13"/>
      <c r="ED1" s="13"/>
      <c r="EE1" s="14"/>
      <c r="EF1" s="14"/>
      <c r="EG1" s="14"/>
      <c r="EH1" s="14"/>
      <c r="EI1" s="15"/>
      <c r="EJ1" s="16"/>
      <c r="EK1" s="21" t="s">
        <v>10</v>
      </c>
      <c r="EL1" s="5"/>
      <c r="EM1" s="22" t="s">
        <v>11</v>
      </c>
      <c r="EN1" s="21" t="s">
        <v>12</v>
      </c>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c r="GT1" s="23"/>
      <c r="GU1" s="23"/>
      <c r="GV1" s="23"/>
      <c r="GW1" s="23"/>
      <c r="GX1" s="23"/>
      <c r="GY1" s="23"/>
      <c r="GZ1" s="23"/>
      <c r="HA1" s="23"/>
      <c r="HB1" s="23"/>
      <c r="HC1" s="23"/>
      <c r="HD1" s="23"/>
      <c r="HE1" s="23"/>
      <c r="HF1" s="23"/>
      <c r="HG1" s="23"/>
      <c r="HH1" s="23"/>
      <c r="HI1" s="23"/>
      <c r="HJ1" s="23"/>
      <c r="HK1" s="23"/>
      <c r="HL1" s="23"/>
      <c r="HM1" s="23"/>
      <c r="HN1" s="23"/>
      <c r="HO1" s="23"/>
      <c r="HP1" s="23"/>
      <c r="HQ1" s="23"/>
      <c r="HR1" s="23"/>
      <c r="HS1" s="23"/>
      <c r="HT1" s="23"/>
      <c r="HU1" s="23"/>
      <c r="HV1" s="23"/>
      <c r="HW1" s="23"/>
      <c r="HX1" s="23"/>
      <c r="HY1" s="23"/>
      <c r="HZ1" s="23"/>
      <c r="IA1" s="23"/>
      <c r="IB1" s="23"/>
      <c r="IC1" s="23"/>
      <c r="ID1" s="23"/>
      <c r="IE1" s="23"/>
      <c r="IF1" s="23"/>
      <c r="IG1" s="23"/>
      <c r="IH1" s="23"/>
      <c r="II1" s="23"/>
      <c r="IJ1" s="23"/>
      <c r="IK1" s="23"/>
      <c r="IL1" s="23"/>
      <c r="IM1" s="23"/>
      <c r="IN1" s="23"/>
      <c r="IO1" s="23"/>
      <c r="IP1" s="23"/>
      <c r="IQ1" s="23"/>
      <c r="IR1" s="23"/>
      <c r="IS1" s="23"/>
      <c r="IT1" s="23"/>
      <c r="IU1" s="23"/>
      <c r="IV1" s="23"/>
      <c r="IW1" s="23"/>
      <c r="IX1" s="23"/>
      <c r="IY1" s="23"/>
      <c r="IZ1" s="23"/>
      <c r="JA1" s="23"/>
      <c r="JB1" s="23"/>
      <c r="JC1" s="23"/>
      <c r="JD1" s="23"/>
      <c r="JE1" s="23"/>
      <c r="JF1" s="23"/>
      <c r="JG1" s="23"/>
      <c r="JH1" s="23"/>
      <c r="JI1" s="23"/>
      <c r="JJ1" s="23"/>
      <c r="JK1" s="23"/>
      <c r="JL1" s="23"/>
      <c r="JM1" s="23"/>
      <c r="JN1" s="23"/>
      <c r="JO1" s="23"/>
      <c r="JP1" s="23"/>
      <c r="JQ1" s="23"/>
      <c r="JR1" s="23"/>
      <c r="JS1" s="23"/>
      <c r="JT1" s="23"/>
      <c r="JU1" s="23"/>
      <c r="JV1" s="23"/>
      <c r="JW1" s="23"/>
      <c r="JX1" s="23"/>
      <c r="JY1" s="23"/>
      <c r="JZ1" s="23"/>
      <c r="KA1" s="23"/>
      <c r="KB1" s="23"/>
      <c r="KC1" s="23"/>
      <c r="KD1" s="23"/>
      <c r="KE1" s="23"/>
      <c r="KF1" s="23"/>
      <c r="KG1" s="23"/>
      <c r="KH1" s="23"/>
      <c r="KI1" s="23"/>
      <c r="KJ1" s="23"/>
      <c r="KK1" s="23"/>
      <c r="KL1" s="23"/>
      <c r="KM1" s="23"/>
      <c r="KN1" s="23"/>
      <c r="KO1" s="23"/>
      <c r="KP1" s="23"/>
      <c r="KQ1" s="23"/>
      <c r="KR1" s="23"/>
      <c r="KS1" s="23"/>
      <c r="KT1" s="23"/>
      <c r="KU1" s="23"/>
      <c r="KV1" s="23"/>
      <c r="KW1" s="23"/>
      <c r="KX1" s="23"/>
      <c r="KY1" s="23"/>
      <c r="KZ1" s="23"/>
      <c r="LA1" s="23"/>
      <c r="LB1" s="23"/>
      <c r="LC1" s="23"/>
      <c r="LD1" s="23"/>
      <c r="LE1" s="23"/>
      <c r="LF1" s="23"/>
      <c r="LG1" s="23"/>
      <c r="LH1" s="23"/>
      <c r="LI1" s="23"/>
      <c r="LJ1" s="23"/>
      <c r="LK1" s="23"/>
      <c r="LL1" s="23"/>
      <c r="LM1" s="23"/>
      <c r="LN1" s="23"/>
      <c r="LO1" s="23"/>
      <c r="LP1" s="23"/>
      <c r="LQ1" s="23"/>
      <c r="LR1" s="23"/>
      <c r="LS1" s="23"/>
      <c r="LT1" s="23"/>
      <c r="LU1" s="23"/>
      <c r="LV1" s="23"/>
      <c r="LW1" s="23"/>
      <c r="LX1" s="23"/>
      <c r="LY1" s="23"/>
      <c r="LZ1" s="23"/>
      <c r="MA1" s="23"/>
      <c r="MB1" s="23"/>
      <c r="MC1" s="23"/>
      <c r="MD1" s="23"/>
      <c r="ME1" s="23"/>
      <c r="MF1" s="23"/>
      <c r="MG1" s="23"/>
      <c r="MH1" s="23"/>
      <c r="MI1" s="23"/>
      <c r="MJ1" s="23"/>
      <c r="MK1" s="23"/>
      <c r="ML1" s="23"/>
      <c r="MM1" s="23"/>
      <c r="MN1" s="23"/>
      <c r="MO1" s="23"/>
      <c r="MP1" s="23"/>
      <c r="MQ1" s="23"/>
      <c r="MR1" s="23"/>
      <c r="MS1" s="23"/>
      <c r="MT1" s="23"/>
      <c r="MU1" s="23"/>
      <c r="MV1" s="23"/>
      <c r="MW1" s="23"/>
      <c r="MX1" s="23"/>
      <c r="MY1" s="23"/>
      <c r="MZ1" s="23"/>
      <c r="NA1" s="23"/>
      <c r="NB1" s="23"/>
      <c r="NC1" s="23"/>
      <c r="ND1" s="23"/>
      <c r="NE1" s="23"/>
      <c r="NF1" s="23"/>
      <c r="NG1" s="23"/>
      <c r="NH1" s="23"/>
      <c r="NI1" s="23"/>
      <c r="NJ1" s="23"/>
    </row>
    <row r="2" spans="1:374" x14ac:dyDescent="0.25">
      <c r="A2" s="24"/>
      <c r="B2" s="24"/>
      <c r="C2" s="24"/>
      <c r="D2" s="24"/>
      <c r="E2" s="25"/>
      <c r="F2" s="24"/>
      <c r="G2" s="24"/>
      <c r="H2" s="24"/>
      <c r="I2" s="24" t="e" vm="1">
        <v>#VALUE!</v>
      </c>
      <c r="J2" s="26" cm="1">
        <f t="array" aca="1" ref="J2" ca="1">_FV(I2,"Price")</f>
        <v>0.193</v>
      </c>
      <c r="K2" s="26">
        <v>0.2</v>
      </c>
      <c r="L2" s="27"/>
      <c r="M2" s="27"/>
      <c r="N2" s="28"/>
      <c r="O2" s="29" t="s">
        <v>13</v>
      </c>
      <c r="P2" s="24"/>
      <c r="Q2" s="24"/>
      <c r="R2" s="24"/>
      <c r="S2" s="24"/>
      <c r="T2" s="24"/>
      <c r="U2" s="24"/>
      <c r="V2" s="24"/>
      <c r="W2" s="24"/>
      <c r="X2" s="30" t="s">
        <v>14</v>
      </c>
      <c r="Y2" s="31"/>
      <c r="Z2" s="31"/>
      <c r="AA2" s="32"/>
      <c r="AB2" s="32"/>
      <c r="AC2" s="32"/>
      <c r="AD2" s="32"/>
      <c r="AE2" s="32"/>
      <c r="AF2" s="33"/>
      <c r="AG2" s="34" t="s">
        <v>15</v>
      </c>
      <c r="AH2" s="34"/>
      <c r="AI2" s="35"/>
      <c r="AJ2" s="35"/>
      <c r="AK2" s="35"/>
      <c r="AL2" s="35"/>
      <c r="AM2" s="35"/>
      <c r="AN2" s="35"/>
      <c r="AO2" s="36"/>
      <c r="AP2" s="37"/>
      <c r="AQ2" s="35"/>
      <c r="AR2" s="35"/>
      <c r="AS2" s="38" t="s">
        <v>16</v>
      </c>
      <c r="AT2" s="37"/>
      <c r="AU2" s="37"/>
      <c r="AV2" s="37"/>
      <c r="AW2" s="37"/>
      <c r="AX2" s="37"/>
      <c r="AY2" s="37"/>
      <c r="AZ2" s="37"/>
      <c r="BA2" s="39"/>
      <c r="BB2" s="37"/>
      <c r="BC2" s="35"/>
      <c r="BD2" s="35"/>
      <c r="BE2" s="38" t="s">
        <v>16</v>
      </c>
      <c r="BF2" s="37"/>
      <c r="BG2" s="37"/>
      <c r="BH2" s="37"/>
      <c r="BI2" s="37"/>
      <c r="BJ2" s="37"/>
      <c r="BK2" s="37"/>
      <c r="BL2" s="37"/>
      <c r="BM2" s="39"/>
      <c r="BN2" s="37"/>
      <c r="BO2" s="35"/>
      <c r="BP2" s="35"/>
      <c r="BQ2" s="38" t="s">
        <v>16</v>
      </c>
      <c r="BR2" s="37"/>
      <c r="BS2" s="37"/>
      <c r="BT2" s="37"/>
      <c r="BU2" s="37"/>
      <c r="BV2" s="37"/>
      <c r="BW2" s="37"/>
      <c r="BX2" s="37"/>
      <c r="BY2" s="39"/>
      <c r="BZ2" s="37"/>
      <c r="CA2" s="35"/>
      <c r="CB2" s="35"/>
      <c r="CC2" s="38" t="s">
        <v>16</v>
      </c>
      <c r="CD2" s="37"/>
      <c r="CE2" s="37"/>
      <c r="CF2" s="37"/>
      <c r="CG2" s="37"/>
      <c r="CH2" s="37"/>
      <c r="CI2" s="37"/>
      <c r="CJ2" s="37"/>
      <c r="CK2" s="39"/>
      <c r="CL2" s="37"/>
      <c r="CM2" s="35"/>
      <c r="CN2" s="35"/>
      <c r="CO2" s="38" t="s">
        <v>16</v>
      </c>
      <c r="CP2" s="37"/>
      <c r="CQ2" s="37"/>
      <c r="CR2" s="37"/>
      <c r="CS2" s="37"/>
      <c r="CT2" s="37"/>
      <c r="CU2" s="37"/>
      <c r="CV2" s="37"/>
      <c r="CW2" s="39"/>
      <c r="CX2" s="37"/>
      <c r="CY2" s="35"/>
      <c r="CZ2" s="35"/>
      <c r="DA2" s="38" t="s">
        <v>16</v>
      </c>
      <c r="DB2" s="37"/>
      <c r="DC2" s="37"/>
      <c r="DD2" s="37"/>
      <c r="DE2" s="37"/>
      <c r="DF2" s="37"/>
      <c r="DG2" s="37"/>
      <c r="DH2" s="37"/>
      <c r="DI2" s="39"/>
      <c r="DJ2" s="37"/>
      <c r="DK2" s="40"/>
      <c r="DL2" s="41"/>
      <c r="DM2" s="42"/>
      <c r="DN2" s="35"/>
      <c r="DO2" s="35"/>
      <c r="DP2" s="38" t="s">
        <v>16</v>
      </c>
      <c r="DQ2" s="37"/>
      <c r="DR2" s="37"/>
      <c r="DS2" s="37"/>
      <c r="DT2" s="37"/>
      <c r="DU2" s="37"/>
      <c r="DV2" s="37"/>
      <c r="DW2" s="37"/>
      <c r="DX2" s="39"/>
      <c r="DY2" s="37"/>
      <c r="DZ2" s="35"/>
      <c r="EA2" s="35"/>
      <c r="EB2" s="38" t="s">
        <v>16</v>
      </c>
      <c r="EC2" s="37"/>
      <c r="ED2" s="37"/>
      <c r="EE2" s="37"/>
      <c r="EF2" s="37"/>
      <c r="EG2" s="37"/>
      <c r="EH2" s="37"/>
      <c r="EI2" s="37"/>
      <c r="EJ2" s="39"/>
      <c r="EK2" s="24"/>
      <c r="EL2" s="24"/>
      <c r="EM2" s="43"/>
      <c r="LZ2" s="44">
        <v>0</v>
      </c>
      <c r="MA2" s="44">
        <v>0.12</v>
      </c>
    </row>
    <row r="3" spans="1:374" x14ac:dyDescent="0.25">
      <c r="A3" s="24"/>
      <c r="B3" s="24"/>
      <c r="C3" s="24"/>
      <c r="D3" s="24"/>
      <c r="E3" s="25"/>
      <c r="F3" s="24"/>
      <c r="G3" s="24"/>
      <c r="H3" s="24"/>
      <c r="I3" s="24"/>
      <c r="J3" s="24"/>
      <c r="K3" s="24"/>
      <c r="L3" s="27"/>
      <c r="M3" s="27"/>
      <c r="N3" s="28"/>
      <c r="O3" t="s">
        <v>17</v>
      </c>
      <c r="P3" s="24"/>
      <c r="Q3" s="24"/>
      <c r="R3" s="24"/>
      <c r="S3" s="24"/>
      <c r="T3" s="24"/>
      <c r="U3" s="24"/>
      <c r="V3" s="24"/>
      <c r="W3" s="24"/>
      <c r="X3" s="45" t="s">
        <v>18</v>
      </c>
      <c r="Y3" s="46"/>
      <c r="Z3" s="46"/>
      <c r="AA3" s="46"/>
      <c r="AB3" s="46"/>
      <c r="AC3" s="46"/>
      <c r="AD3" s="46"/>
      <c r="AE3" s="46"/>
      <c r="AF3" s="47"/>
      <c r="AG3" s="48" t="s">
        <v>19</v>
      </c>
      <c r="AH3" s="48"/>
      <c r="AI3" s="48"/>
      <c r="AJ3" s="49" t="s">
        <v>20</v>
      </c>
      <c r="AK3" s="49"/>
      <c r="AL3" s="49"/>
      <c r="AM3" s="49"/>
      <c r="AN3" s="49"/>
      <c r="AO3" s="50"/>
      <c r="AP3" s="35"/>
      <c r="AQ3" s="41"/>
      <c r="AR3" s="41"/>
      <c r="AS3" s="48" t="s">
        <v>19</v>
      </c>
      <c r="AT3" s="48"/>
      <c r="AU3" s="48"/>
      <c r="AV3" s="49" t="s">
        <v>20</v>
      </c>
      <c r="AW3" s="49"/>
      <c r="AX3" s="49"/>
      <c r="AY3" s="49"/>
      <c r="AZ3" s="49"/>
      <c r="BA3" s="50"/>
      <c r="BB3" s="35"/>
      <c r="BC3" s="35"/>
      <c r="BD3" s="35"/>
      <c r="BE3" s="48" t="s">
        <v>19</v>
      </c>
      <c r="BF3" s="48"/>
      <c r="BG3" s="48"/>
      <c r="BH3" s="49" t="s">
        <v>20</v>
      </c>
      <c r="BI3" s="49"/>
      <c r="BJ3" s="49"/>
      <c r="BK3" s="49"/>
      <c r="BL3" s="49"/>
      <c r="BM3" s="50"/>
      <c r="BN3" s="35"/>
      <c r="BO3" s="35"/>
      <c r="BP3" s="35"/>
      <c r="BQ3" s="48" t="s">
        <v>19</v>
      </c>
      <c r="BR3" s="48"/>
      <c r="BS3" s="48"/>
      <c r="BT3" s="49" t="s">
        <v>20</v>
      </c>
      <c r="BU3" s="49"/>
      <c r="BV3" s="49"/>
      <c r="BW3" s="49"/>
      <c r="BX3" s="49"/>
      <c r="BY3" s="50"/>
      <c r="BZ3" s="35"/>
      <c r="CA3" s="35"/>
      <c r="CB3" s="35"/>
      <c r="CC3" s="48" t="s">
        <v>19</v>
      </c>
      <c r="CD3" s="48"/>
      <c r="CE3" s="48"/>
      <c r="CF3" s="49" t="s">
        <v>20</v>
      </c>
      <c r="CG3" s="49"/>
      <c r="CH3" s="49"/>
      <c r="CI3" s="49"/>
      <c r="CJ3" s="49"/>
      <c r="CK3" s="50"/>
      <c r="CL3" s="35"/>
      <c r="CM3" s="35"/>
      <c r="CN3" s="35"/>
      <c r="CO3" s="48" t="s">
        <v>19</v>
      </c>
      <c r="CP3" s="48"/>
      <c r="CQ3" s="48"/>
      <c r="CR3" s="49" t="s">
        <v>20</v>
      </c>
      <c r="CS3" s="49"/>
      <c r="CT3" s="49"/>
      <c r="CU3" s="49"/>
      <c r="CV3" s="49"/>
      <c r="CW3" s="50"/>
      <c r="CX3" s="35"/>
      <c r="CY3" s="35"/>
      <c r="CZ3" s="35"/>
      <c r="DA3" s="48" t="s">
        <v>19</v>
      </c>
      <c r="DB3" s="48"/>
      <c r="DC3" s="48"/>
      <c r="DD3" s="49" t="s">
        <v>20</v>
      </c>
      <c r="DE3" s="49"/>
      <c r="DF3" s="49"/>
      <c r="DG3" s="49"/>
      <c r="DH3" s="49"/>
      <c r="DI3" s="50"/>
      <c r="DJ3" s="41"/>
      <c r="DK3" s="41"/>
      <c r="DL3" s="40"/>
      <c r="DM3" s="51"/>
      <c r="DN3" s="40"/>
      <c r="DO3" s="40"/>
      <c r="DP3" s="48" t="s">
        <v>19</v>
      </c>
      <c r="DQ3" s="48"/>
      <c r="DR3" s="48"/>
      <c r="DS3" s="49" t="s">
        <v>20</v>
      </c>
      <c r="DT3" s="49"/>
      <c r="DU3" s="49"/>
      <c r="DV3" s="49"/>
      <c r="DW3" s="49"/>
      <c r="DX3" s="50"/>
      <c r="DY3" s="35"/>
      <c r="DZ3" s="35"/>
      <c r="EA3" s="35"/>
      <c r="EB3" s="48" t="s">
        <v>19</v>
      </c>
      <c r="EC3" s="48"/>
      <c r="ED3" s="48"/>
      <c r="EE3" s="49" t="s">
        <v>20</v>
      </c>
      <c r="EF3" s="49"/>
      <c r="EG3" s="49"/>
      <c r="EH3" s="49"/>
      <c r="EI3" s="49"/>
      <c r="EJ3" s="50"/>
      <c r="EK3" s="24"/>
      <c r="EL3" s="24"/>
      <c r="EM3" s="43"/>
      <c r="EN3" s="52" t="s">
        <v>21</v>
      </c>
      <c r="EO3" s="53"/>
      <c r="EP3" s="53"/>
      <c r="EQ3" s="53"/>
      <c r="ER3" s="53"/>
      <c r="ES3" s="53"/>
      <c r="ET3" s="53"/>
      <c r="EU3" s="53"/>
      <c r="EV3" s="53"/>
      <c r="EW3" s="53"/>
      <c r="EX3" s="53"/>
      <c r="EY3" s="53"/>
      <c r="EZ3" s="53"/>
      <c r="FA3" s="53"/>
      <c r="FB3" s="53"/>
      <c r="FC3" s="54"/>
      <c r="FD3" s="52" t="s">
        <v>22</v>
      </c>
      <c r="FE3" s="53"/>
      <c r="FF3" s="53"/>
      <c r="FG3" s="53"/>
      <c r="FH3" s="53"/>
      <c r="FI3" s="53"/>
      <c r="FJ3" s="53"/>
      <c r="FK3" s="53"/>
      <c r="FL3" s="53"/>
      <c r="FM3" s="53"/>
      <c r="FN3" s="53"/>
      <c r="FO3" s="53"/>
      <c r="FP3" s="53"/>
      <c r="FQ3" s="53"/>
      <c r="FR3" s="53"/>
      <c r="FT3" s="52" t="s">
        <v>23</v>
      </c>
      <c r="FU3" s="53"/>
      <c r="FV3" s="53"/>
      <c r="FW3" s="53"/>
      <c r="FX3" s="53"/>
      <c r="FY3" s="53"/>
      <c r="FZ3" s="53"/>
      <c r="GA3" s="53"/>
      <c r="GB3" s="53"/>
      <c r="GC3" s="53"/>
      <c r="GD3" s="53"/>
      <c r="GE3" s="53"/>
      <c r="GF3" s="53"/>
      <c r="GG3" s="53"/>
      <c r="GH3" s="53"/>
      <c r="GJ3" s="55" t="s">
        <v>24</v>
      </c>
      <c r="GK3" s="56"/>
      <c r="GL3" s="56"/>
      <c r="GM3" s="56"/>
      <c r="GN3" s="56"/>
      <c r="GO3" s="56"/>
      <c r="GP3" s="56"/>
      <c r="GQ3" s="56"/>
      <c r="GR3" s="56"/>
      <c r="GS3" s="56"/>
      <c r="GT3" s="56"/>
      <c r="GU3" s="56"/>
      <c r="GV3" s="56"/>
      <c r="GW3" s="56"/>
      <c r="GX3" s="56"/>
      <c r="GZ3" s="55" t="s">
        <v>25</v>
      </c>
      <c r="HA3" s="56"/>
      <c r="HB3" s="56"/>
      <c r="HC3" s="56"/>
      <c r="HD3" s="56"/>
      <c r="HE3" s="56"/>
      <c r="HF3" s="56"/>
      <c r="HG3" s="56"/>
      <c r="HH3" s="56"/>
      <c r="HI3" s="56"/>
      <c r="HJ3" s="56"/>
      <c r="HK3" s="56"/>
      <c r="HL3" s="56"/>
      <c r="HM3" s="56"/>
      <c r="HN3" s="56"/>
      <c r="HP3" s="55" t="s">
        <v>26</v>
      </c>
      <c r="HQ3" s="56"/>
      <c r="HR3" s="56"/>
      <c r="HS3" s="56"/>
      <c r="HT3" s="56"/>
      <c r="HU3" s="56"/>
      <c r="HV3" s="56"/>
      <c r="HW3" s="56"/>
      <c r="HX3" s="56"/>
      <c r="HY3" s="56"/>
      <c r="HZ3" s="56"/>
      <c r="IA3" s="56"/>
      <c r="IB3" s="56"/>
      <c r="IC3" s="56"/>
      <c r="ID3" s="56"/>
      <c r="IF3" s="55" t="s">
        <v>27</v>
      </c>
      <c r="IG3" s="56"/>
      <c r="IH3" s="56"/>
      <c r="II3" s="56"/>
      <c r="IJ3" s="56"/>
      <c r="IK3" s="56"/>
      <c r="IL3" s="56"/>
      <c r="IM3" s="56"/>
      <c r="IN3" s="56"/>
      <c r="IO3" s="56"/>
      <c r="IP3" s="56"/>
      <c r="IQ3" s="56"/>
      <c r="IR3" s="56"/>
      <c r="IS3" s="56"/>
      <c r="IT3" s="56"/>
      <c r="IV3" s="55" t="s">
        <v>28</v>
      </c>
      <c r="IW3" s="56"/>
      <c r="IX3" s="56"/>
      <c r="IY3" s="56"/>
      <c r="IZ3" s="56"/>
      <c r="JA3" s="56"/>
      <c r="JB3" s="56"/>
      <c r="JC3" s="56"/>
      <c r="JD3" s="56"/>
      <c r="JE3" s="56"/>
      <c r="JF3" s="56"/>
      <c r="JG3" s="56"/>
      <c r="JH3" s="56"/>
      <c r="JI3" s="56"/>
      <c r="JJ3" s="56"/>
      <c r="JL3" s="55" t="s">
        <v>29</v>
      </c>
      <c r="JM3" s="56"/>
      <c r="JN3" s="56"/>
      <c r="JO3" s="56"/>
      <c r="JP3" s="56"/>
      <c r="JQ3" s="56"/>
      <c r="JR3" s="56"/>
      <c r="JS3" s="56"/>
      <c r="JT3" s="56"/>
      <c r="JU3" s="56"/>
      <c r="JV3" s="56"/>
      <c r="JW3" s="56"/>
      <c r="JX3" s="56"/>
      <c r="JY3" s="56"/>
      <c r="JZ3" s="56"/>
      <c r="KB3" s="57" t="s">
        <v>30</v>
      </c>
      <c r="KC3" s="58"/>
      <c r="KD3" s="58"/>
      <c r="KE3" s="58"/>
      <c r="KF3" s="58"/>
      <c r="KG3" s="58"/>
      <c r="KH3" s="58"/>
      <c r="KI3" s="58"/>
      <c r="KJ3" s="58"/>
      <c r="KK3" s="58"/>
      <c r="KL3" s="58"/>
      <c r="KM3" s="58"/>
      <c r="KN3" s="58"/>
      <c r="KO3" s="58"/>
      <c r="KP3" s="58"/>
      <c r="KR3" s="58"/>
      <c r="KS3" s="58"/>
      <c r="KT3" s="58"/>
      <c r="KU3" s="58"/>
      <c r="KV3" s="58"/>
      <c r="KW3" s="58"/>
      <c r="KX3" s="58"/>
      <c r="KY3" s="58"/>
      <c r="KZ3" s="58"/>
      <c r="LA3" s="58"/>
      <c r="LB3" s="58"/>
      <c r="LC3" s="58"/>
      <c r="LD3" s="58"/>
      <c r="LE3" s="58"/>
      <c r="LF3" s="58"/>
      <c r="LG3" s="58"/>
      <c r="LH3" s="58"/>
      <c r="LI3" s="58"/>
      <c r="LJ3" s="58"/>
      <c r="LK3" s="58"/>
      <c r="LL3" s="58"/>
      <c r="LM3" s="58"/>
      <c r="LN3" s="58"/>
      <c r="LO3" s="58"/>
      <c r="LP3" s="58"/>
      <c r="LQ3" s="58"/>
      <c r="LS3" s="57" t="s">
        <v>31</v>
      </c>
      <c r="LT3" s="58"/>
      <c r="LU3" s="58"/>
      <c r="LV3" s="58"/>
      <c r="LW3" s="58"/>
      <c r="LX3" s="58"/>
      <c r="LY3" s="59"/>
      <c r="LZ3" s="59"/>
      <c r="MA3" s="59"/>
      <c r="MB3" s="59"/>
      <c r="MC3" s="59"/>
      <c r="MD3" s="59"/>
      <c r="ME3" s="59"/>
      <c r="MF3" s="59"/>
      <c r="MG3" s="59"/>
      <c r="MH3" s="59"/>
      <c r="MI3" s="59"/>
      <c r="MJ3" s="59"/>
      <c r="MK3" s="59"/>
      <c r="ML3" s="59"/>
      <c r="MM3" s="59"/>
      <c r="MN3" s="59"/>
      <c r="MO3" s="59"/>
      <c r="MP3" s="59"/>
      <c r="MQ3" s="59"/>
      <c r="MR3" s="59"/>
      <c r="MS3" s="59"/>
      <c r="MT3" s="59"/>
      <c r="MU3" s="59"/>
      <c r="MV3" s="59"/>
      <c r="MW3" s="59"/>
      <c r="MX3" s="59"/>
      <c r="MY3" s="59"/>
      <c r="MZ3" s="59"/>
      <c r="NA3" s="59"/>
      <c r="NB3" s="59"/>
      <c r="NC3" s="59"/>
      <c r="ND3" s="59"/>
      <c r="NE3" s="59"/>
      <c r="NF3" s="59"/>
      <c r="NG3" s="59"/>
      <c r="NH3" s="59"/>
      <c r="NI3" s="60">
        <v>0.5</v>
      </c>
      <c r="NJ3" s="60">
        <v>0.5</v>
      </c>
    </row>
    <row r="4" spans="1:374" ht="50.1" customHeight="1" x14ac:dyDescent="0.25">
      <c r="A4" s="61" t="s">
        <v>32</v>
      </c>
      <c r="B4" s="61" t="s">
        <v>33</v>
      </c>
      <c r="C4" s="61" t="s">
        <v>34</v>
      </c>
      <c r="D4" s="61" t="s">
        <v>35</v>
      </c>
      <c r="E4" s="62" t="s">
        <v>36</v>
      </c>
      <c r="F4" s="61" t="s">
        <v>37</v>
      </c>
      <c r="G4" s="63" t="s">
        <v>38</v>
      </c>
      <c r="H4" s="63" t="s">
        <v>39</v>
      </c>
      <c r="I4" s="61" t="s">
        <v>40</v>
      </c>
      <c r="J4" s="61" t="s">
        <v>41</v>
      </c>
      <c r="K4" s="61" t="s">
        <v>42</v>
      </c>
      <c r="L4" s="64" t="s">
        <v>43</v>
      </c>
      <c r="M4" s="64" t="s">
        <v>44</v>
      </c>
      <c r="N4" s="64" t="s">
        <v>45</v>
      </c>
      <c r="O4" s="65" t="s">
        <v>46</v>
      </c>
      <c r="P4" s="65" t="s">
        <v>47</v>
      </c>
      <c r="Q4" s="65" t="s">
        <v>48</v>
      </c>
      <c r="R4" s="65" t="s">
        <v>49</v>
      </c>
      <c r="S4" s="65" t="s">
        <v>50</v>
      </c>
      <c r="T4" s="65" t="s">
        <v>51</v>
      </c>
      <c r="U4" s="65" t="s">
        <v>52</v>
      </c>
      <c r="V4" s="65" t="s">
        <v>53</v>
      </c>
      <c r="W4" s="65" t="s">
        <v>54</v>
      </c>
      <c r="X4" s="65" t="s">
        <v>55</v>
      </c>
      <c r="Y4" s="65" t="s">
        <v>56</v>
      </c>
      <c r="Z4" s="65" t="s">
        <v>57</v>
      </c>
      <c r="AA4" s="65" t="s">
        <v>58</v>
      </c>
      <c r="AB4" s="65" t="s">
        <v>59</v>
      </c>
      <c r="AC4" s="65" t="s">
        <v>60</v>
      </c>
      <c r="AD4" s="65" t="s">
        <v>61</v>
      </c>
      <c r="AE4" s="65" t="s">
        <v>62</v>
      </c>
      <c r="AF4" s="65" t="s">
        <v>63</v>
      </c>
      <c r="AG4" s="65" t="s">
        <v>64</v>
      </c>
      <c r="AH4" s="65" t="s">
        <v>65</v>
      </c>
      <c r="AI4" s="65" t="s">
        <v>66</v>
      </c>
      <c r="AJ4" s="65" t="s">
        <v>67</v>
      </c>
      <c r="AK4" s="65" t="s">
        <v>68</v>
      </c>
      <c r="AL4" s="65" t="s">
        <v>69</v>
      </c>
      <c r="AM4" s="65" t="s">
        <v>70</v>
      </c>
      <c r="AN4" s="65" t="s">
        <v>71</v>
      </c>
      <c r="AO4" s="65" t="s">
        <v>72</v>
      </c>
      <c r="AP4" s="65" t="s">
        <v>73</v>
      </c>
      <c r="AQ4" s="65" t="s">
        <v>74</v>
      </c>
      <c r="AR4" s="65" t="s">
        <v>75</v>
      </c>
      <c r="AS4" s="65" t="s">
        <v>76</v>
      </c>
      <c r="AT4" s="65" t="s">
        <v>77</v>
      </c>
      <c r="AU4" s="65" t="s">
        <v>78</v>
      </c>
      <c r="AV4" s="65" t="s">
        <v>79</v>
      </c>
      <c r="AW4" s="65" t="s">
        <v>80</v>
      </c>
      <c r="AX4" s="65" t="s">
        <v>81</v>
      </c>
      <c r="AY4" s="65" t="s">
        <v>82</v>
      </c>
      <c r="AZ4" s="65" t="s">
        <v>83</v>
      </c>
      <c r="BA4" s="65" t="s">
        <v>84</v>
      </c>
      <c r="BB4" s="65" t="s">
        <v>85</v>
      </c>
      <c r="BC4" s="65" t="s">
        <v>86</v>
      </c>
      <c r="BD4" s="65" t="s">
        <v>87</v>
      </c>
      <c r="BE4" s="65" t="s">
        <v>88</v>
      </c>
      <c r="BF4" s="65" t="s">
        <v>89</v>
      </c>
      <c r="BG4" s="65" t="s">
        <v>90</v>
      </c>
      <c r="BH4" s="65" t="s">
        <v>91</v>
      </c>
      <c r="BI4" s="65" t="s">
        <v>92</v>
      </c>
      <c r="BJ4" s="65" t="s">
        <v>93</v>
      </c>
      <c r="BK4" s="65" t="s">
        <v>94</v>
      </c>
      <c r="BL4" s="65" t="s">
        <v>95</v>
      </c>
      <c r="BM4" s="65" t="s">
        <v>96</v>
      </c>
      <c r="BN4" s="65" t="s">
        <v>97</v>
      </c>
      <c r="BO4" s="65" t="s">
        <v>98</v>
      </c>
      <c r="BP4" s="65" t="s">
        <v>99</v>
      </c>
      <c r="BQ4" s="65" t="s">
        <v>100</v>
      </c>
      <c r="BR4" s="65" t="s">
        <v>101</v>
      </c>
      <c r="BS4" s="65" t="s">
        <v>102</v>
      </c>
      <c r="BT4" s="65" t="s">
        <v>103</v>
      </c>
      <c r="BU4" s="65" t="s">
        <v>104</v>
      </c>
      <c r="BV4" s="65" t="s">
        <v>105</v>
      </c>
      <c r="BW4" s="65" t="s">
        <v>106</v>
      </c>
      <c r="BX4" s="65" t="s">
        <v>107</v>
      </c>
      <c r="BY4" s="65" t="s">
        <v>108</v>
      </c>
      <c r="BZ4" s="65" t="s">
        <v>109</v>
      </c>
      <c r="CA4" s="65" t="s">
        <v>110</v>
      </c>
      <c r="CB4" s="65" t="s">
        <v>111</v>
      </c>
      <c r="CC4" s="65" t="s">
        <v>112</v>
      </c>
      <c r="CD4" s="65" t="s">
        <v>113</v>
      </c>
      <c r="CE4" s="65" t="s">
        <v>114</v>
      </c>
      <c r="CF4" s="65" t="s">
        <v>115</v>
      </c>
      <c r="CG4" s="65" t="s">
        <v>116</v>
      </c>
      <c r="CH4" s="65" t="s">
        <v>117</v>
      </c>
      <c r="CI4" s="65" t="s">
        <v>118</v>
      </c>
      <c r="CJ4" s="65" t="s">
        <v>119</v>
      </c>
      <c r="CK4" s="65" t="s">
        <v>120</v>
      </c>
      <c r="CL4" s="65" t="s">
        <v>121</v>
      </c>
      <c r="CM4" s="65" t="s">
        <v>122</v>
      </c>
      <c r="CN4" s="65" t="s">
        <v>123</v>
      </c>
      <c r="CO4" s="65" t="s">
        <v>124</v>
      </c>
      <c r="CP4" s="65" t="s">
        <v>125</v>
      </c>
      <c r="CQ4" s="65" t="s">
        <v>126</v>
      </c>
      <c r="CR4" s="65" t="s">
        <v>127</v>
      </c>
      <c r="CS4" s="65" t="s">
        <v>128</v>
      </c>
      <c r="CT4" s="65" t="s">
        <v>129</v>
      </c>
      <c r="CU4" s="65" t="s">
        <v>130</v>
      </c>
      <c r="CV4" s="65" t="s">
        <v>131</v>
      </c>
      <c r="CW4" s="65" t="s">
        <v>132</v>
      </c>
      <c r="CX4" s="65" t="s">
        <v>133</v>
      </c>
      <c r="CY4" s="65" t="s">
        <v>134</v>
      </c>
      <c r="CZ4" s="65" t="s">
        <v>135</v>
      </c>
      <c r="DA4" s="65" t="s">
        <v>136</v>
      </c>
      <c r="DB4" s="65" t="s">
        <v>137</v>
      </c>
      <c r="DC4" s="65" t="s">
        <v>138</v>
      </c>
      <c r="DD4" s="65" t="s">
        <v>139</v>
      </c>
      <c r="DE4" s="65" t="s">
        <v>140</v>
      </c>
      <c r="DF4" s="65" t="s">
        <v>141</v>
      </c>
      <c r="DG4" s="65" t="s">
        <v>142</v>
      </c>
      <c r="DH4" s="65" t="s">
        <v>143</v>
      </c>
      <c r="DI4" s="65" t="s">
        <v>144</v>
      </c>
      <c r="DJ4" s="65" t="s">
        <v>145</v>
      </c>
      <c r="DK4" s="65" t="s">
        <v>146</v>
      </c>
      <c r="DL4" s="65" t="s">
        <v>147</v>
      </c>
      <c r="DM4" s="65" t="s">
        <v>148</v>
      </c>
      <c r="DN4" s="65" t="s">
        <v>149</v>
      </c>
      <c r="DO4" s="65" t="s">
        <v>150</v>
      </c>
      <c r="DP4" s="65" t="s">
        <v>151</v>
      </c>
      <c r="DQ4" s="65" t="s">
        <v>152</v>
      </c>
      <c r="DR4" s="65" t="s">
        <v>153</v>
      </c>
      <c r="DS4" s="65" t="s">
        <v>154</v>
      </c>
      <c r="DT4" s="65" t="s">
        <v>155</v>
      </c>
      <c r="DU4" s="65" t="s">
        <v>156</v>
      </c>
      <c r="DV4" s="65" t="s">
        <v>157</v>
      </c>
      <c r="DW4" s="65" t="s">
        <v>158</v>
      </c>
      <c r="DX4" s="65" t="s">
        <v>159</v>
      </c>
      <c r="DY4" s="65" t="s">
        <v>160</v>
      </c>
      <c r="DZ4" s="65" t="s">
        <v>161</v>
      </c>
      <c r="EA4" s="65" t="s">
        <v>162</v>
      </c>
      <c r="EB4" s="65" t="s">
        <v>163</v>
      </c>
      <c r="EC4" s="65" t="s">
        <v>164</v>
      </c>
      <c r="ED4" s="65" t="s">
        <v>165</v>
      </c>
      <c r="EE4" s="65" t="s">
        <v>166</v>
      </c>
      <c r="EF4" s="65" t="s">
        <v>167</v>
      </c>
      <c r="EG4" s="65" t="s">
        <v>168</v>
      </c>
      <c r="EH4" s="65" t="s">
        <v>169</v>
      </c>
      <c r="EI4" s="65" t="s">
        <v>170</v>
      </c>
      <c r="EJ4" s="65" t="s">
        <v>171</v>
      </c>
      <c r="EK4" s="65" t="s">
        <v>172</v>
      </c>
      <c r="EL4" s="66" t="s">
        <v>173</v>
      </c>
      <c r="EM4" s="67" t="s">
        <v>174</v>
      </c>
      <c r="EN4" s="67" t="s">
        <v>175</v>
      </c>
      <c r="EO4" s="67" t="s">
        <v>176</v>
      </c>
      <c r="EP4" s="67" t="s">
        <v>177</v>
      </c>
      <c r="EQ4" s="67" t="s">
        <v>178</v>
      </c>
      <c r="ER4" s="67" t="s">
        <v>179</v>
      </c>
      <c r="ES4" s="67" t="s">
        <v>180</v>
      </c>
      <c r="ET4" s="67" t="s">
        <v>181</v>
      </c>
      <c r="EU4" s="67" t="s">
        <v>182</v>
      </c>
      <c r="EV4" s="67" t="s">
        <v>183</v>
      </c>
      <c r="EW4" s="67" t="s">
        <v>184</v>
      </c>
      <c r="EX4" s="67" t="s">
        <v>185</v>
      </c>
      <c r="EY4" s="67" t="s">
        <v>186</v>
      </c>
      <c r="EZ4" s="67" t="s">
        <v>187</v>
      </c>
      <c r="FA4" s="67" t="s">
        <v>188</v>
      </c>
      <c r="FB4" s="67" t="s">
        <v>189</v>
      </c>
      <c r="FC4" s="68" t="s">
        <v>190</v>
      </c>
      <c r="FD4" s="67" t="s">
        <v>191</v>
      </c>
      <c r="FE4" s="67" t="s">
        <v>192</v>
      </c>
      <c r="FF4" s="67" t="s">
        <v>193</v>
      </c>
      <c r="FG4" s="67" t="s">
        <v>194</v>
      </c>
      <c r="FH4" s="67" t="s">
        <v>195</v>
      </c>
      <c r="FI4" s="67" t="s">
        <v>196</v>
      </c>
      <c r="FJ4" s="67" t="s">
        <v>197</v>
      </c>
      <c r="FK4" s="67" t="s">
        <v>198</v>
      </c>
      <c r="FL4" s="67" t="s">
        <v>199</v>
      </c>
      <c r="FM4" s="67" t="s">
        <v>200</v>
      </c>
      <c r="FN4" s="67" t="s">
        <v>201</v>
      </c>
      <c r="FO4" s="67" t="s">
        <v>202</v>
      </c>
      <c r="FP4" s="67" t="s">
        <v>203</v>
      </c>
      <c r="FQ4" s="67" t="s">
        <v>204</v>
      </c>
      <c r="FR4" s="67" t="s">
        <v>205</v>
      </c>
      <c r="FS4" s="69" t="s">
        <v>190</v>
      </c>
      <c r="FT4" s="67" t="s">
        <v>206</v>
      </c>
      <c r="FU4" s="67" t="s">
        <v>207</v>
      </c>
      <c r="FV4" s="67" t="s">
        <v>208</v>
      </c>
      <c r="FW4" s="67" t="s">
        <v>209</v>
      </c>
      <c r="FX4" s="67" t="s">
        <v>210</v>
      </c>
      <c r="FY4" s="67" t="s">
        <v>211</v>
      </c>
      <c r="FZ4" s="67" t="s">
        <v>212</v>
      </c>
      <c r="GA4" s="67" t="s">
        <v>213</v>
      </c>
      <c r="GB4" s="67" t="s">
        <v>214</v>
      </c>
      <c r="GC4" s="67" t="s">
        <v>215</v>
      </c>
      <c r="GD4" s="67" t="s">
        <v>216</v>
      </c>
      <c r="GE4" s="67" t="s">
        <v>217</v>
      </c>
      <c r="GF4" s="67" t="s">
        <v>218</v>
      </c>
      <c r="GG4" s="67" t="s">
        <v>219</v>
      </c>
      <c r="GH4" s="67" t="s">
        <v>220</v>
      </c>
      <c r="GI4" s="69" t="s">
        <v>190</v>
      </c>
      <c r="GJ4" s="67" t="s">
        <v>221</v>
      </c>
      <c r="GK4" s="67" t="s">
        <v>222</v>
      </c>
      <c r="GL4" s="67" t="s">
        <v>223</v>
      </c>
      <c r="GM4" s="67" t="s">
        <v>224</v>
      </c>
      <c r="GN4" s="67" t="s">
        <v>225</v>
      </c>
      <c r="GO4" s="67" t="s">
        <v>226</v>
      </c>
      <c r="GP4" s="67" t="s">
        <v>227</v>
      </c>
      <c r="GQ4" s="67" t="s">
        <v>228</v>
      </c>
      <c r="GR4" s="67" t="s">
        <v>229</v>
      </c>
      <c r="GS4" s="67" t="s">
        <v>230</v>
      </c>
      <c r="GT4" s="67" t="s">
        <v>231</v>
      </c>
      <c r="GU4" s="67" t="s">
        <v>232</v>
      </c>
      <c r="GV4" s="67" t="s">
        <v>233</v>
      </c>
      <c r="GW4" s="67" t="s">
        <v>234</v>
      </c>
      <c r="GX4" s="67" t="s">
        <v>235</v>
      </c>
      <c r="GY4" s="69" t="s">
        <v>190</v>
      </c>
      <c r="GZ4" s="67" t="s">
        <v>236</v>
      </c>
      <c r="HA4" s="67" t="s">
        <v>237</v>
      </c>
      <c r="HB4" s="67" t="s">
        <v>238</v>
      </c>
      <c r="HC4" s="67" t="s">
        <v>239</v>
      </c>
      <c r="HD4" s="67" t="s">
        <v>240</v>
      </c>
      <c r="HE4" s="67" t="s">
        <v>241</v>
      </c>
      <c r="HF4" s="67" t="s">
        <v>242</v>
      </c>
      <c r="HG4" s="67" t="s">
        <v>243</v>
      </c>
      <c r="HH4" s="67" t="s">
        <v>244</v>
      </c>
      <c r="HI4" s="67" t="s">
        <v>245</v>
      </c>
      <c r="HJ4" s="67" t="s">
        <v>246</v>
      </c>
      <c r="HK4" s="67" t="s">
        <v>247</v>
      </c>
      <c r="HL4" s="67" t="s">
        <v>248</v>
      </c>
      <c r="HM4" s="67" t="s">
        <v>249</v>
      </c>
      <c r="HN4" s="67" t="s">
        <v>250</v>
      </c>
      <c r="HO4" s="69" t="s">
        <v>190</v>
      </c>
      <c r="HP4" s="67" t="s">
        <v>251</v>
      </c>
      <c r="HQ4" s="67" t="s">
        <v>252</v>
      </c>
      <c r="HR4" s="67" t="s">
        <v>253</v>
      </c>
      <c r="HS4" s="67" t="s">
        <v>254</v>
      </c>
      <c r="HT4" s="67" t="s">
        <v>255</v>
      </c>
      <c r="HU4" s="67" t="s">
        <v>256</v>
      </c>
      <c r="HV4" s="67" t="s">
        <v>257</v>
      </c>
      <c r="HW4" s="67" t="s">
        <v>258</v>
      </c>
      <c r="HX4" s="67" t="s">
        <v>259</v>
      </c>
      <c r="HY4" s="67" t="s">
        <v>260</v>
      </c>
      <c r="HZ4" s="67" t="s">
        <v>261</v>
      </c>
      <c r="IA4" s="67" t="s">
        <v>262</v>
      </c>
      <c r="IB4" s="67" t="s">
        <v>263</v>
      </c>
      <c r="IC4" s="67" t="s">
        <v>264</v>
      </c>
      <c r="ID4" s="67" t="s">
        <v>265</v>
      </c>
      <c r="IE4" s="69" t="s">
        <v>190</v>
      </c>
      <c r="IF4" s="67" t="s">
        <v>266</v>
      </c>
      <c r="IG4" s="67" t="s">
        <v>267</v>
      </c>
      <c r="IH4" s="67" t="s">
        <v>268</v>
      </c>
      <c r="II4" s="67" t="s">
        <v>269</v>
      </c>
      <c r="IJ4" s="67" t="s">
        <v>270</v>
      </c>
      <c r="IK4" s="67" t="s">
        <v>271</v>
      </c>
      <c r="IL4" s="67" t="s">
        <v>272</v>
      </c>
      <c r="IM4" s="67" t="s">
        <v>273</v>
      </c>
      <c r="IN4" s="67" t="s">
        <v>274</v>
      </c>
      <c r="IO4" s="67" t="s">
        <v>275</v>
      </c>
      <c r="IP4" s="67" t="s">
        <v>276</v>
      </c>
      <c r="IQ4" s="67" t="s">
        <v>277</v>
      </c>
      <c r="IR4" s="67" t="s">
        <v>278</v>
      </c>
      <c r="IS4" s="67" t="s">
        <v>279</v>
      </c>
      <c r="IT4" s="67" t="s">
        <v>280</v>
      </c>
      <c r="IU4" s="69" t="s">
        <v>190</v>
      </c>
      <c r="IV4" s="67" t="s">
        <v>281</v>
      </c>
      <c r="IW4" s="67" t="s">
        <v>282</v>
      </c>
      <c r="IX4" s="67" t="s">
        <v>283</v>
      </c>
      <c r="IY4" s="67" t="s">
        <v>284</v>
      </c>
      <c r="IZ4" s="67" t="s">
        <v>285</v>
      </c>
      <c r="JA4" s="67" t="s">
        <v>286</v>
      </c>
      <c r="JB4" s="67" t="s">
        <v>287</v>
      </c>
      <c r="JC4" s="67" t="s">
        <v>288</v>
      </c>
      <c r="JD4" s="67" t="s">
        <v>289</v>
      </c>
      <c r="JE4" s="67" t="s">
        <v>290</v>
      </c>
      <c r="JF4" s="67" t="s">
        <v>291</v>
      </c>
      <c r="JG4" s="67" t="s">
        <v>292</v>
      </c>
      <c r="JH4" s="67" t="s">
        <v>293</v>
      </c>
      <c r="JI4" s="67" t="s">
        <v>294</v>
      </c>
      <c r="JJ4" s="67" t="s">
        <v>295</v>
      </c>
      <c r="JK4" s="69" t="s">
        <v>190</v>
      </c>
      <c r="JL4" s="67" t="s">
        <v>296</v>
      </c>
      <c r="JM4" s="67" t="s">
        <v>297</v>
      </c>
      <c r="JN4" s="67" t="s">
        <v>298</v>
      </c>
      <c r="JO4" s="67" t="s">
        <v>299</v>
      </c>
      <c r="JP4" s="67" t="s">
        <v>300</v>
      </c>
      <c r="JQ4" s="67" t="s">
        <v>301</v>
      </c>
      <c r="JR4" s="67" t="s">
        <v>302</v>
      </c>
      <c r="JS4" s="67" t="s">
        <v>303</v>
      </c>
      <c r="JT4" s="67" t="s">
        <v>304</v>
      </c>
      <c r="JU4" s="67" t="s">
        <v>305</v>
      </c>
      <c r="JV4" s="67" t="s">
        <v>306</v>
      </c>
      <c r="JW4" s="67" t="s">
        <v>307</v>
      </c>
      <c r="JX4" s="67" t="s">
        <v>308</v>
      </c>
      <c r="JY4" s="67" t="s">
        <v>309</v>
      </c>
      <c r="JZ4" s="67" t="s">
        <v>310</v>
      </c>
      <c r="KA4" s="69" t="s">
        <v>190</v>
      </c>
      <c r="KB4" s="67" t="s">
        <v>311</v>
      </c>
      <c r="KC4" s="67" t="s">
        <v>312</v>
      </c>
      <c r="KD4" s="67" t="s">
        <v>313</v>
      </c>
      <c r="KE4" s="67" t="s">
        <v>314</v>
      </c>
      <c r="KF4" s="67" t="s">
        <v>315</v>
      </c>
      <c r="KG4" s="67" t="s">
        <v>316</v>
      </c>
      <c r="KH4" s="67" t="s">
        <v>317</v>
      </c>
      <c r="KI4" s="67" t="s">
        <v>318</v>
      </c>
      <c r="KJ4" s="67" t="s">
        <v>319</v>
      </c>
      <c r="KK4" s="67" t="s">
        <v>320</v>
      </c>
      <c r="KL4" s="67" t="s">
        <v>321</v>
      </c>
      <c r="KM4" s="67" t="s">
        <v>322</v>
      </c>
      <c r="KN4" s="67" t="s">
        <v>323</v>
      </c>
      <c r="KO4" s="67" t="s">
        <v>324</v>
      </c>
      <c r="KP4" s="67" t="s">
        <v>325</v>
      </c>
      <c r="KQ4" s="69" t="s">
        <v>190</v>
      </c>
      <c r="KR4" s="69" t="s">
        <v>326</v>
      </c>
      <c r="KS4" s="69" t="s">
        <v>327</v>
      </c>
      <c r="KT4" s="69" t="s">
        <v>328</v>
      </c>
      <c r="KU4" s="69" t="s">
        <v>329</v>
      </c>
      <c r="KV4" s="69" t="s">
        <v>330</v>
      </c>
      <c r="KW4" s="69" t="s">
        <v>331</v>
      </c>
      <c r="KX4" s="69" t="s">
        <v>332</v>
      </c>
      <c r="KY4" s="69" t="s">
        <v>333</v>
      </c>
      <c r="KZ4" s="69" t="s">
        <v>334</v>
      </c>
      <c r="LA4" s="69" t="s">
        <v>335</v>
      </c>
      <c r="LB4" s="69" t="s">
        <v>336</v>
      </c>
      <c r="LC4" s="69" t="s">
        <v>337</v>
      </c>
      <c r="LD4" s="69" t="s">
        <v>338</v>
      </c>
      <c r="LE4" s="69" t="s">
        <v>339</v>
      </c>
      <c r="LF4" s="69" t="s">
        <v>340</v>
      </c>
      <c r="LG4" s="69" t="s">
        <v>341</v>
      </c>
      <c r="LH4" s="69" t="s">
        <v>342</v>
      </c>
      <c r="LI4" s="69" t="s">
        <v>343</v>
      </c>
      <c r="LJ4" s="69" t="s">
        <v>344</v>
      </c>
      <c r="LK4" s="69" t="s">
        <v>345</v>
      </c>
      <c r="LL4" s="69" t="s">
        <v>346</v>
      </c>
      <c r="LM4" s="69" t="s">
        <v>347</v>
      </c>
      <c r="LN4" s="69" t="s">
        <v>348</v>
      </c>
      <c r="LO4" s="69" t="s">
        <v>349</v>
      </c>
      <c r="LP4" s="69" t="s">
        <v>350</v>
      </c>
      <c r="LQ4" s="69" t="s">
        <v>351</v>
      </c>
      <c r="LR4" s="69" t="s">
        <v>190</v>
      </c>
      <c r="LS4" s="67" t="s">
        <v>352</v>
      </c>
      <c r="LT4" s="67" t="s">
        <v>353</v>
      </c>
      <c r="LU4" s="67" t="s">
        <v>354</v>
      </c>
      <c r="LV4" s="67" t="s">
        <v>355</v>
      </c>
      <c r="LW4" s="67" t="s">
        <v>356</v>
      </c>
      <c r="LX4" s="67" t="s">
        <v>357</v>
      </c>
      <c r="LY4" s="67" t="s">
        <v>358</v>
      </c>
      <c r="LZ4" s="70" t="s">
        <v>359</v>
      </c>
      <c r="MA4" s="70" t="s">
        <v>360</v>
      </c>
      <c r="MB4" s="70" t="s">
        <v>361</v>
      </c>
      <c r="MC4" s="70" t="s">
        <v>362</v>
      </c>
      <c r="MD4" s="70" t="s">
        <v>363</v>
      </c>
      <c r="ME4" s="70" t="s">
        <v>364</v>
      </c>
      <c r="MF4" s="70" t="s">
        <v>365</v>
      </c>
      <c r="MG4" s="70" t="s">
        <v>366</v>
      </c>
      <c r="MH4" s="70" t="s">
        <v>367</v>
      </c>
      <c r="MI4" s="70" t="s">
        <v>368</v>
      </c>
      <c r="MJ4" s="70" t="s">
        <v>369</v>
      </c>
      <c r="MK4" s="70" t="s">
        <v>370</v>
      </c>
      <c r="ML4" s="70" t="s">
        <v>371</v>
      </c>
      <c r="MM4" s="70" t="s">
        <v>372</v>
      </c>
      <c r="MN4" s="70" t="s">
        <v>373</v>
      </c>
      <c r="MO4" s="70" t="s">
        <v>374</v>
      </c>
      <c r="MP4" s="70" t="s">
        <v>375</v>
      </c>
      <c r="MQ4" s="70" t="s">
        <v>376</v>
      </c>
      <c r="MR4" s="70" t="s">
        <v>377</v>
      </c>
      <c r="MS4" s="70" t="s">
        <v>378</v>
      </c>
      <c r="MT4" s="70" t="s">
        <v>379</v>
      </c>
      <c r="MU4" s="70" t="s">
        <v>380</v>
      </c>
      <c r="MV4" s="70" t="s">
        <v>381</v>
      </c>
      <c r="MW4" s="70" t="s">
        <v>382</v>
      </c>
      <c r="MX4" s="70" t="s">
        <v>383</v>
      </c>
      <c r="MY4" s="70" t="s">
        <v>384</v>
      </c>
      <c r="MZ4" s="70" t="s">
        <v>385</v>
      </c>
      <c r="NA4" s="70" t="s">
        <v>386</v>
      </c>
      <c r="NB4" s="70" t="s">
        <v>387</v>
      </c>
      <c r="NC4" s="70" t="s">
        <v>388</v>
      </c>
      <c r="ND4" s="70" t="s">
        <v>389</v>
      </c>
      <c r="NE4" s="70" t="s">
        <v>390</v>
      </c>
      <c r="NF4" s="70" t="s">
        <v>391</v>
      </c>
      <c r="NG4" s="70" t="s">
        <v>392</v>
      </c>
      <c r="NH4" s="70" t="s">
        <v>393</v>
      </c>
      <c r="NI4" s="70" t="s">
        <v>394</v>
      </c>
      <c r="NJ4" s="70" t="s">
        <v>395</v>
      </c>
    </row>
    <row r="5" spans="1:374" x14ac:dyDescent="0.25">
      <c r="A5" s="71" t="s">
        <v>396</v>
      </c>
      <c r="B5" s="71"/>
      <c r="C5" s="71" t="s">
        <v>397</v>
      </c>
      <c r="D5" s="71" t="s">
        <v>398</v>
      </c>
      <c r="E5" s="71" t="s">
        <v>399</v>
      </c>
      <c r="F5" s="71" t="s">
        <v>399</v>
      </c>
      <c r="G5" s="71" t="s">
        <v>400</v>
      </c>
      <c r="H5" s="71" t="str">
        <f>G5&amp;" "&amp;C5&amp;" "&amp;E5</f>
        <v>Santo Antonio CBA GEM All</v>
      </c>
      <c r="I5" s="71" t="s">
        <v>401</v>
      </c>
      <c r="J5" s="71" t="s">
        <v>402</v>
      </c>
      <c r="K5" s="71" t="s">
        <v>403</v>
      </c>
      <c r="L5" s="72">
        <v>0</v>
      </c>
      <c r="M5" s="72">
        <v>2019</v>
      </c>
      <c r="N5" s="73">
        <f>DATE(2027,12,31)</f>
        <v>46752</v>
      </c>
      <c r="O5" s="74">
        <v>420.27542615554228</v>
      </c>
      <c r="P5" s="74">
        <v>366.78330593345487</v>
      </c>
      <c r="Q5" s="74">
        <v>341.32438660121483</v>
      </c>
      <c r="R5" s="74">
        <v>343.4299117641375</v>
      </c>
      <c r="S5" s="74">
        <v>308.90321265215749</v>
      </c>
      <c r="T5" s="74">
        <v>305.69472957104938</v>
      </c>
      <c r="U5" s="74">
        <v>248.82433374638524</v>
      </c>
      <c r="V5" s="74">
        <v>130.99558183569744</v>
      </c>
      <c r="W5" s="74">
        <v>130.99327731561453</v>
      </c>
      <c r="X5" s="74">
        <v>111916</v>
      </c>
      <c r="Y5" s="74">
        <v>330372</v>
      </c>
      <c r="Z5" s="74">
        <v>371866</v>
      </c>
      <c r="AA5" s="74">
        <v>367722.58333333331</v>
      </c>
      <c r="AB5" s="74">
        <v>434585.75</v>
      </c>
      <c r="AC5" s="74">
        <v>442568.75</v>
      </c>
      <c r="AD5" s="74">
        <v>307083.13540738786</v>
      </c>
      <c r="AE5" s="74">
        <v>188143.75</v>
      </c>
      <c r="AF5" s="74">
        <v>89584.75</v>
      </c>
      <c r="AG5" s="74">
        <v>163.40348973477464</v>
      </c>
      <c r="AH5" s="74">
        <v>12.882403961233056</v>
      </c>
      <c r="AI5" s="74">
        <v>29.284230897217199</v>
      </c>
      <c r="AJ5" s="74"/>
      <c r="AK5" s="74">
        <v>7.3181481606086969</v>
      </c>
      <c r="AL5" s="74">
        <v>7.1346888968100695</v>
      </c>
      <c r="AM5" s="74">
        <v>0</v>
      </c>
      <c r="AN5" s="74">
        <v>3.9412403476453322</v>
      </c>
      <c r="AO5" s="74">
        <v>3.2601697635448419</v>
      </c>
      <c r="AP5" s="74">
        <v>696.64046190510589</v>
      </c>
      <c r="AQ5" s="74">
        <v>696.64046190510589</v>
      </c>
      <c r="AR5" s="74">
        <v>69235</v>
      </c>
      <c r="AS5" s="74">
        <v>492.57433725856703</v>
      </c>
      <c r="AT5" s="74">
        <v>16.853427286825131</v>
      </c>
      <c r="AU5" s="74">
        <v>109.32477815965522</v>
      </c>
      <c r="AV5" s="74"/>
      <c r="AW5" s="74">
        <v>17.110896547988734</v>
      </c>
      <c r="AX5" s="74">
        <v>26.521312414241351</v>
      </c>
      <c r="AY5" s="74">
        <v>0</v>
      </c>
      <c r="AZ5" s="74">
        <v>16.293570269457391</v>
      </c>
      <c r="BA5" s="74">
        <v>24.713217288978171</v>
      </c>
      <c r="BB5" s="74">
        <v>561.99361377448247</v>
      </c>
      <c r="BC5" s="74">
        <v>561.99361377448247</v>
      </c>
      <c r="BD5" s="74">
        <v>268462</v>
      </c>
      <c r="BE5" s="74">
        <v>419.52624518714782</v>
      </c>
      <c r="BF5" s="74">
        <v>17.905098845955774</v>
      </c>
      <c r="BG5" s="74">
        <v>74.882542734476374</v>
      </c>
      <c r="BH5" s="74"/>
      <c r="BI5" s="74">
        <v>9.8261913657373174</v>
      </c>
      <c r="BJ5" s="74">
        <v>24.452267471746474</v>
      </c>
      <c r="BK5" s="74">
        <v>0</v>
      </c>
      <c r="BL5" s="74">
        <v>13.527494326123737</v>
      </c>
      <c r="BM5" s="74">
        <v>12.177496182282606</v>
      </c>
      <c r="BN5" s="74">
        <v>603.39247073907836</v>
      </c>
      <c r="BO5" s="74">
        <v>603.39247073907836</v>
      </c>
      <c r="BP5" s="74">
        <v>177012</v>
      </c>
      <c r="BQ5" s="74">
        <v>456.03159708049952</v>
      </c>
      <c r="BR5" s="74">
        <v>19.808006163997071</v>
      </c>
      <c r="BS5" s="74">
        <v>89.032053283633843</v>
      </c>
      <c r="BT5" s="74"/>
      <c r="BU5" s="74">
        <v>18.212432696719027</v>
      </c>
      <c r="BV5" s="74">
        <v>39.271487447441494</v>
      </c>
      <c r="BW5" s="74">
        <v>0</v>
      </c>
      <c r="BX5" s="74">
        <v>16.418385659477806</v>
      </c>
      <c r="BY5" s="74">
        <v>5.7578880837090134</v>
      </c>
      <c r="BZ5" s="74">
        <v>914.41459403921931</v>
      </c>
      <c r="CA5" s="74">
        <v>914.41459403921931</v>
      </c>
      <c r="CB5" s="74">
        <v>308638</v>
      </c>
      <c r="CC5" s="74">
        <v>739.01740291682745</v>
      </c>
      <c r="CD5" s="74">
        <v>17.84914864080249</v>
      </c>
      <c r="CE5" s="74">
        <v>66.182024970411518</v>
      </c>
      <c r="CF5" s="74"/>
      <c r="CG5" s="74">
        <v>11.69366699710069</v>
      </c>
      <c r="CH5" s="74">
        <v>19.571623096268272</v>
      </c>
      <c r="CI5" s="74">
        <v>0</v>
      </c>
      <c r="CJ5" s="74">
        <v>17.937735362965451</v>
      </c>
      <c r="CK5" s="74">
        <v>8.2810840501393557</v>
      </c>
      <c r="CL5" s="74">
        <v>761.55156917615773</v>
      </c>
      <c r="CM5" s="74">
        <v>761.55156917615773</v>
      </c>
      <c r="CN5" s="74">
        <v>352701</v>
      </c>
      <c r="CO5" s="74">
        <v>597.65191446848519</v>
      </c>
      <c r="CP5" s="74">
        <v>17.326164528843993</v>
      </c>
      <c r="CQ5" s="74">
        <v>62.434596333110093</v>
      </c>
      <c r="CR5" s="74"/>
      <c r="CS5" s="74">
        <v>12.20219958707378</v>
      </c>
      <c r="CT5" s="74">
        <v>16.450853845149911</v>
      </c>
      <c r="CU5" s="74">
        <v>0</v>
      </c>
      <c r="CV5" s="74">
        <v>16.124200994297318</v>
      </c>
      <c r="CW5" s="74">
        <v>4.6017514622042581</v>
      </c>
      <c r="CX5" s="74">
        <v>654.37790196029459</v>
      </c>
      <c r="CY5" s="74">
        <v>654.37790196029459</v>
      </c>
      <c r="CZ5" s="74">
        <v>317848</v>
      </c>
      <c r="DA5" s="74">
        <v>499.84485014222184</v>
      </c>
      <c r="DB5" s="74">
        <v>18.932252461053597</v>
      </c>
      <c r="DC5" s="74">
        <v>65.252549675255437</v>
      </c>
      <c r="DD5" s="74"/>
      <c r="DE5" s="74">
        <v>15.543910605600834</v>
      </c>
      <c r="DF5" s="74">
        <v>20.122725348213216</v>
      </c>
      <c r="DG5" s="74">
        <v>0</v>
      </c>
      <c r="DH5" s="74">
        <v>15.836075304807459</v>
      </c>
      <c r="DI5" s="74">
        <v>5.445437285231189</v>
      </c>
      <c r="DJ5" s="74">
        <v>683.34198048122551</v>
      </c>
      <c r="DK5" s="74">
        <v>683.34198048122551</v>
      </c>
      <c r="DL5" s="74">
        <v>264774</v>
      </c>
      <c r="DM5" s="75">
        <f t="shared" ref="DM5:DM16" si="0">(IFERROR(DK5*DL5,""))</f>
        <v>180931189.53993601</v>
      </c>
      <c r="DN5" s="75">
        <f t="shared" ref="DN5:DN68" si="1">(IFERROR((DK5-SUM(DP5:DX5))*DL5,""))</f>
        <v>8622439.9828445129</v>
      </c>
      <c r="DO5" s="76">
        <f t="shared" ref="DO5:DO69" si="2">(IFERROR((DK5-SUM(DP5:DX5))/DK5,""))</f>
        <v>4.7655907225112926E-2</v>
      </c>
      <c r="DP5" s="74">
        <v>510.61068759335427</v>
      </c>
      <c r="DQ5" s="74">
        <v>19.258521240216727</v>
      </c>
      <c r="DR5" s="74">
        <v>65.98935206030653</v>
      </c>
      <c r="DS5" s="74"/>
      <c r="DT5" s="74">
        <v>19.815349544980005</v>
      </c>
      <c r="DU5" s="74">
        <v>22.63773071363439</v>
      </c>
      <c r="DV5" s="74">
        <v>0</v>
      </c>
      <c r="DW5" s="74">
        <v>16.430032513996895</v>
      </c>
      <c r="DX5" s="74">
        <v>-3.9649752101014983</v>
      </c>
      <c r="DY5" s="74"/>
      <c r="DZ5" s="74">
        <v>865.65973608208219</v>
      </c>
      <c r="EA5" s="74">
        <v>235006</v>
      </c>
      <c r="EB5" s="74"/>
      <c r="EC5" s="74"/>
      <c r="ED5" s="74"/>
      <c r="EE5" s="74"/>
      <c r="EF5" s="74"/>
      <c r="EG5" s="74"/>
      <c r="EH5" s="74"/>
      <c r="EI5" s="74"/>
      <c r="EJ5" s="74"/>
      <c r="EK5" s="74">
        <v>872.78561869807652</v>
      </c>
      <c r="EL5" s="74">
        <v>291153.15000000002</v>
      </c>
      <c r="EM5" s="74" t="s">
        <v>404</v>
      </c>
      <c r="EN5" s="77">
        <f>IF(AG5="","",AG5)</f>
        <v>163.40348973477464</v>
      </c>
      <c r="EO5" s="77">
        <f>IF(AS5="","",AS5)</f>
        <v>492.57433725856703</v>
      </c>
      <c r="EP5" s="77">
        <f>IF(BE5="","",BE5)</f>
        <v>419.52624518714782</v>
      </c>
      <c r="EQ5" s="77">
        <f>IF(BQ5="","",BQ5)</f>
        <v>456.03159708049952</v>
      </c>
      <c r="ER5" s="77">
        <f>IF(CC5="","",CC5)</f>
        <v>739.01740291682745</v>
      </c>
      <c r="ES5" s="77">
        <f>IF(CO5="","",CO5)</f>
        <v>597.65191446848519</v>
      </c>
      <c r="ET5" s="77">
        <f>IF(DA5="","",DA5)</f>
        <v>499.84485014222184</v>
      </c>
      <c r="EU5" s="77">
        <f>IF(DP5="","",DP5)</f>
        <v>510.61068759335427</v>
      </c>
      <c r="EV5" s="77">
        <f>IF(OR(AG5="",$DP5=""),"",MIN(IFERROR(EN5-$EU5,0),0))</f>
        <v>-347.20719785857966</v>
      </c>
      <c r="EW5" s="77">
        <f>IF(OR(AS5="",$DP5=""),"",MIN(IFERROR(EO5-$EU5,0),0))</f>
        <v>-18.036350334787244</v>
      </c>
      <c r="EX5" s="77">
        <f>IF(OR(BE5="",$DP5=""),"",MIN(IFERROR(EP5-$EU5,0),0))</f>
        <v>-91.084442406206449</v>
      </c>
      <c r="EY5" s="77">
        <f>IF(OR(BQ5="",$DP5=""),"",MIN(IFERROR(EQ5-$EU5,0),0))</f>
        <v>-54.579090512854748</v>
      </c>
      <c r="EZ5" s="77">
        <f>IF(OR(CC5="",$DP5=""),"",MIN(IFERROR(ER5-$EU5,0),0))</f>
        <v>0</v>
      </c>
      <c r="FA5" s="77">
        <f>IF(OR(CO5="",$DP5=""),"",MIN(IFERROR(ES5-$EU5,0),0))</f>
        <v>0</v>
      </c>
      <c r="FB5" s="77">
        <f>IF(OR(DA5="",$DP5=""),"",MIN(IFERROR(ET5-$EU5,0),0))</f>
        <v>-10.765837451132427</v>
      </c>
      <c r="FC5" s="77"/>
      <c r="FD5" s="77">
        <f>IF(AH5="","",AH5)</f>
        <v>12.882403961233056</v>
      </c>
      <c r="FE5" s="77">
        <f>IF(AT5="","",AT5)</f>
        <v>16.853427286825131</v>
      </c>
      <c r="FF5" s="77">
        <f>IF(BF5="","",BF5)</f>
        <v>17.905098845955774</v>
      </c>
      <c r="FG5" s="77">
        <f>IF(BR5="","",BR5)</f>
        <v>19.808006163997071</v>
      </c>
      <c r="FH5" s="77">
        <f>IF(CD5="","",CD5)</f>
        <v>17.84914864080249</v>
      </c>
      <c r="FI5" s="77">
        <f>IF(CP5="","",CP5)</f>
        <v>17.326164528843993</v>
      </c>
      <c r="FJ5" s="77">
        <f>IF(DB5="","",DB5)</f>
        <v>18.932252461053597</v>
      </c>
      <c r="FK5" s="77">
        <f>IF(DQ5="","",DQ5)</f>
        <v>19.258521240216727</v>
      </c>
      <c r="FL5" s="77">
        <f>IF(OR(AH5="",$DQ5=""),"",MIN(IFERROR(FD5-$FK5,0),0))</f>
        <v>-6.3761172789836706</v>
      </c>
      <c r="FM5" s="77">
        <f>IF(OR(AT5="",$DQ5=""),"",MIN(IFERROR(FE5-$FK5,0),0))</f>
        <v>-2.4050939533915958</v>
      </c>
      <c r="FN5" s="77">
        <f>IF(OR(BF5="",$DQ5=""),"",MIN(IFERROR(FF5-$FK5,0),0))</f>
        <v>-1.3534223942609529</v>
      </c>
      <c r="FO5" s="77">
        <f>IF(OR(BR5="",$DQ5=""),"",MIN(IFERROR(FG5-$FK5,0),0))</f>
        <v>0</v>
      </c>
      <c r="FP5" s="77">
        <f>IF(OR(CD5="",$DQ5=""),"",MIN(IFERROR(FH5-$FK5,0),0))</f>
        <v>-1.4093725994142368</v>
      </c>
      <c r="FQ5" s="77">
        <f>IF(OR(CP5="",$DQ5=""),"",MIN(IFERROR(FI5-$FK5,0),0))</f>
        <v>-1.9323567113727336</v>
      </c>
      <c r="FR5" s="77">
        <f>IF(OR(DB5="",$DQ5=""),"",MIN(IFERROR(FJ5-$FK5,0),0))</f>
        <v>-0.32626877916312935</v>
      </c>
      <c r="FS5" s="77"/>
      <c r="FT5" s="77">
        <f>IF($AI5="","",$AI5)</f>
        <v>29.284230897217199</v>
      </c>
      <c r="FU5" s="77">
        <f>IF($AU5="","",$AU5)</f>
        <v>109.32477815965522</v>
      </c>
      <c r="FV5" s="77">
        <f>IF($BG5="","",$BG5)</f>
        <v>74.882542734476374</v>
      </c>
      <c r="FW5" s="77">
        <f>IF($BS5="","",$BS5)</f>
        <v>89.032053283633843</v>
      </c>
      <c r="FX5" s="77">
        <f>IF($CE5="","",$CE5)</f>
        <v>66.182024970411518</v>
      </c>
      <c r="FY5" s="77">
        <f>IF($CQ5="","",$CQ5)</f>
        <v>62.434596333110093</v>
      </c>
      <c r="FZ5" s="77">
        <f>IF($DC5="","",$DC5)</f>
        <v>65.252549675255437</v>
      </c>
      <c r="GA5" s="77">
        <f>IF($DR5="","",$DR5)</f>
        <v>65.98935206030653</v>
      </c>
      <c r="GB5" s="77">
        <f>IF(OR($AI5="",$DR5=""),"",MIN(IFERROR(FT5-$GA5,0),0))</f>
        <v>-36.705121163089331</v>
      </c>
      <c r="GC5" s="77">
        <f>IF(OR($AU5="",$DR5=""),"",MIN(IFERROR(FU5-$GA5,0),0))</f>
        <v>0</v>
      </c>
      <c r="GD5" s="77">
        <f>IF(OR($BG5="",$DR5=""),"",MIN(IFERROR(FV5-$GA5,0),0))</f>
        <v>0</v>
      </c>
      <c r="GE5" s="77">
        <f>IF(OR($BS5="",$DR5=""),"",MIN(IFERROR(FW5-$GA5,0),0))</f>
        <v>0</v>
      </c>
      <c r="GF5" s="77">
        <f>IF(OR($CE5="",$DR5=""),"",MIN(IFERROR(FX5-$GA5,0),0))</f>
        <v>0</v>
      </c>
      <c r="GG5" s="77">
        <f>IF(OR($CQ5="",$DR5=""),"",MIN(IFERROR(FY5-$GA5,0),0))</f>
        <v>-3.5547557271964365</v>
      </c>
      <c r="GH5" s="77">
        <f>IF(OR($DC5="",$DR5=""),"",MIN(IFERROR(FZ5-$GA5,0),0))</f>
        <v>-0.7368023850510923</v>
      </c>
      <c r="GI5" s="77"/>
      <c r="GJ5" s="77" t="str">
        <f>IF($AJ5="","",$AJ5)</f>
        <v/>
      </c>
      <c r="GK5" s="77" t="str">
        <f>IF($AV5="","",$AV5)</f>
        <v/>
      </c>
      <c r="GL5" s="77" t="str">
        <f>IF($BH5="","",$BH5)</f>
        <v/>
      </c>
      <c r="GM5" s="77" t="str">
        <f>IF($BT5="","",$BT5)</f>
        <v/>
      </c>
      <c r="GN5" s="77" t="str">
        <f>IF($CF5="","",$CF5)</f>
        <v/>
      </c>
      <c r="GO5" s="77" t="str">
        <f>IF($CR5="","",$CR5)</f>
        <v/>
      </c>
      <c r="GP5" s="77" t="str">
        <f>IF($DD5="","",$DD5)</f>
        <v/>
      </c>
      <c r="GQ5" s="77" t="str">
        <f>IF($DS5="","",$DS5)</f>
        <v/>
      </c>
      <c r="GR5" s="77" t="str">
        <f>IF(OR($AJ5="",$DS5=""),"",MIN(IFERROR(GJ5-$GQ5,0),0))</f>
        <v/>
      </c>
      <c r="GS5" s="77" t="str">
        <f>IF(OR($AV5="",$DS5=""),"",MIN(IFERROR(GK5-$GQ5,0),0))</f>
        <v/>
      </c>
      <c r="GT5" s="77" t="str">
        <f>IF(OR($BH5="",$DS5=""),"",MIN(IFERROR(GL5-$GQ5,0),0))</f>
        <v/>
      </c>
      <c r="GU5" s="77" t="str">
        <f>IF(OR($BT5="",$DS5=""),"",MIN(IFERROR(GM5-$GQ5,0),0))</f>
        <v/>
      </c>
      <c r="GV5" s="77" t="str">
        <f>IF(OR($CF5="",$DS5=""),"",MIN(IFERROR(GN5-$GQ5,0),0))</f>
        <v/>
      </c>
      <c r="GW5" s="77" t="str">
        <f>IF(OR($CR5="",$DS5=""),"",MIN(IFERROR(GO5-$GQ5,0),0))</f>
        <v/>
      </c>
      <c r="GX5" s="77" t="str">
        <f>IF(OR($DD5="",$DS5=""),"",MIN(IFERROR(GP5-$GQ5,0),0))</f>
        <v/>
      </c>
      <c r="GY5" s="77"/>
      <c r="GZ5" s="77">
        <f>IF($AK5="","",$AK5)</f>
        <v>7.3181481606086969</v>
      </c>
      <c r="HA5" s="77">
        <f>IF($AW5="","",$AW5)</f>
        <v>17.110896547988734</v>
      </c>
      <c r="HB5" s="77">
        <f>IF($BI5="","",$BI5)</f>
        <v>9.8261913657373174</v>
      </c>
      <c r="HC5" s="77">
        <f>IF($BU5="","",$BU5)</f>
        <v>18.212432696719027</v>
      </c>
      <c r="HD5" s="77">
        <f>IF($CG5="","",$CG5)</f>
        <v>11.69366699710069</v>
      </c>
      <c r="HE5" s="77">
        <f>IF($CS5="","",$CS5)</f>
        <v>12.20219958707378</v>
      </c>
      <c r="HF5" s="77">
        <f>IF($DE5="","",$DE5)</f>
        <v>15.543910605600834</v>
      </c>
      <c r="HG5" s="77">
        <f>IF($DT5="","",$DT5)</f>
        <v>19.815349544980005</v>
      </c>
      <c r="HH5" s="77">
        <f>IF(OR($AK5="",$DT5=""),"",MIN(IFERROR(GZ5-$HG5,0),0))</f>
        <v>-12.497201384371309</v>
      </c>
      <c r="HI5" s="77">
        <f>IF(OR($AW5="",$DT5=""),"",MIN(IFERROR(HA5-$HG5,0),0))</f>
        <v>-2.7044529969912716</v>
      </c>
      <c r="HJ5" s="77">
        <f>IF(OR($BI5="",$DT5=""),"",MIN(IFERROR(HB5-$HG5,0),0))</f>
        <v>-9.989158179242688</v>
      </c>
      <c r="HK5" s="77">
        <f>IF(OR($BU5="",$DT5=""),"",MIN(IFERROR(HC5-$HG5,0),0))</f>
        <v>-1.6029168482609784</v>
      </c>
      <c r="HL5" s="77">
        <f>IF(OR($CG5="",$DT5=""),"",MIN(IFERROR(HD5-$HG5,0),0))</f>
        <v>-8.1216825478793151</v>
      </c>
      <c r="HM5" s="77">
        <f>IF(OR($CS5="",$DT5=""),"",MIN(IFERROR(HE5-$HG5,0),0))</f>
        <v>-7.6131499579062254</v>
      </c>
      <c r="HN5" s="77">
        <f>IF(OR($DE5="",$DT5=""),"",MIN(IFERROR(HF5-$HG5,0),0))</f>
        <v>-4.2714389393791716</v>
      </c>
      <c r="HO5" s="77"/>
      <c r="HP5" s="77">
        <f>IF($AO5="","",$AO5)</f>
        <v>3.2601697635448419</v>
      </c>
      <c r="HQ5" s="77">
        <f>IF($BA5="","",$BA5)</f>
        <v>24.713217288978171</v>
      </c>
      <c r="HR5" s="77">
        <f>IF($BM5="","",$BM5)</f>
        <v>12.177496182282606</v>
      </c>
      <c r="HS5" s="77">
        <f>IF($BY5="","",$BY5)</f>
        <v>5.7578880837090134</v>
      </c>
      <c r="HT5" s="77">
        <f>IF($CK5="","",$CK5)</f>
        <v>8.2810840501393557</v>
      </c>
      <c r="HU5" s="77">
        <f>IF($CW5="","",$CW5)</f>
        <v>4.6017514622042581</v>
      </c>
      <c r="HV5" s="77">
        <f>IF($DI5="","",$DI5)</f>
        <v>5.445437285231189</v>
      </c>
      <c r="HW5" s="77">
        <f>IF($DX5="","",$DX5)</f>
        <v>-3.9649752101014983</v>
      </c>
      <c r="HX5" s="77">
        <f>IF(OR($AO5="",$DX5=""),"",MIN(IFERROR(HP5-$HW5,0),0))</f>
        <v>0</v>
      </c>
      <c r="HY5" s="77">
        <f>IF(OR($BA5="",$DX5=""),"",MIN(IFERROR(HQ5-$HW5,0),0))</f>
        <v>0</v>
      </c>
      <c r="HZ5" s="77">
        <f>IF(OR($BM5="",$DX5=""),"",MIN(IFERROR(HR5-$HW5,0),0))</f>
        <v>0</v>
      </c>
      <c r="IA5" s="77">
        <f>IF(OR($BY5="",$DX5=""),"",MIN(IFERROR(HS5-$HW5,0),0))</f>
        <v>0</v>
      </c>
      <c r="IB5" s="77">
        <f>IF(OR($CH5="",$DU5=""),"",MIN(IFERROR(HT5-$HW5,0),0))</f>
        <v>0</v>
      </c>
      <c r="IC5" s="77">
        <f>IF(OR($CW5="",$DX5=""),"",MIN(IFERROR(HU5-$HW5,0),0))</f>
        <v>0</v>
      </c>
      <c r="ID5" s="77">
        <f>IF(OR($DI5="",$DX5=""),"",MIN(IFERROR(HV5-$HW5,0),0))</f>
        <v>0</v>
      </c>
      <c r="IE5" s="77"/>
      <c r="IF5" s="77">
        <f>IF($AL5="","",$AL5)</f>
        <v>7.1346888968100695</v>
      </c>
      <c r="IG5" s="77">
        <f>IF($AX5="","",$AX5)</f>
        <v>26.521312414241351</v>
      </c>
      <c r="IH5" s="77">
        <f>IF($BJ5="","",$BJ5)</f>
        <v>24.452267471746474</v>
      </c>
      <c r="II5" s="77">
        <f>IF($BV5="","",$BV5)</f>
        <v>39.271487447441494</v>
      </c>
      <c r="IJ5" s="77">
        <f>IF($CH5="","",$CH5)</f>
        <v>19.571623096268272</v>
      </c>
      <c r="IK5" s="77">
        <f>IF($CT5="","",$CT5)</f>
        <v>16.450853845149911</v>
      </c>
      <c r="IL5" s="77">
        <f>IF($DF5="","",$DF5)</f>
        <v>20.122725348213216</v>
      </c>
      <c r="IM5" s="77">
        <f>IF($DU5="","",$DU5)</f>
        <v>22.63773071363439</v>
      </c>
      <c r="IN5" s="77">
        <f>IF(OR($AL5="",$DU5=""),"",MIN(IFERROR(IF5-$IM5,0),0))</f>
        <v>-15.503041816824322</v>
      </c>
      <c r="IO5" s="77">
        <f>IF(OR($AX5="",$DU5=""),"",MIN(IFERROR(IG5-$IM5,0),0))</f>
        <v>0</v>
      </c>
      <c r="IP5" s="77">
        <f>IF(OR($BJ5="",$DU5=""),"",MIN(IFERROR(IH5-$IM5,0),0))</f>
        <v>0</v>
      </c>
      <c r="IQ5" s="77">
        <f>IF(OR($BV5="",$DU5=""),"",MIN(IFERROR(II5-$IM5,0),0))</f>
        <v>0</v>
      </c>
      <c r="IR5" s="77">
        <f>IF(OR($CH5="",$DU5=""),"",MIN(IFERROR(IJ5-$IM5,0),0))</f>
        <v>-3.0661076173661179</v>
      </c>
      <c r="IS5" s="77">
        <f>IF(OR($CT5="",$DU5=""),"",MIN(IFERROR(IK5-$IM5,0),0))</f>
        <v>-6.1868768684844788</v>
      </c>
      <c r="IT5" s="77">
        <f>IF(OR($DF5="",$DU5=""),"",MIN(IFERROR(IL5-$IM5,0),0))</f>
        <v>-2.5150053654211746</v>
      </c>
      <c r="IU5" s="77"/>
      <c r="IV5" s="77">
        <f>IF($AN5="","",$AN5)</f>
        <v>3.9412403476453322</v>
      </c>
      <c r="IW5" s="77">
        <f>IF($AZ5="","",$AZ5)</f>
        <v>16.293570269457391</v>
      </c>
      <c r="IX5" s="77">
        <f>IF($BL5="","",$BL5)</f>
        <v>13.527494326123737</v>
      </c>
      <c r="IY5" s="77">
        <f>IF($BX5="","",$BX5)</f>
        <v>16.418385659477806</v>
      </c>
      <c r="IZ5" s="77">
        <f>IF($CJ5="","",$CJ5)</f>
        <v>17.937735362965451</v>
      </c>
      <c r="JA5" s="77">
        <f>IF($CV5="","",$CV5)</f>
        <v>16.124200994297318</v>
      </c>
      <c r="JB5" s="77">
        <f>IF($DH5="","",$DH5)</f>
        <v>15.836075304807459</v>
      </c>
      <c r="JC5" s="77">
        <f>IF($DW5="","",$DW5)</f>
        <v>16.430032513996895</v>
      </c>
      <c r="JD5" s="77">
        <f>IF(OR($AN5="",$DW5=""),"",MIN(IFERROR(IV5-$JC5,0),0))</f>
        <v>-12.488792166351564</v>
      </c>
      <c r="JE5" s="77">
        <f>IF(OR($AZ5="",$DW5=""),"",MIN(IFERROR(IW5-$JC5,0),0))</f>
        <v>-0.13646224453950495</v>
      </c>
      <c r="JF5" s="77">
        <f>IF(OR($BL5="",$DW5=""),"",MIN(IFERROR(IX5-$JC5,0),0))</f>
        <v>-2.9025381878731586</v>
      </c>
      <c r="JG5" s="77">
        <f>IF(OR($BX5="",$DW5=""),"",MIN(IFERROR(IY5-$JC5,0),0))</f>
        <v>-1.1646854519089089E-2</v>
      </c>
      <c r="JH5" s="77">
        <f>IF(OR($CJ5="",$DW5=""),"",MIN(IFERROR(IZ5-$JC5,0),0))</f>
        <v>0</v>
      </c>
      <c r="JI5" s="77">
        <f>IF(OR($CV5="",$DW5=""),"",MIN(IFERROR(JA5-$JC5,0),0))</f>
        <v>-0.30583151969957711</v>
      </c>
      <c r="JJ5" s="77">
        <f>IF(OR($DH5="",$DW5=""),"",MIN(IFERROR(JB5-$JC5,0),0))</f>
        <v>-0.59395720918943695</v>
      </c>
      <c r="JK5" s="77"/>
      <c r="JL5" s="77">
        <f>IF($AM5="","",$AM5)</f>
        <v>0</v>
      </c>
      <c r="JM5" s="77">
        <f>IF($AY5="","",$AY5)</f>
        <v>0</v>
      </c>
      <c r="JN5" s="77">
        <f>IF($BK5="","",$BK5)</f>
        <v>0</v>
      </c>
      <c r="JO5" s="77">
        <f>IF($BW5="","",$BW5)</f>
        <v>0</v>
      </c>
      <c r="JP5" s="77">
        <f>IF($CI5="","",$CI5)</f>
        <v>0</v>
      </c>
      <c r="JQ5" s="77">
        <f>IF($CU5="","",$CU5)</f>
        <v>0</v>
      </c>
      <c r="JR5" s="77">
        <f>IF($DG5="","",$DG5)</f>
        <v>0</v>
      </c>
      <c r="JS5" s="77">
        <f>IF($DV5="","",$DV5)</f>
        <v>0</v>
      </c>
      <c r="JT5" s="77">
        <f>IF(OR($AM5="",$DV5=""),"",MIN(IFERROR(JL5-$JS5,0),0))</f>
        <v>0</v>
      </c>
      <c r="JU5" s="77">
        <f>IF(OR($AY5="",$DV5=""),"",MIN(IFERROR(JM5-$JS5,0),0))</f>
        <v>0</v>
      </c>
      <c r="JV5" s="77">
        <f>IF(OR($BM5="",$DX5=""),"",MIN(IFERROR(JN5-$JS5,0),0))</f>
        <v>0</v>
      </c>
      <c r="JW5" s="77">
        <f>IF(OR($BY5="",$DX5=""),"",MIN(IFERROR(JO5-$JS5,0),0))</f>
        <v>0</v>
      </c>
      <c r="JX5" s="77">
        <f>IF(OR($CK5="",$DX5=""),"",MIN(IFERROR(JP5-$JS5,0),0))</f>
        <v>0</v>
      </c>
      <c r="JY5" s="77">
        <f>IF(OR($CW5="",$DX5=""),"",MIN(IFERROR(JQ5-$JS5,0),0))</f>
        <v>0</v>
      </c>
      <c r="JZ5" s="77">
        <f>IF(OR($DI5="",$DX5=""),"",MIN(IFERROR(JR5-$JS5,0),0))</f>
        <v>0</v>
      </c>
      <c r="KA5" s="77"/>
      <c r="KB5" s="77">
        <f>SUM(EN5,FD5,FT5,GJ5,GZ5,HP5,IF5,IV5,JL5)</f>
        <v>227.22437176183382</v>
      </c>
      <c r="KC5" s="77">
        <f t="shared" ref="KC5:KJ16" si="3">SUM(EO5,FE5,FU5,GK5,HA5,HQ5,IG5,IW5,JM5)</f>
        <v>703.39153922571313</v>
      </c>
      <c r="KD5" s="77">
        <f t="shared" si="3"/>
        <v>572.29733611347024</v>
      </c>
      <c r="KE5" s="77">
        <f t="shared" si="3"/>
        <v>644.53185041547772</v>
      </c>
      <c r="KF5" s="77">
        <f t="shared" si="3"/>
        <v>880.53268603451511</v>
      </c>
      <c r="KG5" s="77">
        <f t="shared" si="3"/>
        <v>726.7916812191645</v>
      </c>
      <c r="KH5" s="77">
        <f t="shared" si="3"/>
        <v>640.97780082238341</v>
      </c>
      <c r="KI5" s="77">
        <f t="shared" si="3"/>
        <v>650.77669845638729</v>
      </c>
      <c r="KJ5" s="77">
        <f>SUM(EV5,FL5,GB5,GR5,HH5,HX5,IN5,JD5,JT5)</f>
        <v>-430.77747166819984</v>
      </c>
      <c r="KK5" s="77">
        <f t="shared" ref="KK5:KP16" si="4">SUM(EW5,FM5,GC5,GS5,HI5,HY5,IO5,JE5,JU5)</f>
        <v>-23.282359529709616</v>
      </c>
      <c r="KL5" s="77">
        <f t="shared" si="4"/>
        <v>-105.32956116758325</v>
      </c>
      <c r="KM5" s="77">
        <f t="shared" si="4"/>
        <v>-56.193654215634808</v>
      </c>
      <c r="KN5" s="77">
        <f t="shared" si="4"/>
        <v>-12.59716276465967</v>
      </c>
      <c r="KO5" s="77">
        <f t="shared" si="4"/>
        <v>-19.592970784659453</v>
      </c>
      <c r="KP5" s="77">
        <f t="shared" si="4"/>
        <v>-19.209310129336433</v>
      </c>
      <c r="KQ5" s="78"/>
      <c r="KR5" s="77">
        <f>MIN(EV5,FL5,GB5,GR5,HH5,HX5,IN5,JD5,JT5)</f>
        <v>-347.20719785857966</v>
      </c>
      <c r="KS5" s="77">
        <f>IFERROR(KR5/KJ5,"")</f>
        <v>0.806001289979275</v>
      </c>
      <c r="KT5" s="77">
        <f t="shared" ref="KT5:KT16" si="5">MIN(EW5,FM5,GC5,GS5,HI5,HY5,IO5,JE5,JU5)</f>
        <v>-18.036350334787244</v>
      </c>
      <c r="KU5" s="79">
        <f>IFERROR(KT5/KK5,"")</f>
        <v>0.77467879970549525</v>
      </c>
      <c r="KV5" s="77">
        <f t="shared" ref="KV5:KV16" si="6">MIN(EX5,FN5,GD5,GT5,HJ5,HZ5,IP5,JF5,JV5)</f>
        <v>-91.084442406206449</v>
      </c>
      <c r="KW5" s="79">
        <f>IFERROR(KV5/KL5,"")</f>
        <v>0.86475668745346534</v>
      </c>
      <c r="KX5" s="77">
        <f t="shared" ref="KX5:KX16" si="7">MIN(EY5,FO5,GE5,GU5,HK5,IA5,IQ5,JG5,JW5)</f>
        <v>-54.579090512854748</v>
      </c>
      <c r="KY5" s="79">
        <f>IFERROR(KX5/KM5,"")</f>
        <v>0.97126786422209865</v>
      </c>
      <c r="KZ5" s="77">
        <f t="shared" ref="KZ5:KZ16" si="8">MIN(EZ5,FP5,GF5,GV5,HL5,IB5,IR5,JH5,JX5)</f>
        <v>-8.1216825478793151</v>
      </c>
      <c r="LA5" s="79">
        <f>IFERROR(KZ5/KN5,"")</f>
        <v>0.64472315707978656</v>
      </c>
      <c r="LB5" s="77">
        <f t="shared" ref="LB5:LB16" si="9">MIN(FA5,FQ5,GG5,GW5,HM5,IC5,IS5,JI5,JY5)</f>
        <v>-7.6131499579062254</v>
      </c>
      <c r="LC5" s="79">
        <f>IFERROR(LB5/KO5,"")</f>
        <v>0.38856537079446013</v>
      </c>
      <c r="LD5" s="77">
        <f t="shared" ref="LD5:LD16" si="10">MIN(FB5,FR5,GH5,GX5,HN5,ID5,IT5,JJ5,JZ5)</f>
        <v>-10.765837451132427</v>
      </c>
      <c r="LE5" s="79">
        <f>IFERROR(LD5/KP5,"")</f>
        <v>0.56044893744991153</v>
      </c>
      <c r="LF5" s="77" t="str" cm="1">
        <f t="array" ref="LF5">IFERROR(_xlfn.IFS(KR5=EV5,"Material",KR5=FL5,"Direct Labor",KR5=GB5,"Variable Overhead",KR5=GR5,"Indirect Labor",KR5=HH5,"Fixed Overhead",KR5=HX5,"SG&amp;A",KR5=IN5,"Depreciation",KR5=JD5,"Corporate allocation",KR5=JT5,"Amortized Tooling"),"")</f>
        <v>Material</v>
      </c>
      <c r="LG5" s="77" t="str" cm="1">
        <f t="array" ref="LG5">IFERROR(_xlfn.IFS(KT5=EW5,"Material",KT5=FM5,"Direct Labor",KT5=GC5,"Variable Overhead",KT5=GS5,"Indirect Labor",KT5=HI5,"Fixed Overhead",KT5=HY5,"SG&amp;A",KT5=IO5,"Depreciation",KT5=JE5,"Corporate Allocation",KT5=JU5,"Amortized Tooling"),"")</f>
        <v>Material</v>
      </c>
      <c r="LH5" s="77" t="str" cm="1">
        <f t="array" ref="LH5">IFERROR(_xlfn.IFS(KV5=EX5,"Material",KV5=FN5,"Direct Labor",KV5=GD5,"Variable Overhead",KV5=GT5,"Indirect Labor",KV5=HJ5,"Fixed Overhead",KV5=HZ5,"SG&amp;A",KV5=IP5,"Depreciation",KV5=JF5,"Corporate Allocation",KV5=JV5,"Amortized Tooling"),"")</f>
        <v>Material</v>
      </c>
      <c r="LI5" s="77" t="str" cm="1">
        <f t="array" ref="LI5">IFERROR(_xlfn.IFS(KX5=EY5,"Material",KX5=FO5,"Direct Labor",KX5=GE5,"Variable Overhead",KX5=GU5,"Indirect Labor",KX5=HK5,"Fixed Overhead",KX5=IA5,"SG&amp;A",KX5=IQ5,"Depreciation",KX5=JG5,"Corporate Allocation",KX5=JW5,"Amortized Tooling"),"")</f>
        <v>Material</v>
      </c>
      <c r="LJ5" s="77" t="str" cm="1">
        <f t="array" ref="LJ5">IFERROR(_xlfn.IFS(KZ5=EZ5,"Material",KZ5=FP5,"Direct Labor",KZ5=GF5,"Variable Overhead",KZ5=GV5,"Indirect Labor",KZ5=HL5,"Fixed Overhead",KZ5=IB5,"SG&amp;A",KZ5=IR5,"Depreciation",KZ5=JH5,"Corporate Allocation",KZ5=JX5,"Amortized Tooling"),"")</f>
        <v>Fixed Overhead</v>
      </c>
      <c r="LK5" s="77" t="str" cm="1">
        <f t="array" ref="LK5">IFERROR(_xlfn.IFS(LB5=FA5,"Material",LB5=FQ5,"Direct Labor",LB5=GG5,"Variable Overhead",LB5=GW5,"Indirect Labor",LB5=HM5,"Fixed Overhead",LB5=IC5,"SG&amp;A",LB5=IS5,"Depreciation",LB5=JI5,"Corporate Allocation",LB5=JY5,"Amortized Tooling"),"")</f>
        <v>Fixed Overhead</v>
      </c>
      <c r="LL5" s="77" t="str" cm="1">
        <f t="array" ref="LL5">IFERROR(_xlfn.IFS(LD5=FB5,"Material",LD5=FR5,"Direct Labor",LD5=GH5,"Variable Overhead",LD5=GX5,"Indirect Labor",LD5=HN5,"Fixed Overhead",LD5=ID5,"SG&amp;A",LD5=IT5,"Depreciation",LD5=JJ5,"Corporate Allocation",LD5=JZ5,"Amortized Tooling"),"")</f>
        <v>Material</v>
      </c>
      <c r="LM5" s="77" cm="1">
        <f t="array" ref="LM5">_xlfn.IFS(DL5="","",LN5="0% EBIT target","",LN5="12% EBIT target","",LN5="At quote",KJ5,LN5="2019",KK5,LN5="2020",KL5,LN5="2021",KM5,LN5="2022",KN5,LN5="2023",KO5,LN5="2024",KP5)</f>
        <v>-12.59716276465967</v>
      </c>
      <c r="LN5" s="77" t="str">
        <f>MN5</f>
        <v>2022</v>
      </c>
      <c r="LO5" s="77" cm="1">
        <f t="array" ref="LO5">IFERROR(_xlfn.IFS(MN5="0% EBIT target","",MN5="12% EBIT target","",LN5="At quote",KR5,LN5="2019",KT5,LN5="2020",KV5,LN5="2021",KX5,LN5="2022",KZ5,LN5="2023",LB5,LN5="2024",LD5),"")</f>
        <v>-8.1216825478793151</v>
      </c>
      <c r="LP5" s="78" t="str" cm="1">
        <f t="array" ref="LP5">IFERROR(_xlfn.IFS(MN5="0% EBIT target","",MN5="12% EBIT target","",LN5="At quote",LF5,LN5="2019",LG5,LN5="2020",LH5,LN5="2021",LI5,LN5="2022",LJ5,LN5="2023",LK5,LN5="2024",LL5),"")</f>
        <v>Fixed Overhead</v>
      </c>
      <c r="LQ5" s="79">
        <f t="shared" ref="LQ5:LQ16" si="11">IFERROR(LO5/LM5,"")</f>
        <v>0.64472315707978656</v>
      </c>
      <c r="LR5" s="78"/>
      <c r="LS5" s="79">
        <f t="shared" ref="LS5:LY16" si="12">IFERROR(-KJ5/KB5,"")</f>
        <v>1.8958242389584909</v>
      </c>
      <c r="LT5" s="79">
        <f t="shared" si="12"/>
        <v>3.310014157312529E-2</v>
      </c>
      <c r="LU5" s="79">
        <f t="shared" si="12"/>
        <v>0.18404691848277169</v>
      </c>
      <c r="LV5" s="79">
        <f t="shared" si="12"/>
        <v>8.718522471684105E-2</v>
      </c>
      <c r="LW5" s="79">
        <f t="shared" si="12"/>
        <v>1.4306297726880619E-2</v>
      </c>
      <c r="LX5" s="79">
        <f t="shared" si="12"/>
        <v>2.6958165993029824E-2</v>
      </c>
      <c r="LY5" s="79">
        <f t="shared" si="12"/>
        <v>2.9968760391842934E-2</v>
      </c>
      <c r="LZ5" s="79" t="str">
        <f t="shared" ref="LZ5:LZ16" si="13">IF(DK5="","",IF(DO5&lt;$LZ$2,((1-DO5)/(1-$LZ$2))-1,""))</f>
        <v/>
      </c>
      <c r="MA5" s="79">
        <f t="shared" ref="MA5:MA16" si="14">IF(DK5="","",IF(AND(DO5&gt;$LZ$2,DO5&lt;$MA$2),((1-DO5)/(1-$MA$2))-1,""))</f>
        <v>8.2209196335099044E-2</v>
      </c>
      <c r="MB5" s="79">
        <f>MAX(LS5,LT5,LU5,LV5,LW5,LX5,LY5)</f>
        <v>1.8958242389584909</v>
      </c>
      <c r="MC5" s="80">
        <f t="shared" ref="MC5:MC16" si="15">IF(DK5="","",DK5)</f>
        <v>683.34198048122551</v>
      </c>
      <c r="MD5" s="80">
        <f>IFERROR((1+LS5)*$U5,"")</f>
        <v>720.55153690547957</v>
      </c>
      <c r="ME5" s="80">
        <f>IFERROR((1+LT5)*$AQ5,"")</f>
        <v>719.69935981973231</v>
      </c>
      <c r="MF5" s="80">
        <f>IFERROR((1+LU5)*$BC5,"")</f>
        <v>665.42680659667292</v>
      </c>
      <c r="MG5" s="80">
        <f>IFERROR((1+LV5)*$BO5,"")</f>
        <v>655.99937889291482</v>
      </c>
      <c r="MH5" s="80">
        <f>IFERROR((1+LW5)*$CA5,"")</f>
        <v>927.4964814673491</v>
      </c>
      <c r="MI5" s="80">
        <f>IFERROR((1+LX5)*$CM5,"")</f>
        <v>782.08160279026094</v>
      </c>
      <c r="MJ5" s="80">
        <f>IFERROR((1+LY5)*$CY5,"")</f>
        <v>673.98879650985964</v>
      </c>
      <c r="MK5" s="80" t="str">
        <f t="shared" ref="MK5:ML16" si="16">IFERROR((1+LZ5)*$MC5,"")</f>
        <v/>
      </c>
      <c r="ML5" s="80">
        <f t="shared" si="16"/>
        <v>739.51897551862203</v>
      </c>
      <c r="MM5" s="80">
        <f>IF(MC5="","",MAX(MD5,ME5,MF5,MG5,MH5,MI5,MJ5,MK5,ML5))</f>
        <v>927.4964814673491</v>
      </c>
      <c r="MN5" s="80" t="str" cm="1">
        <f t="array" ref="MN5">_xlfn.IFS(MC5="","",MM5=0,"",MM5=MD5,"At quote",MM5=ME5,"2019",MM5=MF5,"2020",MM5=MG5,"2021",MM5=MH5,"2022",MM5=MI5,"2023",MM5=MJ5,"2024",MM5=MK5,"0% EBIT target",MM5=ML5,"12% EBIT target")</f>
        <v>2022</v>
      </c>
      <c r="MO5" s="81">
        <f>IF(OR($MC5="",,MD5=""),"",IF(MD5-$MC5&lt;0,"",IFERROR((MD5-$MC5)*$DL5,"")))</f>
        <v>9852123.0926754437</v>
      </c>
      <c r="MP5" s="81">
        <f>IFERROR(MO5*$NI$3*$NJ$3,"")</f>
        <v>2463030.7731688609</v>
      </c>
      <c r="MQ5" s="80">
        <f t="shared" ref="MQ5:MQ16" si="17">IF(OR($MC5="",,ME5=""),"",IF(ME5-$MC5&lt;0,"",IFERROR((ME5-$MC5)*$DL5,"")))</f>
        <v>9626488.7569737993</v>
      </c>
      <c r="MR5" s="80">
        <f>IFERROR(MQ5*$NI$3*$NJ$3,"")</f>
        <v>2406622.1892434498</v>
      </c>
      <c r="MS5" s="80" t="str">
        <f t="shared" ref="MS5:MS16" si="18">IF(OR($MC5="",,MF5=""),"",IF(MF5-$MC5&lt;0,"",IFERROR((MF5-$MC5)*$DL5,"")))</f>
        <v/>
      </c>
      <c r="MT5" s="80" t="str">
        <f>IFERROR(MS5*$NI$3*$NJ$3,"")</f>
        <v/>
      </c>
      <c r="MU5" s="80" t="str">
        <f t="shared" ref="MU5:MU16" si="19">IF(OR($MC5="",,MG5=""),"",IF(MG5-$MC5&lt;0,"",IFERROR((MG5-$MC5)*$DL5,"")))</f>
        <v/>
      </c>
      <c r="MV5" s="80" t="str">
        <f>IFERROR(MU5*$NI$3*$NJ$3,"")</f>
        <v/>
      </c>
      <c r="MW5" s="80">
        <f t="shared" ref="MW5:MW16" si="20">IF(OR($MC5="",,MH5=""),"",IF(MH5-$MC5&lt;0,"",IFERROR((MH5-$MC5)*$DL5,"")))</f>
        <v>64645763.844099887</v>
      </c>
      <c r="MX5" s="80">
        <f>IFERROR(MW5*$NI$3*$NJ$3,"")</f>
        <v>16161440.961024972</v>
      </c>
      <c r="MY5" s="80">
        <f t="shared" ref="MY5:MY16" si="21">IF(OR($MC5="",,MI5=""),"",IF(MI5-$MC5&lt;0,"",IFERROR((MI5-$MC5)*$DL5,"")))</f>
        <v>26143684.757252548</v>
      </c>
      <c r="MZ5" s="80">
        <f>IFERROR(MY5*$NI$3*$NJ$3,"")</f>
        <v>6535921.189313137</v>
      </c>
      <c r="NA5" s="80" t="str">
        <f t="shared" ref="NA5:NA16" si="22">IF(OR($MC5="",,MJ5=""),"",IF(MJ5-$MC5&lt;0,"",IFERROR((MJ5-$MC5)*$DL5,"")))</f>
        <v/>
      </c>
      <c r="NB5" s="80" t="str">
        <f>IFERROR(NA5*$NI$3*$NJ$3,"")</f>
        <v/>
      </c>
      <c r="NC5" s="80" t="str">
        <f>IFERROR((MK5-$MC5)*$DL5,"")</f>
        <v/>
      </c>
      <c r="ND5" s="80" t="str">
        <f>IFERROR(NC5*$NI$3*$NJ$3,"")</f>
        <v/>
      </c>
      <c r="NE5" s="80">
        <f t="shared" ref="NE5:NE16" si="23">IFERROR((ML5-$MC5)*$DL5,"")</f>
        <v>14874207.684031626</v>
      </c>
      <c r="NF5" s="80">
        <f>IFERROR(NE5*$NI$3*$NJ$3,"")</f>
        <v>3718551.9210079066</v>
      </c>
      <c r="NG5" s="80">
        <f t="shared" ref="NG5:NG16" si="24">IF(OR(MC5="",MM5=0),"",IF(MM5-MC5&lt;0,"",MM5-MC5))</f>
        <v>244.15450098612359</v>
      </c>
      <c r="NH5" s="80">
        <f t="shared" ref="NH5:NH16" si="25">IF(NG5="","",NG5*DL5)</f>
        <v>64645763.844099887</v>
      </c>
      <c r="NI5" s="80">
        <f>IFERROR(NH5*$NI$3,"")</f>
        <v>32322881.922049943</v>
      </c>
      <c r="NJ5" s="80">
        <f>IFERROR(NI5*$NJ$3,"")</f>
        <v>16161440.961024972</v>
      </c>
    </row>
    <row r="6" spans="1:374" x14ac:dyDescent="0.25">
      <c r="A6" s="71" t="s">
        <v>405</v>
      </c>
      <c r="B6" s="82"/>
      <c r="C6" s="82" t="s">
        <v>397</v>
      </c>
      <c r="D6" s="82" t="s">
        <v>398</v>
      </c>
      <c r="E6" s="83" t="s">
        <v>399</v>
      </c>
      <c r="F6" s="82" t="s">
        <v>399</v>
      </c>
      <c r="G6" s="82" t="s">
        <v>406</v>
      </c>
      <c r="H6" s="71" t="str">
        <f t="shared" ref="H6:H69" si="26">G6&amp;" "&amp;C6&amp;" "&amp;E6</f>
        <v>Sao Jose Dos Pinhais CBA GEM All</v>
      </c>
      <c r="I6" s="82" t="s">
        <v>401</v>
      </c>
      <c r="J6" s="82" t="s">
        <v>407</v>
      </c>
      <c r="K6" s="82" t="s">
        <v>403</v>
      </c>
      <c r="L6" s="72">
        <v>0</v>
      </c>
      <c r="M6" s="72">
        <v>2019</v>
      </c>
      <c r="N6" s="73">
        <f>DATE(2025,12,31)</f>
        <v>46022</v>
      </c>
      <c r="O6" s="84">
        <v>244.66517890422088</v>
      </c>
      <c r="P6" s="84">
        <v>190.63889095228149</v>
      </c>
      <c r="Q6" s="84">
        <v>169.36679255884414</v>
      </c>
      <c r="R6" s="84">
        <v>171.27518008486146</v>
      </c>
      <c r="S6" s="84">
        <v>144.92364667200235</v>
      </c>
      <c r="T6" s="84">
        <v>142.30953198048243</v>
      </c>
      <c r="U6" s="84">
        <v>116.9426627344122</v>
      </c>
      <c r="V6" s="84">
        <v>0</v>
      </c>
      <c r="W6" s="84">
        <v>0</v>
      </c>
      <c r="X6" s="84">
        <v>111916</v>
      </c>
      <c r="Y6" s="84">
        <v>330372</v>
      </c>
      <c r="Z6" s="84">
        <v>371866</v>
      </c>
      <c r="AA6" s="84">
        <v>367722.58333333331</v>
      </c>
      <c r="AB6" s="84">
        <v>434585.75</v>
      </c>
      <c r="AC6" s="84">
        <v>442568.75</v>
      </c>
      <c r="AD6" s="84">
        <v>307083.13540738786</v>
      </c>
      <c r="AE6" s="84">
        <v>188143.75</v>
      </c>
      <c r="AF6" s="84">
        <v>89584.75</v>
      </c>
      <c r="AG6" s="84">
        <v>90.651544730038893</v>
      </c>
      <c r="AH6" s="84">
        <v>3.6042414338973723</v>
      </c>
      <c r="AI6" s="84">
        <v>23.181836573065656</v>
      </c>
      <c r="AJ6" s="84"/>
      <c r="AK6" s="84">
        <v>5.2116842617447352</v>
      </c>
      <c r="AL6" s="84">
        <v>4.029795328956677</v>
      </c>
      <c r="AM6" s="84">
        <v>0</v>
      </c>
      <c r="AN6" s="84">
        <v>1.7662548871839621</v>
      </c>
      <c r="AO6" s="84">
        <v>2.5065661903942429</v>
      </c>
      <c r="AP6" s="84">
        <v>506.53453517282293</v>
      </c>
      <c r="AQ6" s="84">
        <v>506.53453517282293</v>
      </c>
      <c r="AR6" s="84">
        <v>68731</v>
      </c>
      <c r="AS6" s="84">
        <v>413.39416349726901</v>
      </c>
      <c r="AT6" s="84">
        <v>13.15957757709181</v>
      </c>
      <c r="AU6" s="84">
        <v>124.70273235078899</v>
      </c>
      <c r="AV6" s="84"/>
      <c r="AW6" s="84">
        <v>12.788450735263714</v>
      </c>
      <c r="AX6" s="84">
        <v>52.452040711834549</v>
      </c>
      <c r="AY6" s="84">
        <v>0</v>
      </c>
      <c r="AZ6" s="84">
        <v>7.5042075424208026</v>
      </c>
      <c r="BA6" s="84">
        <v>31.262740664808788</v>
      </c>
      <c r="BB6" s="84">
        <v>493.87844898048689</v>
      </c>
      <c r="BC6" s="84">
        <v>493.87844898048689</v>
      </c>
      <c r="BD6" s="84">
        <v>192240</v>
      </c>
      <c r="BE6" s="84">
        <v>391.51502644435203</v>
      </c>
      <c r="BF6" s="84">
        <v>23.045966419634794</v>
      </c>
      <c r="BG6" s="84">
        <v>133.20346988642476</v>
      </c>
      <c r="BH6" s="84"/>
      <c r="BI6" s="84">
        <v>18.044398092180241</v>
      </c>
      <c r="BJ6" s="84">
        <v>33.39689434477085</v>
      </c>
      <c r="BK6" s="84">
        <v>0</v>
      </c>
      <c r="BL6" s="84">
        <v>7.8075946006491375</v>
      </c>
      <c r="BM6" s="84">
        <v>17.965395680615867</v>
      </c>
      <c r="BN6" s="84">
        <v>696.50405543555132</v>
      </c>
      <c r="BO6" s="84">
        <v>696.50405543555132</v>
      </c>
      <c r="BP6" s="84">
        <v>105210</v>
      </c>
      <c r="BQ6" s="84">
        <v>514.67523186823871</v>
      </c>
      <c r="BR6" s="84">
        <v>20.215310959652712</v>
      </c>
      <c r="BS6" s="84">
        <v>154.3278882783591</v>
      </c>
      <c r="BT6" s="84"/>
      <c r="BU6" s="84">
        <v>30.316455063105234</v>
      </c>
      <c r="BV6" s="84">
        <v>42.166679693282404</v>
      </c>
      <c r="BW6" s="84">
        <v>0</v>
      </c>
      <c r="BX6" s="84">
        <v>26.385213279403967</v>
      </c>
      <c r="BY6" s="84">
        <v>22.855198161891156</v>
      </c>
      <c r="BZ6" s="84">
        <v>1074.4936628178041</v>
      </c>
      <c r="CA6" s="84">
        <v>1074.4936628178041</v>
      </c>
      <c r="CB6" s="84">
        <v>182602</v>
      </c>
      <c r="CC6" s="84">
        <v>885.26236413830031</v>
      </c>
      <c r="CD6" s="84">
        <v>17.21507366502637</v>
      </c>
      <c r="CE6" s="84">
        <v>104.30804568208379</v>
      </c>
      <c r="CF6" s="84"/>
      <c r="CG6" s="84">
        <v>25.475675418756264</v>
      </c>
      <c r="CH6" s="84">
        <v>30.343311395440306</v>
      </c>
      <c r="CI6" s="84">
        <v>0</v>
      </c>
      <c r="CJ6" s="84">
        <v>15.563785833603545</v>
      </c>
      <c r="CK6" s="84">
        <v>15.932811810253675</v>
      </c>
      <c r="CL6" s="84">
        <v>933.80823224386404</v>
      </c>
      <c r="CM6" s="84">
        <v>933.80823224386404</v>
      </c>
      <c r="CN6" s="84">
        <v>200057</v>
      </c>
      <c r="CO6" s="84">
        <v>742.01107324169288</v>
      </c>
      <c r="CP6" s="84">
        <v>23.646011647162172</v>
      </c>
      <c r="CQ6" s="84">
        <v>107.17527523229825</v>
      </c>
      <c r="CR6" s="84"/>
      <c r="CS6" s="84">
        <v>25.514249046495998</v>
      </c>
      <c r="CT6" s="84">
        <v>25.741199857831173</v>
      </c>
      <c r="CU6" s="84">
        <v>0</v>
      </c>
      <c r="CV6" s="84">
        <v>14.688036883299318</v>
      </c>
      <c r="CW6" s="84">
        <v>5.8762428672394318</v>
      </c>
      <c r="CX6" s="84">
        <v>826.95728393050001</v>
      </c>
      <c r="CY6" s="84">
        <v>826.95728393050001</v>
      </c>
      <c r="CZ6" s="84">
        <v>171696</v>
      </c>
      <c r="DA6" s="84">
        <v>658.21067807058648</v>
      </c>
      <c r="DB6" s="84">
        <v>28.966116562182837</v>
      </c>
      <c r="DC6" s="84">
        <v>122.0760794674997</v>
      </c>
      <c r="DD6" s="84"/>
      <c r="DE6" s="84">
        <v>24.390258089927585</v>
      </c>
      <c r="DF6" s="84">
        <v>32.336041322933482</v>
      </c>
      <c r="DG6" s="84">
        <v>0</v>
      </c>
      <c r="DH6" s="84">
        <v>18.784679243781891</v>
      </c>
      <c r="DI6" s="84">
        <v>0.9299546453437405</v>
      </c>
      <c r="DJ6" s="84">
        <v>810.48622643694409</v>
      </c>
      <c r="DK6" s="84">
        <v>810.48622643694409</v>
      </c>
      <c r="DL6" s="84">
        <v>151134</v>
      </c>
      <c r="DM6" s="75">
        <f t="shared" si="0"/>
        <v>122492025.34632111</v>
      </c>
      <c r="DN6" s="85">
        <f t="shared" si="1"/>
        <v>-528007.97744211322</v>
      </c>
      <c r="DO6" s="86">
        <f t="shared" si="2"/>
        <v>-4.3105498170128119E-3</v>
      </c>
      <c r="DP6" s="84">
        <v>559.34459034501799</v>
      </c>
      <c r="DQ6" s="84">
        <v>29.7729620781679</v>
      </c>
      <c r="DR6" s="84">
        <v>118.38025639311671</v>
      </c>
      <c r="DS6" s="84"/>
      <c r="DT6" s="84">
        <v>36.908505069439521</v>
      </c>
      <c r="DU6" s="84">
        <v>32.907489032089281</v>
      </c>
      <c r="DV6" s="84">
        <v>0</v>
      </c>
      <c r="DW6" s="84">
        <v>16.346923118965464</v>
      </c>
      <c r="DX6" s="84">
        <v>20.319141655206291</v>
      </c>
      <c r="DY6" s="84"/>
      <c r="DZ6" s="84">
        <v>708.2434778092005</v>
      </c>
      <c r="EA6" s="84">
        <v>159461.00000000003</v>
      </c>
      <c r="EB6" s="84"/>
      <c r="EC6" s="84"/>
      <c r="ED6" s="84"/>
      <c r="EE6" s="84"/>
      <c r="EF6" s="84"/>
      <c r="EG6" s="84"/>
      <c r="EH6" s="84"/>
      <c r="EI6" s="84"/>
      <c r="EJ6" s="84"/>
      <c r="EK6" s="84">
        <v>831.22796765745909</v>
      </c>
      <c r="EL6" s="84">
        <v>163948.15</v>
      </c>
      <c r="EM6" s="84" t="s">
        <v>404</v>
      </c>
      <c r="EN6" s="77">
        <f t="shared" ref="EN6:EN16" si="27">IF(AG6="","",AG6)</f>
        <v>90.651544730038893</v>
      </c>
      <c r="EO6" s="77">
        <f t="shared" ref="EO6:EO16" si="28">IF(AS6="","",AS6)</f>
        <v>413.39416349726901</v>
      </c>
      <c r="EP6" s="77">
        <f t="shared" ref="EP6:EP16" si="29">IF(BE6="","",BE6)</f>
        <v>391.51502644435203</v>
      </c>
      <c r="EQ6" s="77">
        <f t="shared" ref="EQ6:EQ16" si="30">IF(BQ6="","",BQ6)</f>
        <v>514.67523186823871</v>
      </c>
      <c r="ER6" s="77">
        <f t="shared" ref="ER6:ER16" si="31">IF(CC6="","",CC6)</f>
        <v>885.26236413830031</v>
      </c>
      <c r="ES6" s="77">
        <f t="shared" ref="ES6:ES16" si="32">IF(CO6="","",CO6)</f>
        <v>742.01107324169288</v>
      </c>
      <c r="ET6" s="77">
        <f t="shared" ref="ET6:ET16" si="33">IF(DA6="","",DA6)</f>
        <v>658.21067807058648</v>
      </c>
      <c r="EU6" s="77">
        <f t="shared" ref="EU6:EU16" si="34">IF(DP6="","",DP6)</f>
        <v>559.34459034501799</v>
      </c>
      <c r="EV6" s="77">
        <f t="shared" ref="EV6:EV16" si="35">IF(OR(AG6="",$DP6=""),"",MIN(IFERROR(EN6-$EU6,0),0))</f>
        <v>-468.6930456149791</v>
      </c>
      <c r="EW6" s="77">
        <f t="shared" ref="EW6:EW16" si="36">IF(OR(AS6="",$DP6=""),"",MIN(IFERROR(EO6-$EU6,0),0))</f>
        <v>-145.95042684774899</v>
      </c>
      <c r="EX6" s="77">
        <f t="shared" ref="EX6:EX16" si="37">IF(OR(BE6="",$DP6=""),"",MIN(IFERROR(EP6-$EU6,0),0))</f>
        <v>-167.82956390066596</v>
      </c>
      <c r="EY6" s="77">
        <f t="shared" ref="EY6:EY16" si="38">IF(OR(BQ6="",$DP6=""),"",MIN(IFERROR(EQ6-$EU6,0),0))</f>
        <v>-44.66935847677928</v>
      </c>
      <c r="EZ6" s="77">
        <f t="shared" ref="EZ6:EZ16" si="39">IF(OR(CC6="",$DP6=""),"",MIN(IFERROR(ER6-$EU6,0),0))</f>
        <v>0</v>
      </c>
      <c r="FA6" s="77">
        <f t="shared" ref="FA6:FA16" si="40">IF(OR(CO6="",$DP6=""),"",MIN(IFERROR(ES6-$EU6,0),0))</f>
        <v>0</v>
      </c>
      <c r="FB6" s="77">
        <f t="shared" ref="FB6:FB16" si="41">IF(OR(DA6="",$DP6=""),"",MIN(IFERROR(ET6-$EU6,0),0))</f>
        <v>0</v>
      </c>
      <c r="FC6" s="77"/>
      <c r="FD6" s="77">
        <f t="shared" ref="FD6:FD16" si="42">IF(AH6="","",AH6)</f>
        <v>3.6042414338973723</v>
      </c>
      <c r="FE6" s="77">
        <f t="shared" ref="FE6:FE16" si="43">IF(AT6="","",AT6)</f>
        <v>13.15957757709181</v>
      </c>
      <c r="FF6" s="77">
        <f t="shared" ref="FF6:FF16" si="44">IF(BF6="","",BF6)</f>
        <v>23.045966419634794</v>
      </c>
      <c r="FG6" s="77">
        <f t="shared" ref="FG6:FG16" si="45">IF(BR6="","",BR6)</f>
        <v>20.215310959652712</v>
      </c>
      <c r="FH6" s="77">
        <f t="shared" ref="FH6:FH16" si="46">IF(CD6="","",CD6)</f>
        <v>17.21507366502637</v>
      </c>
      <c r="FI6" s="77">
        <f t="shared" ref="FI6:FI16" si="47">IF(CP6="","",CP6)</f>
        <v>23.646011647162172</v>
      </c>
      <c r="FJ6" s="77">
        <f t="shared" ref="FJ6:FJ16" si="48">IF(DB6="","",DB6)</f>
        <v>28.966116562182837</v>
      </c>
      <c r="FK6" s="77">
        <f t="shared" ref="FK6:FK16" si="49">IF(DQ6="","",DQ6)</f>
        <v>29.7729620781679</v>
      </c>
      <c r="FL6" s="77">
        <f t="shared" ref="FL6:FL16" si="50">IF(OR(AH6="",$DQ6=""),"",MIN(IFERROR(FD6-$FK6,0),0))</f>
        <v>-26.168720644270529</v>
      </c>
      <c r="FM6" s="77">
        <f t="shared" ref="FM6:FM16" si="51">IF(OR(AT6="",$DQ6=""),"",MIN(IFERROR(FE6-$FK6,0),0))</f>
        <v>-16.613384501076091</v>
      </c>
      <c r="FN6" s="77">
        <f t="shared" ref="FN6:FN16" si="52">IF(OR(BF6="",$DQ6=""),"",MIN(IFERROR(FF6-$FK6,0),0))</f>
        <v>-6.7269956585331059</v>
      </c>
      <c r="FO6" s="77">
        <f t="shared" ref="FO6:FO16" si="53">IF(OR(BR6="",$DQ6=""),"",MIN(IFERROR(FG6-$FK6,0),0))</f>
        <v>-9.5576511185151887</v>
      </c>
      <c r="FP6" s="77">
        <f t="shared" ref="FP6:FP16" si="54">IF(OR(CD6="",$DQ6=""),"",MIN(IFERROR(FH6-$FK6,0),0))</f>
        <v>-12.55788841314153</v>
      </c>
      <c r="FQ6" s="77">
        <f t="shared" ref="FQ6:FQ16" si="55">IF(OR(CP6="",$DQ6=""),"",MIN(IFERROR(FI6-$FK6,0),0))</f>
        <v>-6.1269504310057279</v>
      </c>
      <c r="FR6" s="77">
        <f t="shared" ref="FR6:FR16" si="56">IF(OR(DB6="",$DQ6=""),"",MIN(IFERROR(FJ6-$FK6,0),0))</f>
        <v>-0.8068455159850636</v>
      </c>
      <c r="FS6" s="77"/>
      <c r="FT6" s="77">
        <f t="shared" ref="FT6:FT16" si="57">IF(AI6="","",AI6)</f>
        <v>23.181836573065656</v>
      </c>
      <c r="FU6" s="77">
        <f t="shared" ref="FU6:FU16" si="58">IF(AU6="","",AU6)</f>
        <v>124.70273235078899</v>
      </c>
      <c r="FV6" s="77">
        <f t="shared" ref="FV6:FV16" si="59">IF(BG6="","",BG6)</f>
        <v>133.20346988642476</v>
      </c>
      <c r="FW6" s="77">
        <f t="shared" ref="FW6:FW16" si="60">IF(BS6="","",BS6)</f>
        <v>154.3278882783591</v>
      </c>
      <c r="FX6" s="77">
        <f t="shared" ref="FX6:FX16" si="61">IF(CE6="","",CE6)</f>
        <v>104.30804568208379</v>
      </c>
      <c r="FY6" s="77">
        <f t="shared" ref="FY6:FY16" si="62">IF(CQ6="","",CQ6)</f>
        <v>107.17527523229825</v>
      </c>
      <c r="FZ6" s="77">
        <f t="shared" ref="FZ6:FZ16" si="63">IF(DC6="","",DC6)</f>
        <v>122.0760794674997</v>
      </c>
      <c r="GA6" s="77">
        <f t="shared" ref="GA6:GA16" si="64">IF(DR6="","",DR6)</f>
        <v>118.38025639311671</v>
      </c>
      <c r="GB6" s="77">
        <f t="shared" ref="GB6:GB16" si="65">IF(OR($AI6="",$DR6=""),"",MIN(IFERROR(FT6-$GA6,0),0))</f>
        <v>-95.198419820051058</v>
      </c>
      <c r="GC6" s="77">
        <f t="shared" ref="GC6:GC16" si="66">IF(OR(AU6="",$DR6=""),"",MIN(IFERROR(FU6-$GA6,0),0))</f>
        <v>0</v>
      </c>
      <c r="GD6" s="77">
        <f t="shared" ref="GD6:GD16" si="67">IF(OR(BG6="",$DR6=""),"",MIN(IFERROR(FV6-$GA6,0),0))</f>
        <v>0</v>
      </c>
      <c r="GE6" s="77">
        <f t="shared" ref="GE6:GE16" si="68">IF(OR(BS6="",$DR6=""),"",MIN(IFERROR(FW6-$GA6,0),0))</f>
        <v>0</v>
      </c>
      <c r="GF6" s="77">
        <f t="shared" ref="GF6:GF16" si="69">IF(OR(CE6="",$DR6=""),"",MIN(IFERROR(FX6-$GA6,0),0))</f>
        <v>-14.072210711032923</v>
      </c>
      <c r="GG6" s="77">
        <f t="shared" ref="GG6:GG16" si="70">IF(OR(CQ6="",$DR6=""),"",MIN(IFERROR(FY6-$GA6,0),0))</f>
        <v>-11.204981160818463</v>
      </c>
      <c r="GH6" s="77">
        <f t="shared" ref="GH6:GH16" si="71">IF(OR(DC6="",$DR6=""),"",MIN(IFERROR(FZ6-$GA6,0),0))</f>
        <v>0</v>
      </c>
      <c r="GI6" s="77"/>
      <c r="GJ6" s="77" t="str">
        <f t="shared" ref="GJ6:GJ16" si="72">IF($AJ6="","",$AJ6)</f>
        <v/>
      </c>
      <c r="GK6" s="77" t="str">
        <f t="shared" ref="GK6:GK16" si="73">IF($AV6="","",$AV6)</f>
        <v/>
      </c>
      <c r="GL6" s="77" t="str">
        <f t="shared" ref="GL6:GL16" si="74">IF($BH6="","",$BH6)</f>
        <v/>
      </c>
      <c r="GM6" s="77" t="str">
        <f t="shared" ref="GM6:GM16" si="75">IF($BT6="","",$BT6)</f>
        <v/>
      </c>
      <c r="GN6" s="77" t="str">
        <f t="shared" ref="GN6:GN16" si="76">IF($CF6="","",$CF6)</f>
        <v/>
      </c>
      <c r="GO6" s="77" t="str">
        <f t="shared" ref="GO6:GO16" si="77">IF($CR6="","",$CR6)</f>
        <v/>
      </c>
      <c r="GP6" s="77" t="str">
        <f t="shared" ref="GP6:GP16" si="78">IF($DD6="","",$DD6)</f>
        <v/>
      </c>
      <c r="GQ6" s="77" t="str">
        <f t="shared" ref="GQ6:GQ16" si="79">IF($DS6="","",$DS6)</f>
        <v/>
      </c>
      <c r="GR6" s="77" t="str">
        <f t="shared" ref="GR6:GR16" si="80">IF(OR($AJ6="",$DS6=""),"",MIN(IFERROR(GJ6-$GQ6,0),0))</f>
        <v/>
      </c>
      <c r="GS6" s="77" t="str">
        <f t="shared" ref="GS6:GS16" si="81">IF(OR($AV6="",$DS6=""),"",MIN(IFERROR(GK6-$GQ6,0),0))</f>
        <v/>
      </c>
      <c r="GT6" s="77" t="str">
        <f t="shared" ref="GT6:GT16" si="82">IF(OR($BH6="",$DS6=""),"",MIN(IFERROR(GL6-$GQ6,0),0))</f>
        <v/>
      </c>
      <c r="GU6" s="77" t="str">
        <f t="shared" ref="GU6:GU16" si="83">IF(OR($BT6="",$DS6=""),"",MIN(IFERROR(GM6-$GQ6,0),0))</f>
        <v/>
      </c>
      <c r="GV6" s="77" t="str">
        <f t="shared" ref="GV6:GV16" si="84">IF(OR($CF6="",$DS6=""),"",MIN(IFERROR(GN6-$GQ6,0),0))</f>
        <v/>
      </c>
      <c r="GW6" s="77" t="str">
        <f t="shared" ref="GW6:GW16" si="85">IF(OR($CR6="",$DS6=""),"",MIN(IFERROR(GO6-$GQ6,0),0))</f>
        <v/>
      </c>
      <c r="GX6" s="77" t="str">
        <f t="shared" ref="GX6:GX16" si="86">IF(OR($DD6="",$DS6=""),"",MIN(IFERROR(GP6-$GQ6,0),0))</f>
        <v/>
      </c>
      <c r="GY6" s="77"/>
      <c r="GZ6" s="77">
        <f t="shared" ref="GZ6:GZ16" si="87">IF($AK6="","",$AK6)</f>
        <v>5.2116842617447352</v>
      </c>
      <c r="HA6" s="77">
        <f t="shared" ref="HA6:HA16" si="88">IF($AW6="","",$AW6)</f>
        <v>12.788450735263714</v>
      </c>
      <c r="HB6" s="77">
        <f t="shared" ref="HB6:HB16" si="89">IF($BI6="","",$BI6)</f>
        <v>18.044398092180241</v>
      </c>
      <c r="HC6" s="77">
        <f t="shared" ref="HC6:HC16" si="90">IF($BU6="","",$BU6)</f>
        <v>30.316455063105234</v>
      </c>
      <c r="HD6" s="77">
        <f t="shared" ref="HD6:HD16" si="91">IF($CG6="","",$CG6)</f>
        <v>25.475675418756264</v>
      </c>
      <c r="HE6" s="77">
        <f t="shared" ref="HE6:HE16" si="92">IF($CS6="","",$CS6)</f>
        <v>25.514249046495998</v>
      </c>
      <c r="HF6" s="77">
        <f t="shared" ref="HF6:HF16" si="93">IF($DE6="","",$DE6)</f>
        <v>24.390258089927585</v>
      </c>
      <c r="HG6" s="77">
        <f t="shared" ref="HG6:HG16" si="94">IF($DT6="","",$DT6)</f>
        <v>36.908505069439521</v>
      </c>
      <c r="HH6" s="77">
        <f t="shared" ref="HH6:HH16" si="95">IF(OR($AK6="",$DT6=""),"",MIN(IFERROR(GZ6-$HG6,0),0))</f>
        <v>-31.696820807694785</v>
      </c>
      <c r="HI6" s="77">
        <f t="shared" ref="HI6:HI16" si="96">IF(OR($AW6="",$DT6=""),"",MIN(IFERROR(HA6-$HG6,0),0))</f>
        <v>-24.120054334175805</v>
      </c>
      <c r="HJ6" s="77">
        <f t="shared" ref="HJ6:HJ16" si="97">IF(OR($BI6="",$DT6=""),"",MIN(IFERROR(HB6-$HG6,0),0))</f>
        <v>-18.864106977259279</v>
      </c>
      <c r="HK6" s="77">
        <f t="shared" ref="HK6:HK16" si="98">IF(OR($BU6="",$DT6=""),"",MIN(IFERROR(HC6-$HG6,0),0))</f>
        <v>-6.5920500063342864</v>
      </c>
      <c r="HL6" s="77">
        <f t="shared" ref="HL6:HL16" si="99">IF(OR($CG6="",$DT6=""),"",MIN(IFERROR(HD6-$HG6,0),0))</f>
        <v>-11.432829650683257</v>
      </c>
      <c r="HM6" s="77">
        <f t="shared" ref="HM6:HM16" si="100">IF(OR($CS6="",$DT6=""),"",MIN(IFERROR(HE6-$HG6,0),0))</f>
        <v>-11.394256022943523</v>
      </c>
      <c r="HN6" s="77">
        <f t="shared" ref="HN6:HN16" si="101">IF(OR($DE6="",$DT6=""),"",MIN(IFERROR(HF6-$HG6,0),0))</f>
        <v>-12.518246979511936</v>
      </c>
      <c r="HO6" s="77"/>
      <c r="HP6" s="77">
        <f t="shared" ref="HP6:HP16" si="102">IF($AO6="","",$AO6)</f>
        <v>2.5065661903942429</v>
      </c>
      <c r="HQ6" s="77">
        <f t="shared" ref="HQ6:HQ16" si="103">IF($BA6="","",$BA6)</f>
        <v>31.262740664808788</v>
      </c>
      <c r="HR6" s="77">
        <f t="shared" ref="HR6:HR16" si="104">IF($BM6="","",$BM6)</f>
        <v>17.965395680615867</v>
      </c>
      <c r="HS6" s="77">
        <f t="shared" ref="HS6:HS16" si="105">IF($BY6="","",$BY6)</f>
        <v>22.855198161891156</v>
      </c>
      <c r="HT6" s="77">
        <f t="shared" ref="HT6:HT16" si="106">IF($CK6="","",$CK6)</f>
        <v>15.932811810253675</v>
      </c>
      <c r="HU6" s="77">
        <f t="shared" ref="HU6:HU16" si="107">IF($CW6="","",$CW6)</f>
        <v>5.8762428672394318</v>
      </c>
      <c r="HV6" s="77">
        <f t="shared" ref="HV6:HV16" si="108">IF($DI6="","",$DI6)</f>
        <v>0.9299546453437405</v>
      </c>
      <c r="HW6" s="77">
        <f t="shared" ref="HW6:HW16" si="109">IF($DX6="","",$DX6)</f>
        <v>20.319141655206291</v>
      </c>
      <c r="HX6" s="77">
        <f t="shared" ref="HX6:HX16" si="110">IF(OR($AO6="",$DX6=""),"",MIN(IFERROR(HP6-$HW6,0),0))</f>
        <v>-17.812575464812049</v>
      </c>
      <c r="HY6" s="77">
        <f t="shared" ref="HY6:HY16" si="111">IF(OR($BA6="",$DX6=""),"",MIN(IFERROR(HQ6-$HW6,0),0))</f>
        <v>0</v>
      </c>
      <c r="HZ6" s="77">
        <f t="shared" ref="HZ6:HZ16" si="112">IF(OR($BM6="",$DX6=""),"",MIN(IFERROR(HR6-$HW6,0),0))</f>
        <v>-2.3537459745904243</v>
      </c>
      <c r="IA6" s="77">
        <f t="shared" ref="IA6:IA16" si="113">IF(OR($BY6="",$DX6=""),"",MIN(IFERROR(HS6-$HW6,0),0))</f>
        <v>0</v>
      </c>
      <c r="IB6" s="77">
        <f t="shared" ref="IB6:IB16" si="114">IF(OR($CH6="",$DU6=""),"",MIN(IFERROR(HT6-$HW6,0),0))</f>
        <v>-4.3863298449526162</v>
      </c>
      <c r="IC6" s="77">
        <f t="shared" ref="IC6:IC16" si="115">IF(OR($CW6="",$DX6=""),"",MIN(IFERROR(HU6-$HW6,0),0))</f>
        <v>-14.442898787966859</v>
      </c>
      <c r="ID6" s="77">
        <f>IF(OR($DI6="",$DX6=""),"",MIN(IFERROR(HV6-$HW6,0),0))</f>
        <v>-19.38918700986255</v>
      </c>
      <c r="IE6" s="77"/>
      <c r="IF6" s="77">
        <f t="shared" ref="IF6:IF16" si="116">IF($AL6="","",$AL6)</f>
        <v>4.029795328956677</v>
      </c>
      <c r="IG6" s="77">
        <f t="shared" ref="IG6:IG16" si="117">IF($AX6="","",$AX6)</f>
        <v>52.452040711834549</v>
      </c>
      <c r="IH6" s="77">
        <f t="shared" ref="IH6:IH16" si="118">IF($BJ6="","",$BJ6)</f>
        <v>33.39689434477085</v>
      </c>
      <c r="II6" s="77">
        <f t="shared" ref="II6:II16" si="119">IF($BV6="","",$BV6)</f>
        <v>42.166679693282404</v>
      </c>
      <c r="IJ6" s="77">
        <f t="shared" ref="IJ6:IJ16" si="120">IF($CH6="","",$CH6)</f>
        <v>30.343311395440306</v>
      </c>
      <c r="IK6" s="77">
        <f t="shared" ref="IK6:IK16" si="121">IF($CT6="","",$CT6)</f>
        <v>25.741199857831173</v>
      </c>
      <c r="IL6" s="77">
        <f t="shared" ref="IL6:IL16" si="122">IF($DF6="","",$DF6)</f>
        <v>32.336041322933482</v>
      </c>
      <c r="IM6" s="77">
        <f t="shared" ref="IM6:IM16" si="123">IF($DU6="","",$DU6)</f>
        <v>32.907489032089281</v>
      </c>
      <c r="IN6" s="77">
        <f t="shared" ref="IN6:IN16" si="124">IF(OR($AL6="",$DU6=""),"",MIN(IFERROR(IF6-$IM6,0),0))</f>
        <v>-28.877693703132604</v>
      </c>
      <c r="IO6" s="77">
        <f t="shared" ref="IO6:IO16" si="125">IF(OR($AX6="",$DU6=""),"",MIN(IFERROR(IG6-$IM6,0),0))</f>
        <v>0</v>
      </c>
      <c r="IP6" s="77">
        <f t="shared" ref="IP6:IP16" si="126">IF(OR($BJ6="",$DU6=""),"",MIN(IFERROR(IH6-$IM6,0),0))</f>
        <v>0</v>
      </c>
      <c r="IQ6" s="77">
        <f t="shared" ref="IQ6:IQ16" si="127">IF(OR($BV6="",$DU6=""),"",MIN(IFERROR(II6-$IM6,0),0))</f>
        <v>0</v>
      </c>
      <c r="IR6" s="77">
        <f t="shared" ref="IR6:IR16" si="128">IF(OR($CH6="",$DU6=""),"",MIN(IFERROR(IJ6-$IM6,0),0))</f>
        <v>-2.5641776366489744</v>
      </c>
      <c r="IS6" s="77">
        <f t="shared" ref="IS6:IS16" si="129">IF(OR($CT6="",$DU6=""),"",MIN(IFERROR(IK6-$IM6,0),0))</f>
        <v>-7.1662891742581074</v>
      </c>
      <c r="IT6" s="77">
        <f t="shared" ref="IT6:IT16" si="130">IF(OR($DF6="",$DU6=""),"",MIN(IFERROR(IL6-$IM6,0),0))</f>
        <v>-0.57144770915579812</v>
      </c>
      <c r="IU6" s="77"/>
      <c r="IV6" s="77">
        <f t="shared" ref="IV6:IV16" si="131">IF($AN6="","",$AN6)</f>
        <v>1.7662548871839621</v>
      </c>
      <c r="IW6" s="77">
        <f t="shared" ref="IW6:IW16" si="132">IF($AZ6="","",$AZ6)</f>
        <v>7.5042075424208026</v>
      </c>
      <c r="IX6" s="77">
        <f t="shared" ref="IX6:IX16" si="133">IF($BL6="","",$BL6)</f>
        <v>7.8075946006491375</v>
      </c>
      <c r="IY6" s="77">
        <f t="shared" ref="IY6:IY16" si="134">IF($BX6="","",$BX6)</f>
        <v>26.385213279403967</v>
      </c>
      <c r="IZ6" s="77">
        <f t="shared" ref="IZ6:IZ16" si="135">IF($CJ6="","",$CJ6)</f>
        <v>15.563785833603545</v>
      </c>
      <c r="JA6" s="77">
        <f t="shared" ref="JA6:JA16" si="136">IF($CV6="","",$CV6)</f>
        <v>14.688036883299318</v>
      </c>
      <c r="JB6" s="77">
        <f t="shared" ref="JB6:JB16" si="137">IF($DH6="","",$DH6)</f>
        <v>18.784679243781891</v>
      </c>
      <c r="JC6" s="77">
        <f t="shared" ref="JC6:JC16" si="138">IF($DW6="","",$DW6)</f>
        <v>16.346923118965464</v>
      </c>
      <c r="JD6" s="77">
        <f t="shared" ref="JD6:JD16" si="139">IF(OR($AN6="",$DW6=""),"",MIN(IFERROR(IV6-$JC6,0),0))</f>
        <v>-14.580668231781502</v>
      </c>
      <c r="JE6" s="77">
        <f t="shared" ref="JE6:JE16" si="140">IF(OR($AZ6="",$DW6=""),"",MIN(IFERROR(IW6-$JC6,0),0))</f>
        <v>-8.842715576544661</v>
      </c>
      <c r="JF6" s="77">
        <f t="shared" ref="JF6:JF16" si="141">IF(OR($BL6="",$DW6=""),"",MIN(IFERROR(IX6-$JC6,0),0))</f>
        <v>-8.5393285183163261</v>
      </c>
      <c r="JG6" s="77">
        <f t="shared" ref="JG6:JG16" si="142">IF(OR($BX6="",$DW6=""),"",MIN(IFERROR(IY6-$JC6,0),0))</f>
        <v>0</v>
      </c>
      <c r="JH6" s="77">
        <f t="shared" ref="JH6:JH16" si="143">IF(OR($CJ6="",$DW6=""),"",MIN(IFERROR(IZ6-$JC6,0),0))</f>
        <v>-0.78313728536191896</v>
      </c>
      <c r="JI6" s="77">
        <f t="shared" ref="JI6:JI16" si="144">IF(OR($CV6="",$DW6=""),"",MIN(IFERROR(JA6-$JC6,0),0))</f>
        <v>-1.6588862356661451</v>
      </c>
      <c r="JJ6" s="77">
        <f t="shared" ref="JJ6:JJ16" si="145">IF(OR($DH6="",$DW6=""),"",MIN(IFERROR(JB6-$JC6,0),0))</f>
        <v>0</v>
      </c>
      <c r="JK6" s="77"/>
      <c r="JL6" s="77">
        <f t="shared" ref="JL6:JL16" si="146">IF($AM6="","",$AM6)</f>
        <v>0</v>
      </c>
      <c r="JM6" s="77">
        <f t="shared" ref="JM6:JM16" si="147">IF($AY6="","",$AY6)</f>
        <v>0</v>
      </c>
      <c r="JN6" s="77">
        <f t="shared" ref="JN6:JN16" si="148">IF($BK6="","",$BK6)</f>
        <v>0</v>
      </c>
      <c r="JO6" s="77">
        <f t="shared" ref="JO6:JO16" si="149">IF($BW6="","",$BW6)</f>
        <v>0</v>
      </c>
      <c r="JP6" s="77">
        <f t="shared" ref="JP6:JP16" si="150">IF($CI6="","",$CI6)</f>
        <v>0</v>
      </c>
      <c r="JQ6" s="77">
        <f t="shared" ref="JQ6:JQ16" si="151">IF($CU6="","",$CU6)</f>
        <v>0</v>
      </c>
      <c r="JR6" s="77">
        <f t="shared" ref="JR6:JR16" si="152">IF($DG6="","",$DG6)</f>
        <v>0</v>
      </c>
      <c r="JS6" s="77">
        <f t="shared" ref="JS6:JS16" si="153">IF($DV6="","",$DV6)</f>
        <v>0</v>
      </c>
      <c r="JT6" s="77">
        <f t="shared" ref="JT6:JT16" si="154">IF(OR($AM6="",$DV6=""),"",MIN(IFERROR(JL6-$JS6,0),0))</f>
        <v>0</v>
      </c>
      <c r="JU6" s="77">
        <f t="shared" ref="JU6:JU16" si="155">IF(OR($AY6="",$DV6=""),"",MIN(IFERROR(JM6-$JS6,0),0))</f>
        <v>0</v>
      </c>
      <c r="JV6" s="77">
        <f t="shared" ref="JV6:JV16" si="156">IF(OR($BM6="",$DX6=""),"",MIN(IFERROR(JN6-$JS6,0),0))</f>
        <v>0</v>
      </c>
      <c r="JW6" s="77">
        <f t="shared" ref="JW6:JW16" si="157">IF(OR($BY6="",$DX6=""),"",MIN(IFERROR(JO6-$JS6,0),0))</f>
        <v>0</v>
      </c>
      <c r="JX6" s="77">
        <f t="shared" ref="JX6:JX16" si="158">IF(OR($CK6="",$DX6=""),"",MIN(IFERROR(JP6-$JS6,0),0))</f>
        <v>0</v>
      </c>
      <c r="JY6" s="77">
        <f t="shared" ref="JY6:JY16" si="159">IF(OR($CW6="",$DX6=""),"",MIN(IFERROR(JQ6-$JS6,0),0))</f>
        <v>0</v>
      </c>
      <c r="JZ6" s="77">
        <f t="shared" ref="JZ6:JZ16" si="160">IF(OR($DI6="",$DX6=""),"",MIN(IFERROR(JR6-$JS6,0),0))</f>
        <v>0</v>
      </c>
      <c r="KA6" s="77"/>
      <c r="KB6" s="77">
        <f t="shared" ref="KB6:KB16" si="161">SUM(EN6,FD6,FT6,GJ6,GZ6,HP6,IF6,IV6,JL6)</f>
        <v>130.95192340528155</v>
      </c>
      <c r="KC6" s="77">
        <f t="shared" si="3"/>
        <v>655.26391307947767</v>
      </c>
      <c r="KD6" s="77">
        <f t="shared" si="3"/>
        <v>624.97874546862772</v>
      </c>
      <c r="KE6" s="77">
        <f t="shared" si="3"/>
        <v>810.94197730393319</v>
      </c>
      <c r="KF6" s="77">
        <f t="shared" si="3"/>
        <v>1094.1010679434642</v>
      </c>
      <c r="KG6" s="77">
        <f t="shared" si="3"/>
        <v>944.65208877601913</v>
      </c>
      <c r="KH6" s="77">
        <f t="shared" si="3"/>
        <v>885.69380740225563</v>
      </c>
      <c r="KI6" s="77">
        <f t="shared" si="3"/>
        <v>813.97986769200327</v>
      </c>
      <c r="KJ6" s="77">
        <f t="shared" si="3"/>
        <v>-683.02794428672166</v>
      </c>
      <c r="KK6" s="77">
        <f t="shared" si="4"/>
        <v>-195.52658125954554</v>
      </c>
      <c r="KL6" s="77">
        <f t="shared" si="4"/>
        <v>-204.31374102936508</v>
      </c>
      <c r="KM6" s="77">
        <f t="shared" si="4"/>
        <v>-60.819059601628751</v>
      </c>
      <c r="KN6" s="77">
        <f t="shared" si="4"/>
        <v>-45.796573541821218</v>
      </c>
      <c r="KO6" s="77">
        <f t="shared" si="4"/>
        <v>-51.99426181265882</v>
      </c>
      <c r="KP6" s="77">
        <f t="shared" si="4"/>
        <v>-33.285727214515347</v>
      </c>
      <c r="KQ6" s="78"/>
      <c r="KR6" s="77">
        <f t="shared" ref="KR6:KR16" si="162">MIN(EV6,FL6,GB6,GR6,HH6,HX6,IN6,JD6,JT6)</f>
        <v>-468.6930456149791</v>
      </c>
      <c r="KS6" s="77">
        <f t="shared" ref="KS6:KS16" si="163">IFERROR(KR6/KJ6,"")</f>
        <v>0.68619893158899947</v>
      </c>
      <c r="KT6" s="77">
        <f t="shared" si="5"/>
        <v>-145.95042684774899</v>
      </c>
      <c r="KU6" s="79">
        <f t="shared" ref="KU6:KU16" si="164">IFERROR(KT6/KK6,"")</f>
        <v>0.74644800674958733</v>
      </c>
      <c r="KV6" s="77">
        <f t="shared" si="6"/>
        <v>-167.82956390066596</v>
      </c>
      <c r="KW6" s="79">
        <f t="shared" ref="KW6:KW16" si="165">IFERROR(KV6/KL6,"")</f>
        <v>0.8214306245635461</v>
      </c>
      <c r="KX6" s="77">
        <f t="shared" si="7"/>
        <v>-44.66935847677928</v>
      </c>
      <c r="KY6" s="79">
        <f t="shared" ref="KY6:KY16" si="166">IFERROR(KX6/KM6,"")</f>
        <v>0.73446315627647463</v>
      </c>
      <c r="KZ6" s="77">
        <f t="shared" si="8"/>
        <v>-14.072210711032923</v>
      </c>
      <c r="LA6" s="79">
        <f t="shared" ref="LA6:LA16" si="167">IFERROR(KZ6/KN6,"")</f>
        <v>0.30727649740394325</v>
      </c>
      <c r="LB6" s="77">
        <f t="shared" si="9"/>
        <v>-14.442898787966859</v>
      </c>
      <c r="LC6" s="79">
        <f t="shared" ref="LC6:LC16" si="168">IFERROR(LB6/KO6,"")</f>
        <v>0.27777870642737945</v>
      </c>
      <c r="LD6" s="77">
        <f t="shared" si="10"/>
        <v>-19.38918700986255</v>
      </c>
      <c r="LE6" s="79">
        <f t="shared" ref="LE6:LE16" si="169">IFERROR(LD6/KP6,"")</f>
        <v>0.58250753798785115</v>
      </c>
      <c r="LF6" s="77" t="str" cm="1">
        <f t="array" ref="LF6">IFERROR(_xlfn.IFS(KR6=EV6,"Material",KR6=FL6,"Direct Labor",KR6=GB6,"Variable Overhead",KR6=GR6,"Indirect Labor",KR6=HH6,"Fixed Overhead",KR6=HX6,"SG&amp;A",KR6=IN6,"Depreciation",KR6=JD6,"Corporate allocation",KR6=JT6,"Amortized Tooling"),"")</f>
        <v>Material</v>
      </c>
      <c r="LG6" s="77" t="str" cm="1">
        <f t="array" ref="LG6">IFERROR(_xlfn.IFS(KT6=EW6,"Material",KT6=FM6,"Direct Labor",KT6=GC6,"Variable Overhead",KT6=GS6,"Indirect Labor",KT6=HI6,"Fixed Overhead",KT6=HY6,"SG&amp;A",KT6=IO6,"Depreciation",KT6=JE6,"Corporate Allocation",KT6=JU6,"Amortized Tooling"),"")</f>
        <v>Material</v>
      </c>
      <c r="LH6" s="77" t="str" cm="1">
        <f t="array" ref="LH6">IFERROR(_xlfn.IFS(KV6=EX6,"Material",KV6=FN6,"Direct Labor",KV6=GD6,"Variable Overhead",KV6=GT6,"Indirect Labor",KV6=HJ6,"Fixed Overhead",KV6=HZ6,"SG&amp;A",KV6=IP6,"Depreciation",KV6=JF6,"Corporate Allocation",KV6=JV6,"Amortized Tooling"),"")</f>
        <v>Material</v>
      </c>
      <c r="LI6" s="77" t="str" cm="1">
        <f t="array" ref="LI6">IFERROR(_xlfn.IFS(KX6=EY6,"Material",KX6=FO6,"Direct Labor",KX6=GE6,"Variable Overhead",KX6=GU6,"Indirect Labor",KX6=HK6,"Fixed Overhead",KX6=IA6,"SG&amp;A",KX6=IQ6,"Depreciation",KX6=JG6,"Corporate Allocation",KX6=JW6,"Amortized Tooling"),"")</f>
        <v>Material</v>
      </c>
      <c r="LJ6" s="77" t="str" cm="1">
        <f t="array" ref="LJ6">IFERROR(_xlfn.IFS(KZ6=EZ6,"Material",KZ6=FP6,"Direct Labor",KZ6=GF6,"Variable Overhead",KZ6=GV6,"Indirect Labor",KZ6=HL6,"Fixed Overhead",KZ6=IB6,"SG&amp;A",KZ6=IR6,"Depreciation",KZ6=JH6,"Corporate Allocation",KZ6=JX6,"Amortized Tooling"),"")</f>
        <v>Variable Overhead</v>
      </c>
      <c r="LK6" s="77" t="str" cm="1">
        <f t="array" ref="LK6">IFERROR(_xlfn.IFS(LB6=FA6,"Material",LB6=FQ6,"Direct Labor",LB6=GG6,"Variable Overhead",LB6=GW6,"Indirect Labor",LB6=HM6,"Fixed Overhead",LB6=IC6,"SG&amp;A",LB6=IS6,"Depreciation",LB6=JI6,"Corporate Allocation",LB6=JY6,"Amortized Tooling"),"")</f>
        <v>SG&amp;A</v>
      </c>
      <c r="LL6" s="77" t="str" cm="1">
        <f t="array" ref="LL6">IFERROR(_xlfn.IFS(LD6=FB6,"Material",LD6=FR6,"Direct Labor",LD6=GH6,"Variable Overhead",LD6=GX6,"Indirect Labor",LD6=HN6,"Fixed Overhead",LD6=ID6,"SG&amp;A",LD6=IT6,"Depreciation",LD6=JJ6,"Corporate Allocation",LD6=JZ6,"Amortized Tooling"),"")</f>
        <v>SG&amp;A</v>
      </c>
      <c r="LM6" s="77" cm="1">
        <f t="array" ref="LM6">_xlfn.IFS(DL6="","",LN6="0% EBIT target","",LN6="12% EBIT target","",LN6="At quote",KJ6,LN6="2019",KK6,LN6="2020",KL6,LN6="2021",KM6,LN6="2022",KN6,LN6="2023",KO6,LN6="2024",KP6)</f>
        <v>-45.796573541821218</v>
      </c>
      <c r="LN6" s="77" t="str">
        <f t="shared" ref="LN6:LN16" si="170">MN6</f>
        <v>2022</v>
      </c>
      <c r="LO6" s="77" cm="1">
        <f t="array" ref="LO6">IFERROR(_xlfn.IFS(MN6="0% EBIT target","",MN6="12% EBIT target","",LN6="At quote",KR6,LN6="2019",KT6,LN6="2020",KV6,LN6="2021",KX6,LN6="2022",KZ6,LN6="2023",LB6,LN6="2024",LD6),"")</f>
        <v>-14.072210711032923</v>
      </c>
      <c r="LP6" s="78" t="str" cm="1">
        <f t="array" ref="LP6">IFERROR(_xlfn.IFS(MN6="0% EBIT target","",MN6="12% EBIT target","",LN6="At quote",LF6,LN6="2019",LG6,LN6="2020",LH6,LN6="2021",LI6,LN6="2022",LJ6,LN6="2023",LK6,LN6="2024",LL6),"")</f>
        <v>Variable Overhead</v>
      </c>
      <c r="LQ6" s="79">
        <f t="shared" si="11"/>
        <v>0.30727649740394325</v>
      </c>
      <c r="LR6" s="78"/>
      <c r="LS6" s="79">
        <f t="shared" si="12"/>
        <v>5.2158679805933561</v>
      </c>
      <c r="LT6" s="79">
        <f t="shared" si="12"/>
        <v>0.29839363553632764</v>
      </c>
      <c r="LU6" s="79">
        <f t="shared" si="12"/>
        <v>0.32691310306267218</v>
      </c>
      <c r="LV6" s="79">
        <f t="shared" si="12"/>
        <v>7.4998040924985146E-2</v>
      </c>
      <c r="LW6" s="79">
        <f t="shared" si="12"/>
        <v>4.1857717612782439E-2</v>
      </c>
      <c r="LX6" s="79">
        <f t="shared" si="12"/>
        <v>5.5040646636400833E-2</v>
      </c>
      <c r="LY6" s="79">
        <f t="shared" si="12"/>
        <v>3.7581528668629342E-2</v>
      </c>
      <c r="LZ6" s="79">
        <f t="shared" si="13"/>
        <v>4.3105498170128431E-3</v>
      </c>
      <c r="MA6" s="79" t="str">
        <f t="shared" si="14"/>
        <v/>
      </c>
      <c r="MB6" s="79">
        <f t="shared" ref="MB6:MB16" si="171">MAX(LS6,LT6,LU6,LV6,LW6,LX6,LY6)</f>
        <v>5.2158679805933561</v>
      </c>
      <c r="MC6" s="80">
        <f t="shared" si="15"/>
        <v>810.48622643694409</v>
      </c>
      <c r="MD6" s="80">
        <f t="shared" ref="MD6:MD16" si="172">IFERROR((1+LS6)*$U6,"")</f>
        <v>726.90015285616062</v>
      </c>
      <c r="ME6" s="80">
        <f t="shared" ref="ME6:ME16" si="173">IFERROR((1+LT6)*$AQ6,"")</f>
        <v>657.68121664774537</v>
      </c>
      <c r="MF6" s="80">
        <f t="shared" ref="MF6:MF16" si="174">IFERROR((1+LU6)*$BC6,"")</f>
        <v>655.33378527247748</v>
      </c>
      <c r="MG6" s="80">
        <f t="shared" ref="MG6:MG16" si="175">IFERROR((1+LV6)*$BO6,"")</f>
        <v>748.74049508952487</v>
      </c>
      <c r="MH6" s="80">
        <f t="shared" ref="MH6:MH16" si="176">IFERROR((1+LW6)*$CA6,"")</f>
        <v>1119.469515132756</v>
      </c>
      <c r="MI6" s="80">
        <f t="shared" ref="MI6:MI16" si="177">IFERROR((1+LX6)*$CM6,"")</f>
        <v>985.2056411809607</v>
      </c>
      <c r="MJ6" s="80">
        <f t="shared" ref="MJ6:MJ16" si="178">IFERROR((1+LY6)*$CY6,"")</f>
        <v>858.03560280426598</v>
      </c>
      <c r="MK6" s="80">
        <f t="shared" si="16"/>
        <v>813.97986769200327</v>
      </c>
      <c r="ML6" s="80" t="str">
        <f t="shared" si="16"/>
        <v/>
      </c>
      <c r="MM6" s="80">
        <f t="shared" ref="MM6:MM16" si="179">IF(MC6="","",MAX(MD6,ME6,MF6,MG6,MH6,MI6,MJ6,MK6,ML6))</f>
        <v>1119.469515132756</v>
      </c>
      <c r="MN6" s="80" t="str" cm="1">
        <f t="array" ref="MN6">_xlfn.IFS(MC6="","",MM6=0,"",MM6=MD6,"At quote",MM6=ME6,"2019",MM6=MF6,"2020",MM6=MG6,"2021",MM6=MH6,"2022",MM6=MI6,"2023",MM6=MJ6,"2024",MM6=MK6,"0% EBIT target",MM6=ML6,"12% EBIT target")</f>
        <v>2022</v>
      </c>
      <c r="MO6" s="81" t="str">
        <f t="shared" ref="MO6:MO16" si="180">IF(OR($MC6="",,$MD6=""),"",IF(MD6-$MC6&lt;0,"",IFERROR((MD6-$MC6)*$DL6,"")))</f>
        <v/>
      </c>
      <c r="MP6" s="81" t="str">
        <f t="shared" ref="MP6:MP16" si="181">IFERROR(MO6*$NI$3*$NJ$3,"")</f>
        <v/>
      </c>
      <c r="MQ6" s="80" t="str">
        <f t="shared" si="17"/>
        <v/>
      </c>
      <c r="MR6" s="80" t="str">
        <f t="shared" ref="MR6:MR16" si="182">IFERROR(MQ6*$NI$3*$NJ$3,"")</f>
        <v/>
      </c>
      <c r="MS6" s="80" t="str">
        <f t="shared" si="18"/>
        <v/>
      </c>
      <c r="MT6" s="80" t="str">
        <f t="shared" ref="MT6:MT16" si="183">IFERROR(MS6*$NI$3*$NJ$3,"")</f>
        <v/>
      </c>
      <c r="MU6" s="80" t="str">
        <f t="shared" si="19"/>
        <v/>
      </c>
      <c r="MV6" s="80" t="str">
        <f t="shared" ref="MV6:MV16" si="184">IFERROR(MU6*$NI$3*$NJ$3,"")</f>
        <v/>
      </c>
      <c r="MW6" s="80">
        <f t="shared" si="20"/>
        <v>46697880.353752837</v>
      </c>
      <c r="MX6" s="80">
        <f t="shared" ref="MX6:MX16" si="185">IFERROR(MW6*$NI$3*$NJ$3,"")</f>
        <v>11674470.088438209</v>
      </c>
      <c r="MY6" s="80">
        <f t="shared" si="21"/>
        <v>26406044.027922206</v>
      </c>
      <c r="MZ6" s="80">
        <f t="shared" ref="MZ6:MZ16" si="186">IFERROR(MY6*$NI$3*$NJ$3,"")</f>
        <v>6601511.0069805514</v>
      </c>
      <c r="NA6" s="80">
        <f t="shared" si="22"/>
        <v>7186327.4478988256</v>
      </c>
      <c r="NB6" s="80">
        <f t="shared" ref="NB6:NB16" si="187">IFERROR(NA6*$NI$3*$NJ$3,"")</f>
        <v>1796581.8619747064</v>
      </c>
      <c r="NC6" s="80">
        <f t="shared" ref="NC6:NC16" si="188">IFERROR((MK6-$MC6)*$DL6,"")</f>
        <v>528007.97744211322</v>
      </c>
      <c r="ND6" s="80">
        <f t="shared" ref="ND6:ND16" si="189">IFERROR(NC6*$NI$3*$NJ$3,"")</f>
        <v>132001.9943605283</v>
      </c>
      <c r="NE6" s="80" t="str">
        <f t="shared" si="23"/>
        <v/>
      </c>
      <c r="NF6" s="80" t="str">
        <f t="shared" ref="NF6:NF16" si="190">IFERROR(NE6*$NI$3*$NJ$3,"")</f>
        <v/>
      </c>
      <c r="NG6" s="80">
        <f t="shared" si="24"/>
        <v>308.98328869581189</v>
      </c>
      <c r="NH6" s="80">
        <f t="shared" si="25"/>
        <v>46697880.353752837</v>
      </c>
      <c r="NI6" s="80">
        <f t="shared" ref="NI6:NI16" si="191">IFERROR(NH6*$NI$3,"")</f>
        <v>23348940.176876418</v>
      </c>
      <c r="NJ6" s="80">
        <f t="shared" ref="NJ6:NJ16" si="192">IFERROR(NI6*$NJ$3,"")</f>
        <v>11674470.088438209</v>
      </c>
    </row>
    <row r="7" spans="1:374" x14ac:dyDescent="0.25">
      <c r="A7" s="71" t="s">
        <v>408</v>
      </c>
      <c r="B7" s="71"/>
      <c r="C7" s="71" t="s">
        <v>409</v>
      </c>
      <c r="D7" s="71" t="s">
        <v>410</v>
      </c>
      <c r="E7" s="87" t="s">
        <v>399</v>
      </c>
      <c r="F7" s="71" t="s">
        <v>399</v>
      </c>
      <c r="G7" s="71" t="s">
        <v>400</v>
      </c>
      <c r="H7" s="71" t="str">
        <f t="shared" si="26"/>
        <v>Santo Antonio CBA PSA All</v>
      </c>
      <c r="I7" s="71" t="s">
        <v>401</v>
      </c>
      <c r="J7" s="71" t="s">
        <v>402</v>
      </c>
      <c r="K7" s="71" t="s">
        <v>403</v>
      </c>
      <c r="L7" s="72">
        <v>0</v>
      </c>
      <c r="M7" s="72">
        <v>2019</v>
      </c>
      <c r="N7" s="73">
        <f>DATE(2026,12,31)</f>
        <v>46387</v>
      </c>
      <c r="O7" s="74">
        <v>169.85544032893193</v>
      </c>
      <c r="P7" s="74">
        <v>168.14961762824782</v>
      </c>
      <c r="Q7" s="74">
        <v>170.36726201089789</v>
      </c>
      <c r="R7" s="74">
        <v>173.57611306025123</v>
      </c>
      <c r="S7" s="74">
        <v>178.45491012389849</v>
      </c>
      <c r="T7" s="74">
        <v>177.12322302735248</v>
      </c>
      <c r="U7" s="74">
        <v>175.98292903860929</v>
      </c>
      <c r="V7" s="74">
        <v>175.74733720908503</v>
      </c>
      <c r="W7" s="74">
        <v>0</v>
      </c>
      <c r="X7" s="74">
        <v>23007.8</v>
      </c>
      <c r="Y7" s="74">
        <v>49173.35</v>
      </c>
      <c r="Z7" s="74">
        <v>71224.899999999994</v>
      </c>
      <c r="AA7" s="74">
        <v>92177.4</v>
      </c>
      <c r="AB7" s="74">
        <v>151495</v>
      </c>
      <c r="AC7" s="74">
        <v>159312</v>
      </c>
      <c r="AD7" s="74">
        <v>154914</v>
      </c>
      <c r="AE7" s="74">
        <v>148643</v>
      </c>
      <c r="AF7" s="74">
        <v>0</v>
      </c>
      <c r="AG7" s="74">
        <v>93.714050764954607</v>
      </c>
      <c r="AH7" s="74">
        <v>5.172398027292564</v>
      </c>
      <c r="AI7" s="74">
        <v>22.936643035302357</v>
      </c>
      <c r="AJ7" s="74"/>
      <c r="AK7" s="74">
        <v>3.0599054029619306</v>
      </c>
      <c r="AL7" s="74">
        <v>2.8351272989815413</v>
      </c>
      <c r="AM7" s="74">
        <v>0</v>
      </c>
      <c r="AN7" s="74">
        <v>1.982831250975404</v>
      </c>
      <c r="AO7" s="74">
        <v>0</v>
      </c>
      <c r="AP7" s="74">
        <v>0</v>
      </c>
      <c r="AQ7" s="74">
        <v>0</v>
      </c>
      <c r="AR7" s="74">
        <v>318</v>
      </c>
      <c r="AS7" s="74">
        <v>0</v>
      </c>
      <c r="AT7" s="74">
        <v>0</v>
      </c>
      <c r="AU7" s="74">
        <v>0</v>
      </c>
      <c r="AV7" s="74"/>
      <c r="AW7" s="74">
        <v>0</v>
      </c>
      <c r="AX7" s="74">
        <v>0</v>
      </c>
      <c r="AY7" s="74">
        <v>0</v>
      </c>
      <c r="AZ7" s="74">
        <v>0</v>
      </c>
      <c r="BA7" s="74">
        <v>0</v>
      </c>
      <c r="BB7" s="74">
        <v>217.2162192456905</v>
      </c>
      <c r="BC7" s="74">
        <v>217.2162192456905</v>
      </c>
      <c r="BD7" s="74">
        <v>15195</v>
      </c>
      <c r="BE7" s="74">
        <v>132.41324052366173</v>
      </c>
      <c r="BF7" s="74">
        <v>13.366624435529603</v>
      </c>
      <c r="BG7" s="74">
        <v>41.56416253108609</v>
      </c>
      <c r="BH7" s="74"/>
      <c r="BI7" s="74">
        <v>11.384068255535185</v>
      </c>
      <c r="BJ7" s="74">
        <v>28.329010858835144</v>
      </c>
      <c r="BK7" s="74">
        <v>0</v>
      </c>
      <c r="BL7" s="74">
        <v>6.4408625719986876</v>
      </c>
      <c r="BM7" s="74">
        <v>4.706725513887613</v>
      </c>
      <c r="BN7" s="74">
        <v>393.45488225972366</v>
      </c>
      <c r="BO7" s="74">
        <v>393.45488225972366</v>
      </c>
      <c r="BP7" s="74">
        <v>35969</v>
      </c>
      <c r="BQ7" s="74">
        <v>260.49129527153553</v>
      </c>
      <c r="BR7" s="74">
        <v>3.9787717281507713</v>
      </c>
      <c r="BS7" s="74">
        <v>37.43500916042774</v>
      </c>
      <c r="BT7" s="74"/>
      <c r="BU7" s="74">
        <v>5.6906483166706217</v>
      </c>
      <c r="BV7" s="74">
        <v>12.27075084682094</v>
      </c>
      <c r="BW7" s="74">
        <v>0</v>
      </c>
      <c r="BX7" s="74">
        <v>12.297377163281462</v>
      </c>
      <c r="BY7" s="74">
        <v>3.7545532765191565</v>
      </c>
      <c r="BZ7" s="74">
        <v>380.49832257210028</v>
      </c>
      <c r="CA7" s="74">
        <v>380.49832257210028</v>
      </c>
      <c r="CB7" s="74">
        <v>60402</v>
      </c>
      <c r="CC7" s="74">
        <v>254.50437805993568</v>
      </c>
      <c r="CD7" s="74">
        <v>4.9974989834773682</v>
      </c>
      <c r="CE7" s="74">
        <v>23.229180326128269</v>
      </c>
      <c r="CF7" s="74"/>
      <c r="CG7" s="74">
        <v>3.7937459178542521</v>
      </c>
      <c r="CH7" s="74">
        <v>6.3495706903282887</v>
      </c>
      <c r="CI7" s="74">
        <v>0</v>
      </c>
      <c r="CJ7" s="74">
        <v>9.6738052185028653</v>
      </c>
      <c r="CK7" s="74">
        <v>3.4458533478102553</v>
      </c>
      <c r="CL7" s="74">
        <v>396.14817001180637</v>
      </c>
      <c r="CM7" s="74">
        <v>396.14817001180637</v>
      </c>
      <c r="CN7" s="74">
        <v>67760</v>
      </c>
      <c r="CO7" s="74">
        <v>264.71220614373715</v>
      </c>
      <c r="CP7" s="74">
        <v>6.9373303463443419</v>
      </c>
      <c r="CQ7" s="74">
        <v>28.533919764137828</v>
      </c>
      <c r="CR7" s="74"/>
      <c r="CS7" s="74">
        <v>4.0326530580016389</v>
      </c>
      <c r="CT7" s="74">
        <v>5.4367727385527038</v>
      </c>
      <c r="CU7" s="74">
        <v>0</v>
      </c>
      <c r="CV7" s="74">
        <v>10.572761049989163</v>
      </c>
      <c r="CW7" s="74">
        <v>2.393764906260329</v>
      </c>
      <c r="CX7" s="74">
        <v>382.51043969016621</v>
      </c>
      <c r="CY7" s="74">
        <v>382.51043969016621</v>
      </c>
      <c r="CZ7" s="74">
        <v>48284</v>
      </c>
      <c r="DA7" s="74">
        <v>260.40593469499652</v>
      </c>
      <c r="DB7" s="74">
        <v>9.1638847910904673</v>
      </c>
      <c r="DC7" s="74">
        <v>34.70272385269584</v>
      </c>
      <c r="DD7" s="74"/>
      <c r="DE7" s="74">
        <v>6.496747285135716</v>
      </c>
      <c r="DF7" s="74">
        <v>8.4105129392876172</v>
      </c>
      <c r="DG7" s="74">
        <v>0</v>
      </c>
      <c r="DH7" s="74">
        <v>10.559417820715719</v>
      </c>
      <c r="DI7" s="74">
        <v>3.1830790802061544</v>
      </c>
      <c r="DJ7" s="74">
        <v>371.93611525621611</v>
      </c>
      <c r="DK7" s="74">
        <v>371.93611525621611</v>
      </c>
      <c r="DL7" s="74">
        <v>44752</v>
      </c>
      <c r="DM7" s="75">
        <f t="shared" si="0"/>
        <v>16644885.029946184</v>
      </c>
      <c r="DN7" s="75">
        <f t="shared" si="1"/>
        <v>2033225.576916306</v>
      </c>
      <c r="DO7" s="76">
        <f t="shared" si="2"/>
        <v>0.12215317638171033</v>
      </c>
      <c r="DP7" s="74">
        <v>245.56508224259443</v>
      </c>
      <c r="DQ7" s="74">
        <v>14.24281513356147</v>
      </c>
      <c r="DR7" s="74">
        <v>42.696816570317871</v>
      </c>
      <c r="DS7" s="74"/>
      <c r="DT7" s="74">
        <v>7.443617822415364</v>
      </c>
      <c r="DU7" s="74">
        <v>8.5038427112550163</v>
      </c>
      <c r="DV7" s="74">
        <v>0</v>
      </c>
      <c r="DW7" s="74">
        <v>10.20885871380522</v>
      </c>
      <c r="DX7" s="74">
        <v>-2.158095827353999</v>
      </c>
      <c r="DY7" s="74"/>
      <c r="DZ7" s="74">
        <v>319.16252236652235</v>
      </c>
      <c r="EA7" s="74">
        <v>34650</v>
      </c>
      <c r="EB7" s="74"/>
      <c r="EC7" s="74"/>
      <c r="ED7" s="74"/>
      <c r="EE7" s="74"/>
      <c r="EF7" s="74"/>
      <c r="EG7" s="74"/>
      <c r="EH7" s="74"/>
      <c r="EI7" s="74"/>
      <c r="EJ7" s="74"/>
      <c r="EK7" s="74">
        <v>297.72000000000003</v>
      </c>
      <c r="EL7" s="74">
        <v>36834</v>
      </c>
      <c r="EM7" s="74" t="s">
        <v>404</v>
      </c>
      <c r="EN7" s="77">
        <f t="shared" si="27"/>
        <v>93.714050764954607</v>
      </c>
      <c r="EO7" s="77">
        <f t="shared" si="28"/>
        <v>0</v>
      </c>
      <c r="EP7" s="77">
        <f t="shared" si="29"/>
        <v>132.41324052366173</v>
      </c>
      <c r="EQ7" s="77">
        <f t="shared" si="30"/>
        <v>260.49129527153553</v>
      </c>
      <c r="ER7" s="77">
        <f t="shared" si="31"/>
        <v>254.50437805993568</v>
      </c>
      <c r="ES7" s="77">
        <f t="shared" si="32"/>
        <v>264.71220614373715</v>
      </c>
      <c r="ET7" s="77">
        <f t="shared" si="33"/>
        <v>260.40593469499652</v>
      </c>
      <c r="EU7" s="77">
        <f t="shared" si="34"/>
        <v>245.56508224259443</v>
      </c>
      <c r="EV7" s="77">
        <f t="shared" si="35"/>
        <v>-151.85103147763982</v>
      </c>
      <c r="EW7" s="77">
        <f t="shared" si="36"/>
        <v>-245.56508224259443</v>
      </c>
      <c r="EX7" s="77">
        <f t="shared" si="37"/>
        <v>-113.1518417189327</v>
      </c>
      <c r="EY7" s="77">
        <f t="shared" si="38"/>
        <v>0</v>
      </c>
      <c r="EZ7" s="77">
        <f t="shared" si="39"/>
        <v>0</v>
      </c>
      <c r="FA7" s="77">
        <f t="shared" si="40"/>
        <v>0</v>
      </c>
      <c r="FB7" s="77">
        <f t="shared" si="41"/>
        <v>0</v>
      </c>
      <c r="FC7" s="77"/>
      <c r="FD7" s="77">
        <f t="shared" si="42"/>
        <v>5.172398027292564</v>
      </c>
      <c r="FE7" s="77">
        <f t="shared" si="43"/>
        <v>0</v>
      </c>
      <c r="FF7" s="77">
        <f t="shared" si="44"/>
        <v>13.366624435529603</v>
      </c>
      <c r="FG7" s="77">
        <f t="shared" si="45"/>
        <v>3.9787717281507713</v>
      </c>
      <c r="FH7" s="77">
        <f t="shared" si="46"/>
        <v>4.9974989834773682</v>
      </c>
      <c r="FI7" s="77">
        <f t="shared" si="47"/>
        <v>6.9373303463443419</v>
      </c>
      <c r="FJ7" s="77">
        <f t="shared" si="48"/>
        <v>9.1638847910904673</v>
      </c>
      <c r="FK7" s="77">
        <f t="shared" si="49"/>
        <v>14.24281513356147</v>
      </c>
      <c r="FL7" s="77">
        <f t="shared" si="50"/>
        <v>-9.0704171062689056</v>
      </c>
      <c r="FM7" s="77">
        <f t="shared" si="51"/>
        <v>-14.24281513356147</v>
      </c>
      <c r="FN7" s="77">
        <f t="shared" si="52"/>
        <v>-0.87619069803186633</v>
      </c>
      <c r="FO7" s="77">
        <f t="shared" si="53"/>
        <v>-10.264043405410698</v>
      </c>
      <c r="FP7" s="77">
        <f t="shared" si="54"/>
        <v>-9.2453161500841006</v>
      </c>
      <c r="FQ7" s="77">
        <f t="shared" si="55"/>
        <v>-7.3054847872171278</v>
      </c>
      <c r="FR7" s="77">
        <f t="shared" si="56"/>
        <v>-5.0789303424710024</v>
      </c>
      <c r="FS7" s="77"/>
      <c r="FT7" s="77">
        <f t="shared" si="57"/>
        <v>22.936643035302357</v>
      </c>
      <c r="FU7" s="77">
        <f t="shared" si="58"/>
        <v>0</v>
      </c>
      <c r="FV7" s="77">
        <f t="shared" si="59"/>
        <v>41.56416253108609</v>
      </c>
      <c r="FW7" s="77">
        <f t="shared" si="60"/>
        <v>37.43500916042774</v>
      </c>
      <c r="FX7" s="77">
        <f t="shared" si="61"/>
        <v>23.229180326128269</v>
      </c>
      <c r="FY7" s="77">
        <f t="shared" si="62"/>
        <v>28.533919764137828</v>
      </c>
      <c r="FZ7" s="77">
        <f t="shared" si="63"/>
        <v>34.70272385269584</v>
      </c>
      <c r="GA7" s="77">
        <f t="shared" si="64"/>
        <v>42.696816570317871</v>
      </c>
      <c r="GB7" s="77">
        <f t="shared" si="65"/>
        <v>-19.760173535015515</v>
      </c>
      <c r="GC7" s="77">
        <f t="shared" si="66"/>
        <v>-42.696816570317871</v>
      </c>
      <c r="GD7" s="77">
        <f t="shared" si="67"/>
        <v>-1.132654039231781</v>
      </c>
      <c r="GE7" s="77">
        <f t="shared" si="68"/>
        <v>-5.2618074098901317</v>
      </c>
      <c r="GF7" s="77">
        <f t="shared" si="69"/>
        <v>-19.467636244189602</v>
      </c>
      <c r="GG7" s="77">
        <f t="shared" si="70"/>
        <v>-14.162896806180044</v>
      </c>
      <c r="GH7" s="77">
        <f t="shared" si="71"/>
        <v>-7.9940927176220313</v>
      </c>
      <c r="GI7" s="77"/>
      <c r="GJ7" s="77" t="str">
        <f t="shared" si="72"/>
        <v/>
      </c>
      <c r="GK7" s="77" t="str">
        <f t="shared" si="73"/>
        <v/>
      </c>
      <c r="GL7" s="77" t="str">
        <f t="shared" si="74"/>
        <v/>
      </c>
      <c r="GM7" s="77" t="str">
        <f t="shared" si="75"/>
        <v/>
      </c>
      <c r="GN7" s="77" t="str">
        <f t="shared" si="76"/>
        <v/>
      </c>
      <c r="GO7" s="77" t="str">
        <f t="shared" si="77"/>
        <v/>
      </c>
      <c r="GP7" s="77" t="str">
        <f t="shared" si="78"/>
        <v/>
      </c>
      <c r="GQ7" s="77" t="str">
        <f t="shared" si="79"/>
        <v/>
      </c>
      <c r="GR7" s="77" t="str">
        <f t="shared" si="80"/>
        <v/>
      </c>
      <c r="GS7" s="77" t="str">
        <f t="shared" si="81"/>
        <v/>
      </c>
      <c r="GT7" s="77" t="str">
        <f t="shared" si="82"/>
        <v/>
      </c>
      <c r="GU7" s="77" t="str">
        <f t="shared" si="83"/>
        <v/>
      </c>
      <c r="GV7" s="77" t="str">
        <f t="shared" si="84"/>
        <v/>
      </c>
      <c r="GW7" s="77" t="str">
        <f t="shared" si="85"/>
        <v/>
      </c>
      <c r="GX7" s="77" t="str">
        <f t="shared" si="86"/>
        <v/>
      </c>
      <c r="GY7" s="77"/>
      <c r="GZ7" s="77">
        <f t="shared" si="87"/>
        <v>3.0599054029619306</v>
      </c>
      <c r="HA7" s="77">
        <f t="shared" si="88"/>
        <v>0</v>
      </c>
      <c r="HB7" s="77">
        <f t="shared" si="89"/>
        <v>11.384068255535185</v>
      </c>
      <c r="HC7" s="77">
        <f t="shared" si="90"/>
        <v>5.6906483166706217</v>
      </c>
      <c r="HD7" s="77">
        <f t="shared" si="91"/>
        <v>3.7937459178542521</v>
      </c>
      <c r="HE7" s="77">
        <f t="shared" si="92"/>
        <v>4.0326530580016389</v>
      </c>
      <c r="HF7" s="77">
        <f t="shared" si="93"/>
        <v>6.496747285135716</v>
      </c>
      <c r="HG7" s="77">
        <f t="shared" si="94"/>
        <v>7.443617822415364</v>
      </c>
      <c r="HH7" s="77">
        <f t="shared" si="95"/>
        <v>-4.3837124194534329</v>
      </c>
      <c r="HI7" s="77">
        <f t="shared" si="96"/>
        <v>-7.443617822415364</v>
      </c>
      <c r="HJ7" s="77">
        <f t="shared" si="97"/>
        <v>0</v>
      </c>
      <c r="HK7" s="77">
        <f t="shared" si="98"/>
        <v>-1.7529695057447423</v>
      </c>
      <c r="HL7" s="77">
        <f t="shared" si="99"/>
        <v>-3.6498719045611119</v>
      </c>
      <c r="HM7" s="77">
        <f t="shared" si="100"/>
        <v>-3.4109647644137251</v>
      </c>
      <c r="HN7" s="77">
        <f t="shared" si="101"/>
        <v>-0.94687053727964798</v>
      </c>
      <c r="HO7" s="77"/>
      <c r="HP7" s="77">
        <f t="shared" si="102"/>
        <v>0</v>
      </c>
      <c r="HQ7" s="77">
        <f t="shared" si="103"/>
        <v>0</v>
      </c>
      <c r="HR7" s="77">
        <f t="shared" si="104"/>
        <v>4.706725513887613</v>
      </c>
      <c r="HS7" s="77">
        <f t="shared" si="105"/>
        <v>3.7545532765191565</v>
      </c>
      <c r="HT7" s="77">
        <f t="shared" si="106"/>
        <v>3.4458533478102553</v>
      </c>
      <c r="HU7" s="77">
        <f t="shared" si="107"/>
        <v>2.393764906260329</v>
      </c>
      <c r="HV7" s="77">
        <f t="shared" si="108"/>
        <v>3.1830790802061544</v>
      </c>
      <c r="HW7" s="77">
        <f t="shared" si="109"/>
        <v>-2.158095827353999</v>
      </c>
      <c r="HX7" s="77">
        <f t="shared" si="110"/>
        <v>0</v>
      </c>
      <c r="HY7" s="77">
        <f t="shared" si="111"/>
        <v>0</v>
      </c>
      <c r="HZ7" s="77">
        <f t="shared" si="112"/>
        <v>0</v>
      </c>
      <c r="IA7" s="77">
        <f t="shared" si="113"/>
        <v>0</v>
      </c>
      <c r="IB7" s="77">
        <f t="shared" si="114"/>
        <v>0</v>
      </c>
      <c r="IC7" s="77">
        <f t="shared" si="115"/>
        <v>0</v>
      </c>
      <c r="ID7" s="77">
        <f t="shared" ref="ID7:ID16" si="193">IF(OR($DI7="",$DX7=""),"",MIN(IFERROR(HV7-$HW7,0),0))</f>
        <v>0</v>
      </c>
      <c r="IE7" s="77"/>
      <c r="IF7" s="77">
        <f t="shared" si="116"/>
        <v>2.8351272989815413</v>
      </c>
      <c r="IG7" s="77">
        <f t="shared" si="117"/>
        <v>0</v>
      </c>
      <c r="IH7" s="77">
        <f t="shared" si="118"/>
        <v>28.329010858835144</v>
      </c>
      <c r="II7" s="77">
        <f t="shared" si="119"/>
        <v>12.27075084682094</v>
      </c>
      <c r="IJ7" s="77">
        <f t="shared" si="120"/>
        <v>6.3495706903282887</v>
      </c>
      <c r="IK7" s="77">
        <f t="shared" si="121"/>
        <v>5.4367727385527038</v>
      </c>
      <c r="IL7" s="77">
        <f t="shared" si="122"/>
        <v>8.4105129392876172</v>
      </c>
      <c r="IM7" s="77">
        <f t="shared" si="123"/>
        <v>8.5038427112550163</v>
      </c>
      <c r="IN7" s="77">
        <f t="shared" si="124"/>
        <v>-5.6687154122734746</v>
      </c>
      <c r="IO7" s="77">
        <f t="shared" si="125"/>
        <v>-8.5038427112550163</v>
      </c>
      <c r="IP7" s="77">
        <f t="shared" si="126"/>
        <v>0</v>
      </c>
      <c r="IQ7" s="77">
        <f t="shared" si="127"/>
        <v>0</v>
      </c>
      <c r="IR7" s="77">
        <f t="shared" si="128"/>
        <v>-2.1542720209267276</v>
      </c>
      <c r="IS7" s="77">
        <f t="shared" si="129"/>
        <v>-3.0670699727023125</v>
      </c>
      <c r="IT7" s="77">
        <f t="shared" si="130"/>
        <v>-9.3329771967399111E-2</v>
      </c>
      <c r="IU7" s="77"/>
      <c r="IV7" s="77">
        <f t="shared" si="131"/>
        <v>1.982831250975404</v>
      </c>
      <c r="IW7" s="77">
        <f t="shared" si="132"/>
        <v>0</v>
      </c>
      <c r="IX7" s="77">
        <f t="shared" si="133"/>
        <v>6.4408625719986876</v>
      </c>
      <c r="IY7" s="77">
        <f t="shared" si="134"/>
        <v>12.297377163281462</v>
      </c>
      <c r="IZ7" s="77">
        <f t="shared" si="135"/>
        <v>9.6738052185028653</v>
      </c>
      <c r="JA7" s="77">
        <f t="shared" si="136"/>
        <v>10.572761049989163</v>
      </c>
      <c r="JB7" s="77">
        <f t="shared" si="137"/>
        <v>10.559417820715719</v>
      </c>
      <c r="JC7" s="77">
        <f t="shared" si="138"/>
        <v>10.20885871380522</v>
      </c>
      <c r="JD7" s="77">
        <f t="shared" si="139"/>
        <v>-8.2260274628298156</v>
      </c>
      <c r="JE7" s="77">
        <f t="shared" si="140"/>
        <v>-10.20885871380522</v>
      </c>
      <c r="JF7" s="77">
        <f t="shared" si="141"/>
        <v>-3.7679961418065329</v>
      </c>
      <c r="JG7" s="77">
        <f t="shared" si="142"/>
        <v>0</v>
      </c>
      <c r="JH7" s="77">
        <f t="shared" si="143"/>
        <v>-0.53505349530235513</v>
      </c>
      <c r="JI7" s="77">
        <f t="shared" si="144"/>
        <v>0</v>
      </c>
      <c r="JJ7" s="77">
        <f t="shared" si="145"/>
        <v>0</v>
      </c>
      <c r="JK7" s="77"/>
      <c r="JL7" s="77">
        <f t="shared" si="146"/>
        <v>0</v>
      </c>
      <c r="JM7" s="77">
        <f t="shared" si="147"/>
        <v>0</v>
      </c>
      <c r="JN7" s="77">
        <f t="shared" si="148"/>
        <v>0</v>
      </c>
      <c r="JO7" s="77">
        <f t="shared" si="149"/>
        <v>0</v>
      </c>
      <c r="JP7" s="77">
        <f t="shared" si="150"/>
        <v>0</v>
      </c>
      <c r="JQ7" s="77">
        <f t="shared" si="151"/>
        <v>0</v>
      </c>
      <c r="JR7" s="77">
        <f t="shared" si="152"/>
        <v>0</v>
      </c>
      <c r="JS7" s="77">
        <f t="shared" si="153"/>
        <v>0</v>
      </c>
      <c r="JT7" s="77">
        <f t="shared" si="154"/>
        <v>0</v>
      </c>
      <c r="JU7" s="77">
        <f t="shared" si="155"/>
        <v>0</v>
      </c>
      <c r="JV7" s="77">
        <f t="shared" si="156"/>
        <v>0</v>
      </c>
      <c r="JW7" s="77">
        <f t="shared" si="157"/>
        <v>0</v>
      </c>
      <c r="JX7" s="77">
        <f t="shared" si="158"/>
        <v>0</v>
      </c>
      <c r="JY7" s="77">
        <f t="shared" si="159"/>
        <v>0</v>
      </c>
      <c r="JZ7" s="77">
        <f t="shared" si="160"/>
        <v>0</v>
      </c>
      <c r="KA7" s="77"/>
      <c r="KB7" s="77">
        <f t="shared" si="161"/>
        <v>129.70095578046841</v>
      </c>
      <c r="KC7" s="77">
        <f t="shared" si="3"/>
        <v>0</v>
      </c>
      <c r="KD7" s="77">
        <f t="shared" si="3"/>
        <v>238.20469469053407</v>
      </c>
      <c r="KE7" s="77">
        <f t="shared" si="3"/>
        <v>335.91840576340621</v>
      </c>
      <c r="KF7" s="77">
        <f t="shared" si="3"/>
        <v>305.994032544037</v>
      </c>
      <c r="KG7" s="77">
        <f t="shared" si="3"/>
        <v>322.61940800702314</v>
      </c>
      <c r="KH7" s="77">
        <f t="shared" si="3"/>
        <v>332.92230046412806</v>
      </c>
      <c r="KI7" s="77">
        <f t="shared" si="3"/>
        <v>326.5029373665954</v>
      </c>
      <c r="KJ7" s="77">
        <f t="shared" si="3"/>
        <v>-198.960077413481</v>
      </c>
      <c r="KK7" s="77">
        <f t="shared" si="4"/>
        <v>-328.66103319394938</v>
      </c>
      <c r="KL7" s="77">
        <f t="shared" si="4"/>
        <v>-118.92868259800288</v>
      </c>
      <c r="KM7" s="77">
        <f t="shared" si="4"/>
        <v>-17.278820321045572</v>
      </c>
      <c r="KN7" s="77">
        <f t="shared" si="4"/>
        <v>-35.052149815063899</v>
      </c>
      <c r="KO7" s="77">
        <f t="shared" si="4"/>
        <v>-27.946416330513209</v>
      </c>
      <c r="KP7" s="77">
        <f t="shared" si="4"/>
        <v>-14.113223369340082</v>
      </c>
      <c r="KQ7" s="78"/>
      <c r="KR7" s="77">
        <f t="shared" si="162"/>
        <v>-151.85103147763982</v>
      </c>
      <c r="KS7" s="77">
        <f t="shared" si="163"/>
        <v>0.76322362481826622</v>
      </c>
      <c r="KT7" s="77">
        <f t="shared" si="5"/>
        <v>-245.56508224259443</v>
      </c>
      <c r="KU7" s="79">
        <f t="shared" si="164"/>
        <v>0.74716822939481731</v>
      </c>
      <c r="KV7" s="77">
        <f t="shared" si="6"/>
        <v>-113.1518417189327</v>
      </c>
      <c r="KW7" s="79">
        <f t="shared" si="165"/>
        <v>0.95142600798331567</v>
      </c>
      <c r="KX7" s="77">
        <f t="shared" si="7"/>
        <v>-10.264043405410698</v>
      </c>
      <c r="KY7" s="79">
        <f t="shared" si="166"/>
        <v>0.59402454650848535</v>
      </c>
      <c r="KZ7" s="77">
        <f t="shared" si="8"/>
        <v>-19.467636244189602</v>
      </c>
      <c r="LA7" s="79">
        <f t="shared" si="167"/>
        <v>0.55539064927262327</v>
      </c>
      <c r="LB7" s="77">
        <f t="shared" si="9"/>
        <v>-14.162896806180044</v>
      </c>
      <c r="LC7" s="79">
        <f t="shared" si="168"/>
        <v>0.50678758373453159</v>
      </c>
      <c r="LD7" s="77">
        <f t="shared" si="10"/>
        <v>-7.9940927176220313</v>
      </c>
      <c r="LE7" s="79">
        <f t="shared" si="169"/>
        <v>0.56642572064639729</v>
      </c>
      <c r="LF7" s="77" t="str" cm="1">
        <f t="array" ref="LF7">IFERROR(_xlfn.IFS(KR7=EV7,"Material",KR7=FL7,"Direct Labor",KR7=GB7,"Variable Overhead",KR7=GR7,"Indirect Labor",KR7=HH7,"Fixed Overhead",KR7=HX7,"SG&amp;A",KR7=IN7,"Depreciation",KR7=JD7,"Corporate allocation",KR7=JT7,"Amortized Tooling"),"")</f>
        <v>Material</v>
      </c>
      <c r="LG7" s="77" t="str" cm="1">
        <f t="array" ref="LG7">IFERROR(_xlfn.IFS(KT7=EW7,"Material",KT7=FM7,"Direct Labor",KT7=GC7,"Variable Overhead",KT7=GS7,"Indirect Labor",KT7=HI7,"Fixed Overhead",KT7=HY7,"SG&amp;A",KT7=IO7,"Depreciation",KT7=JE7,"Corporate Allocation",KT7=JU7,"Amortized Tooling"),"")</f>
        <v>Material</v>
      </c>
      <c r="LH7" s="77" t="str" cm="1">
        <f t="array" ref="LH7">IFERROR(_xlfn.IFS(KV7=EX7,"Material",KV7=FN7,"Direct Labor",KV7=GD7,"Variable Overhead",KV7=GT7,"Indirect Labor",KV7=HJ7,"Fixed Overhead",KV7=HZ7,"SG&amp;A",KV7=IP7,"Depreciation",KV7=JF7,"Corporate Allocation",KV7=JV7,"Amortized Tooling"),"")</f>
        <v>Material</v>
      </c>
      <c r="LI7" s="77" t="str" cm="1">
        <f t="array" ref="LI7">IFERROR(_xlfn.IFS(KX7=EY7,"Material",KX7=FO7,"Direct Labor",KX7=GE7,"Variable Overhead",KX7=GU7,"Indirect Labor",KX7=HK7,"Fixed Overhead",KX7=IA7,"SG&amp;A",KX7=IQ7,"Depreciation",KX7=JG7,"Corporate Allocation",KX7=JW7,"Amortized Tooling"),"")</f>
        <v>Direct Labor</v>
      </c>
      <c r="LJ7" s="77" t="str" cm="1">
        <f t="array" ref="LJ7">IFERROR(_xlfn.IFS(KZ7=EZ7,"Material",KZ7=FP7,"Direct Labor",KZ7=GF7,"Variable Overhead",KZ7=GV7,"Indirect Labor",KZ7=HL7,"Fixed Overhead",KZ7=IB7,"SG&amp;A",KZ7=IR7,"Depreciation",KZ7=JH7,"Corporate Allocation",KZ7=JX7,"Amortized Tooling"),"")</f>
        <v>Variable Overhead</v>
      </c>
      <c r="LK7" s="77" t="str" cm="1">
        <f t="array" ref="LK7">IFERROR(_xlfn.IFS(LB7=FA7,"Material",LB7=FQ7,"Direct Labor",LB7=GG7,"Variable Overhead",LB7=GW7,"Indirect Labor",LB7=HM7,"Fixed Overhead",LB7=IC7,"SG&amp;A",LB7=IS7,"Depreciation",LB7=JI7,"Corporate Allocation",LB7=JY7,"Amortized Tooling"),"")</f>
        <v>Variable Overhead</v>
      </c>
      <c r="LL7" s="77" t="str" cm="1">
        <f t="array" ref="LL7">IFERROR(_xlfn.IFS(LD7=FB7,"Material",LD7=FR7,"Direct Labor",LD7=GH7,"Variable Overhead",LD7=GX7,"Indirect Labor",LD7=HN7,"Fixed Overhead",LD7=ID7,"SG&amp;A",LD7=IT7,"Depreciation",LD7=JJ7,"Corporate Allocation",LD7=JZ7,"Amortized Tooling"),"")</f>
        <v>Variable Overhead</v>
      </c>
      <c r="LM7" s="77" cm="1">
        <f t="array" ref="LM7">_xlfn.IFS(DL7="","",LN7="0% EBIT target","",LN7="12% EBIT target","",LN7="At quote",KJ7,LN7="2019",KK7,LN7="2020",KL7,LN7="2021",KM7,LN7="2022",KN7,LN7="2023",KO7,LN7="2024",KP7)</f>
        <v>-198.960077413481</v>
      </c>
      <c r="LN7" s="77" t="str">
        <f t="shared" si="170"/>
        <v>At quote</v>
      </c>
      <c r="LO7" s="77" cm="1">
        <f t="array" ref="LO7">IFERROR(_xlfn.IFS(MN7="0% EBIT target","",MN7="12% EBIT target","",LN7="At quote",KR7,LN7="2019",KT7,LN7="2020",KV7,LN7="2021",KX7,LN7="2022",KZ7,LN7="2023",LB7,LN7="2024",LD7),"")</f>
        <v>-151.85103147763982</v>
      </c>
      <c r="LP7" s="78" t="str" cm="1">
        <f t="array" ref="LP7">IFERROR(_xlfn.IFS(MN7="0% EBIT target","",MN7="12% EBIT target","",LN7="At quote",LF7,LN7="2019",LG7,LN7="2020",LH7,LN7="2021",LI7,LN7="2022",LJ7,LN7="2023",LK7,LN7="2024",LL7),"")</f>
        <v>Material</v>
      </c>
      <c r="LQ7" s="79">
        <f t="shared" si="11"/>
        <v>0.76322362481826622</v>
      </c>
      <c r="LR7" s="78"/>
      <c r="LS7" s="79">
        <f t="shared" si="12"/>
        <v>1.53399083465692</v>
      </c>
      <c r="LT7" s="79" t="str">
        <f t="shared" si="12"/>
        <v/>
      </c>
      <c r="LU7" s="79">
        <f t="shared" si="12"/>
        <v>0.49927094322179599</v>
      </c>
      <c r="LV7" s="79">
        <f t="shared" si="12"/>
        <v>5.1437551573805029E-2</v>
      </c>
      <c r="LW7" s="79">
        <f t="shared" si="12"/>
        <v>0.11455174312923695</v>
      </c>
      <c r="LX7" s="79">
        <f t="shared" si="12"/>
        <v>8.6623481529371729E-2</v>
      </c>
      <c r="LY7" s="79">
        <f t="shared" si="12"/>
        <v>4.2391943554591541E-2</v>
      </c>
      <c r="LZ7" s="79" t="str">
        <f t="shared" si="13"/>
        <v/>
      </c>
      <c r="MA7" s="79" t="str">
        <f t="shared" si="14"/>
        <v/>
      </c>
      <c r="MB7" s="79">
        <f t="shared" si="171"/>
        <v>1.53399083465692</v>
      </c>
      <c r="MC7" s="80">
        <f t="shared" si="15"/>
        <v>371.93611525621611</v>
      </c>
      <c r="MD7" s="80">
        <f t="shared" si="172"/>
        <v>445.93912923991502</v>
      </c>
      <c r="ME7" s="80" t="str">
        <f t="shared" si="173"/>
        <v/>
      </c>
      <c r="MF7" s="80">
        <f t="shared" si="174"/>
        <v>325.66596591155883</v>
      </c>
      <c r="MG7" s="80">
        <f t="shared" si="175"/>
        <v>413.69323805792357</v>
      </c>
      <c r="MH7" s="80">
        <f t="shared" si="176"/>
        <v>424.08506868048505</v>
      </c>
      <c r="MI7" s="80">
        <f t="shared" si="177"/>
        <v>430.46390369971851</v>
      </c>
      <c r="MJ7" s="80">
        <f t="shared" si="178"/>
        <v>398.72580065855374</v>
      </c>
      <c r="MK7" s="80" t="str">
        <f t="shared" si="16"/>
        <v/>
      </c>
      <c r="ML7" s="80" t="str">
        <f t="shared" si="16"/>
        <v/>
      </c>
      <c r="MM7" s="80">
        <f t="shared" si="179"/>
        <v>445.93912923991502</v>
      </c>
      <c r="MN7" s="80" t="str" cm="1">
        <f t="array" ref="MN7">_xlfn.IFS(MC7="","",MM7=0,"",MM7=MD7,"At quote",MM7=ME7,"2019",MM7=MF7,"2020",MM7=MG7,"2021",MM7=MH7,"2022",MM7=MI7,"2023",MM7=MJ7,"2024",MM7=MK7,"0% EBIT target",MM7=ML7,"12% EBIT target")</f>
        <v>At quote</v>
      </c>
      <c r="MO7" s="81">
        <f t="shared" si="180"/>
        <v>3311782.8817984937</v>
      </c>
      <c r="MP7" s="81">
        <f t="shared" si="181"/>
        <v>827945.72044962342</v>
      </c>
      <c r="MQ7" s="80" t="str">
        <f t="shared" si="17"/>
        <v/>
      </c>
      <c r="MR7" s="80" t="str">
        <f t="shared" si="182"/>
        <v/>
      </c>
      <c r="MS7" s="80" t="str">
        <f t="shared" si="18"/>
        <v/>
      </c>
      <c r="MT7" s="80" t="str">
        <f t="shared" si="183"/>
        <v/>
      </c>
      <c r="MU7" s="80">
        <f t="shared" si="19"/>
        <v>1868714.759622012</v>
      </c>
      <c r="MV7" s="80">
        <f t="shared" si="184"/>
        <v>467178.68990550301</v>
      </c>
      <c r="MW7" s="80">
        <f t="shared" si="20"/>
        <v>2333769.9636428836</v>
      </c>
      <c r="MX7" s="80">
        <f t="shared" si="185"/>
        <v>583442.4909107209</v>
      </c>
      <c r="MY7" s="80">
        <f t="shared" si="21"/>
        <v>2619235.5884236195</v>
      </c>
      <c r="MZ7" s="80">
        <f t="shared" si="186"/>
        <v>654808.89710590488</v>
      </c>
      <c r="NA7" s="80">
        <f t="shared" si="22"/>
        <v>1198892.0011254135</v>
      </c>
      <c r="NB7" s="80">
        <f t="shared" si="187"/>
        <v>299723.00028135336</v>
      </c>
      <c r="NC7" s="80" t="str">
        <f t="shared" si="188"/>
        <v/>
      </c>
      <c r="ND7" s="80" t="str">
        <f t="shared" si="189"/>
        <v/>
      </c>
      <c r="NE7" s="80" t="str">
        <f t="shared" si="23"/>
        <v/>
      </c>
      <c r="NF7" s="80" t="str">
        <f t="shared" si="190"/>
        <v/>
      </c>
      <c r="NG7" s="80">
        <f t="shared" si="24"/>
        <v>74.003013983698906</v>
      </c>
      <c r="NH7" s="80">
        <f t="shared" si="25"/>
        <v>3311782.8817984937</v>
      </c>
      <c r="NI7" s="80">
        <f t="shared" si="191"/>
        <v>1655891.4408992468</v>
      </c>
      <c r="NJ7" s="80">
        <f t="shared" si="192"/>
        <v>827945.72044962342</v>
      </c>
    </row>
    <row r="8" spans="1:374" x14ac:dyDescent="0.25">
      <c r="A8" s="71" t="s">
        <v>411</v>
      </c>
      <c r="B8" s="82"/>
      <c r="C8" s="82" t="s">
        <v>412</v>
      </c>
      <c r="D8" s="82" t="s">
        <v>398</v>
      </c>
      <c r="E8" s="83" t="s">
        <v>399</v>
      </c>
      <c r="F8" s="82" t="s">
        <v>399</v>
      </c>
      <c r="G8" s="82" t="s">
        <v>406</v>
      </c>
      <c r="H8" s="71" t="str">
        <f t="shared" si="26"/>
        <v>Sao Jose Dos Pinhais CBA BBB All</v>
      </c>
      <c r="I8" s="82" t="s">
        <v>401</v>
      </c>
      <c r="J8" s="82" t="s">
        <v>402</v>
      </c>
      <c r="K8" s="82" t="s">
        <v>403</v>
      </c>
      <c r="L8" s="72">
        <v>0</v>
      </c>
      <c r="M8" s="72">
        <v>2023</v>
      </c>
      <c r="N8" s="73">
        <f>DATE(2027,12,31)</f>
        <v>46752</v>
      </c>
      <c r="O8" s="84">
        <v>0</v>
      </c>
      <c r="P8" s="84">
        <v>0</v>
      </c>
      <c r="Q8" s="84">
        <v>0</v>
      </c>
      <c r="R8" s="84">
        <v>0</v>
      </c>
      <c r="S8" s="84">
        <v>403.05882352941171</v>
      </c>
      <c r="T8" s="84">
        <v>402.3579505513265</v>
      </c>
      <c r="U8" s="84">
        <v>400.98418826785098</v>
      </c>
      <c r="V8" s="84">
        <v>399.62309065661577</v>
      </c>
      <c r="W8" s="84">
        <v>398.94637428799103</v>
      </c>
      <c r="X8" s="84">
        <v>0</v>
      </c>
      <c r="Y8" s="84">
        <v>0</v>
      </c>
      <c r="Z8" s="84">
        <v>0</v>
      </c>
      <c r="AA8" s="84">
        <v>0</v>
      </c>
      <c r="AB8" s="84">
        <v>34000</v>
      </c>
      <c r="AC8" s="84">
        <v>99578</v>
      </c>
      <c r="AD8" s="84">
        <v>89617</v>
      </c>
      <c r="AE8" s="84">
        <v>80656</v>
      </c>
      <c r="AF8" s="84">
        <v>67766</v>
      </c>
      <c r="AG8" s="84">
        <v>264.60381400850287</v>
      </c>
      <c r="AH8" s="84">
        <v>15.889842329022395</v>
      </c>
      <c r="AI8" s="84">
        <v>44.667864356093141</v>
      </c>
      <c r="AJ8" s="84"/>
      <c r="AK8" s="84">
        <v>0</v>
      </c>
      <c r="AL8" s="84">
        <v>16.548199560351271</v>
      </c>
      <c r="AM8" s="84">
        <v>0</v>
      </c>
      <c r="AN8" s="84">
        <v>14.39459031210596</v>
      </c>
      <c r="AO8" s="84">
        <v>6.4496691475947641</v>
      </c>
      <c r="AP8" s="84">
        <v>111.83736363633874</v>
      </c>
      <c r="AQ8" s="84">
        <v>111.83736363633874</v>
      </c>
      <c r="AR8" s="84">
        <v>123285</v>
      </c>
      <c r="AS8" s="84">
        <v>64.301746890602772</v>
      </c>
      <c r="AT8" s="84">
        <v>3.8719665036858757</v>
      </c>
      <c r="AU8" s="84">
        <v>13.478786302079882</v>
      </c>
      <c r="AV8" s="84"/>
      <c r="AW8" s="84">
        <v>2.5204644931166653</v>
      </c>
      <c r="AX8" s="84">
        <v>7.1408336257066036</v>
      </c>
      <c r="AY8" s="84">
        <v>0</v>
      </c>
      <c r="AZ8" s="84">
        <v>2.8031252571481495</v>
      </c>
      <c r="BA8" s="84">
        <v>7.4454982637282443</v>
      </c>
      <c r="BB8" s="84">
        <v>142.91804167499691</v>
      </c>
      <c r="BC8" s="84">
        <v>142.91804167499691</v>
      </c>
      <c r="BD8" s="84">
        <v>76230</v>
      </c>
      <c r="BE8" s="84">
        <v>85.221914601807839</v>
      </c>
      <c r="BF8" s="84">
        <v>5.4463583107056319</v>
      </c>
      <c r="BG8" s="84">
        <v>20.798587787155601</v>
      </c>
      <c r="BH8" s="84"/>
      <c r="BI8" s="84">
        <v>3.769130555616159</v>
      </c>
      <c r="BJ8" s="84">
        <v>4.8104394027043282</v>
      </c>
      <c r="BK8" s="84">
        <v>0</v>
      </c>
      <c r="BL8" s="84">
        <v>3.4525116923355146</v>
      </c>
      <c r="BM8" s="84">
        <v>4.5107691050762062</v>
      </c>
      <c r="BN8" s="84">
        <v>159.73938913402341</v>
      </c>
      <c r="BO8" s="84">
        <v>159.73938913402341</v>
      </c>
      <c r="BP8" s="84">
        <v>78143</v>
      </c>
      <c r="BQ8" s="84">
        <v>105.21465416030594</v>
      </c>
      <c r="BR8" s="84">
        <v>4.3073854979598325</v>
      </c>
      <c r="BS8" s="84">
        <v>19.930012544242377</v>
      </c>
      <c r="BT8" s="84"/>
      <c r="BU8" s="84">
        <v>5.3841019220480479</v>
      </c>
      <c r="BV8" s="84">
        <v>4.9422209859381541</v>
      </c>
      <c r="BW8" s="84">
        <v>0</v>
      </c>
      <c r="BX8" s="84">
        <v>3.4354769603211572</v>
      </c>
      <c r="BY8" s="84">
        <v>2.0726988999954505</v>
      </c>
      <c r="BZ8" s="84">
        <v>220.37054689965944</v>
      </c>
      <c r="CA8" s="84">
        <v>220.37054689965944</v>
      </c>
      <c r="CB8" s="84">
        <v>90990</v>
      </c>
      <c r="CC8" s="84">
        <v>151.40791363167827</v>
      </c>
      <c r="CD8" s="84">
        <v>6.8385692543223833</v>
      </c>
      <c r="CE8" s="84">
        <v>27.090075715905353</v>
      </c>
      <c r="CF8" s="84"/>
      <c r="CG8" s="84">
        <v>3.9900437935608513</v>
      </c>
      <c r="CH8" s="84">
        <v>3.5873262561510892</v>
      </c>
      <c r="CI8" s="84">
        <v>0</v>
      </c>
      <c r="CJ8" s="84">
        <v>4.4735057421868154</v>
      </c>
      <c r="CK8" s="84">
        <v>3.1175187962328166</v>
      </c>
      <c r="CL8" s="84">
        <v>210.49366812139465</v>
      </c>
      <c r="CM8" s="84">
        <v>210.49366812139465</v>
      </c>
      <c r="CN8" s="84">
        <v>95161</v>
      </c>
      <c r="CO8" s="84">
        <v>147.65364202921222</v>
      </c>
      <c r="CP8" s="84">
        <v>4.5406391288106818</v>
      </c>
      <c r="CQ8" s="84">
        <v>21.943250646553771</v>
      </c>
      <c r="CR8" s="84"/>
      <c r="CS8" s="84">
        <v>4.4001073468330354</v>
      </c>
      <c r="CT8" s="84">
        <v>3.3851072505047228</v>
      </c>
      <c r="CU8" s="84">
        <v>0</v>
      </c>
      <c r="CV8" s="84">
        <v>4.1441567857675166</v>
      </c>
      <c r="CW8" s="84">
        <v>2.3439819382711451</v>
      </c>
      <c r="CX8" s="84">
        <v>198.16893507044654</v>
      </c>
      <c r="CY8" s="84">
        <v>198.16893507044654</v>
      </c>
      <c r="CZ8" s="84">
        <v>81150</v>
      </c>
      <c r="DA8" s="84">
        <v>135.39369890941043</v>
      </c>
      <c r="DB8" s="84">
        <v>6.0029303896882507</v>
      </c>
      <c r="DC8" s="84">
        <v>24.48301784549902</v>
      </c>
      <c r="DD8" s="84"/>
      <c r="DE8" s="84">
        <v>4.46782049290929</v>
      </c>
      <c r="DF8" s="84">
        <v>4.4473145785315973</v>
      </c>
      <c r="DG8" s="84">
        <v>0</v>
      </c>
      <c r="DH8" s="84">
        <v>4.0551300823371612</v>
      </c>
      <c r="DI8" s="84">
        <v>1.5567502406790621</v>
      </c>
      <c r="DJ8" s="84">
        <v>363.11236422607635</v>
      </c>
      <c r="DK8" s="84">
        <v>363.11236422607635</v>
      </c>
      <c r="DL8" s="84">
        <v>58087</v>
      </c>
      <c r="DM8" s="75">
        <f t="shared" si="0"/>
        <v>21092107.900800098</v>
      </c>
      <c r="DN8" s="85">
        <f t="shared" si="1"/>
        <v>1950826.0100553022</v>
      </c>
      <c r="DO8" s="86">
        <f t="shared" si="2"/>
        <v>9.2490803632827079E-2</v>
      </c>
      <c r="DP8" s="84">
        <v>249.48940910024737</v>
      </c>
      <c r="DQ8" s="84">
        <v>10.977374841765855</v>
      </c>
      <c r="DR8" s="84">
        <v>38.555991322922743</v>
      </c>
      <c r="DS8" s="84"/>
      <c r="DT8" s="84">
        <v>11.156991083003918</v>
      </c>
      <c r="DU8" s="84">
        <v>7.4830954227423607</v>
      </c>
      <c r="DV8" s="84">
        <v>0</v>
      </c>
      <c r="DW8" s="84">
        <v>7.3707621424302676</v>
      </c>
      <c r="DX8" s="84">
        <v>4.4941859366781918</v>
      </c>
      <c r="DY8" s="84"/>
      <c r="DZ8" s="84">
        <v>336.17814116346176</v>
      </c>
      <c r="EA8" s="84">
        <v>80245</v>
      </c>
      <c r="EB8" s="84"/>
      <c r="EC8" s="84"/>
      <c r="ED8" s="84"/>
      <c r="EE8" s="84"/>
      <c r="EF8" s="84"/>
      <c r="EG8" s="84"/>
      <c r="EH8" s="84"/>
      <c r="EI8" s="84"/>
      <c r="EJ8" s="84"/>
      <c r="EK8" s="84">
        <v>479.75524372722714</v>
      </c>
      <c r="EL8" s="84">
        <v>37708</v>
      </c>
      <c r="EM8" s="84" t="s">
        <v>404</v>
      </c>
      <c r="EN8" s="77">
        <f t="shared" si="27"/>
        <v>264.60381400850287</v>
      </c>
      <c r="EO8" s="77">
        <f t="shared" si="28"/>
        <v>64.301746890602772</v>
      </c>
      <c r="EP8" s="77">
        <f t="shared" si="29"/>
        <v>85.221914601807839</v>
      </c>
      <c r="EQ8" s="77">
        <f t="shared" si="30"/>
        <v>105.21465416030594</v>
      </c>
      <c r="ER8" s="77">
        <f t="shared" si="31"/>
        <v>151.40791363167827</v>
      </c>
      <c r="ES8" s="77">
        <f t="shared" si="32"/>
        <v>147.65364202921222</v>
      </c>
      <c r="ET8" s="77">
        <f t="shared" si="33"/>
        <v>135.39369890941043</v>
      </c>
      <c r="EU8" s="77">
        <f t="shared" si="34"/>
        <v>249.48940910024737</v>
      </c>
      <c r="EV8" s="77">
        <f t="shared" si="35"/>
        <v>0</v>
      </c>
      <c r="EW8" s="77">
        <f t="shared" si="36"/>
        <v>-185.1876622096446</v>
      </c>
      <c r="EX8" s="77">
        <f t="shared" si="37"/>
        <v>-164.26749449843953</v>
      </c>
      <c r="EY8" s="77">
        <f t="shared" si="38"/>
        <v>-144.27475493994143</v>
      </c>
      <c r="EZ8" s="77">
        <f t="shared" si="39"/>
        <v>-98.081495468569102</v>
      </c>
      <c r="FA8" s="77">
        <f t="shared" si="40"/>
        <v>-101.83576707103515</v>
      </c>
      <c r="FB8" s="77">
        <f t="shared" si="41"/>
        <v>-114.09571019083694</v>
      </c>
      <c r="FC8" s="77"/>
      <c r="FD8" s="77">
        <f t="shared" si="42"/>
        <v>15.889842329022395</v>
      </c>
      <c r="FE8" s="77">
        <f t="shared" si="43"/>
        <v>3.8719665036858757</v>
      </c>
      <c r="FF8" s="77">
        <f t="shared" si="44"/>
        <v>5.4463583107056319</v>
      </c>
      <c r="FG8" s="77">
        <f t="shared" si="45"/>
        <v>4.3073854979598325</v>
      </c>
      <c r="FH8" s="77">
        <f t="shared" si="46"/>
        <v>6.8385692543223833</v>
      </c>
      <c r="FI8" s="77">
        <f t="shared" si="47"/>
        <v>4.5406391288106818</v>
      </c>
      <c r="FJ8" s="77">
        <f t="shared" si="48"/>
        <v>6.0029303896882507</v>
      </c>
      <c r="FK8" s="77">
        <f t="shared" si="49"/>
        <v>10.977374841765855</v>
      </c>
      <c r="FL8" s="77">
        <f t="shared" si="50"/>
        <v>0</v>
      </c>
      <c r="FM8" s="77">
        <f t="shared" si="51"/>
        <v>-7.1054083380799788</v>
      </c>
      <c r="FN8" s="77">
        <f t="shared" si="52"/>
        <v>-5.5310165310602226</v>
      </c>
      <c r="FO8" s="77">
        <f t="shared" si="53"/>
        <v>-6.669989343806022</v>
      </c>
      <c r="FP8" s="77">
        <f t="shared" si="54"/>
        <v>-4.1388055874434713</v>
      </c>
      <c r="FQ8" s="77">
        <f t="shared" si="55"/>
        <v>-6.4367357129551728</v>
      </c>
      <c r="FR8" s="77">
        <f t="shared" si="56"/>
        <v>-4.9744444520776039</v>
      </c>
      <c r="FS8" s="77"/>
      <c r="FT8" s="77">
        <f t="shared" si="57"/>
        <v>44.667864356093141</v>
      </c>
      <c r="FU8" s="77">
        <f t="shared" si="58"/>
        <v>13.478786302079882</v>
      </c>
      <c r="FV8" s="77">
        <f t="shared" si="59"/>
        <v>20.798587787155601</v>
      </c>
      <c r="FW8" s="77">
        <f t="shared" si="60"/>
        <v>19.930012544242377</v>
      </c>
      <c r="FX8" s="77">
        <f t="shared" si="61"/>
        <v>27.090075715905353</v>
      </c>
      <c r="FY8" s="77">
        <f t="shared" si="62"/>
        <v>21.943250646553771</v>
      </c>
      <c r="FZ8" s="77">
        <f t="shared" si="63"/>
        <v>24.48301784549902</v>
      </c>
      <c r="GA8" s="77">
        <f t="shared" si="64"/>
        <v>38.555991322922743</v>
      </c>
      <c r="GB8" s="77">
        <f t="shared" si="65"/>
        <v>0</v>
      </c>
      <c r="GC8" s="77">
        <f t="shared" si="66"/>
        <v>-25.077205020842861</v>
      </c>
      <c r="GD8" s="77">
        <f t="shared" si="67"/>
        <v>-17.757403535767143</v>
      </c>
      <c r="GE8" s="77">
        <f t="shared" si="68"/>
        <v>-18.625978778680366</v>
      </c>
      <c r="GF8" s="77">
        <f t="shared" si="69"/>
        <v>-11.46591560701739</v>
      </c>
      <c r="GG8" s="77">
        <f t="shared" si="70"/>
        <v>-16.612740676368972</v>
      </c>
      <c r="GH8" s="77">
        <f t="shared" si="71"/>
        <v>-14.072973477423723</v>
      </c>
      <c r="GI8" s="77"/>
      <c r="GJ8" s="77" t="str">
        <f t="shared" si="72"/>
        <v/>
      </c>
      <c r="GK8" s="77" t="str">
        <f t="shared" si="73"/>
        <v/>
      </c>
      <c r="GL8" s="77" t="str">
        <f t="shared" si="74"/>
        <v/>
      </c>
      <c r="GM8" s="77" t="str">
        <f t="shared" si="75"/>
        <v/>
      </c>
      <c r="GN8" s="77" t="str">
        <f t="shared" si="76"/>
        <v/>
      </c>
      <c r="GO8" s="77" t="str">
        <f t="shared" si="77"/>
        <v/>
      </c>
      <c r="GP8" s="77" t="str">
        <f t="shared" si="78"/>
        <v/>
      </c>
      <c r="GQ8" s="77" t="str">
        <f t="shared" si="79"/>
        <v/>
      </c>
      <c r="GR8" s="77" t="str">
        <f t="shared" si="80"/>
        <v/>
      </c>
      <c r="GS8" s="77" t="str">
        <f t="shared" si="81"/>
        <v/>
      </c>
      <c r="GT8" s="77" t="str">
        <f t="shared" si="82"/>
        <v/>
      </c>
      <c r="GU8" s="77" t="str">
        <f t="shared" si="83"/>
        <v/>
      </c>
      <c r="GV8" s="77" t="str">
        <f t="shared" si="84"/>
        <v/>
      </c>
      <c r="GW8" s="77" t="str">
        <f t="shared" si="85"/>
        <v/>
      </c>
      <c r="GX8" s="77" t="str">
        <f t="shared" si="86"/>
        <v/>
      </c>
      <c r="GY8" s="77"/>
      <c r="GZ8" s="77">
        <f t="shared" si="87"/>
        <v>0</v>
      </c>
      <c r="HA8" s="77">
        <f t="shared" si="88"/>
        <v>2.5204644931166653</v>
      </c>
      <c r="HB8" s="77">
        <f t="shared" si="89"/>
        <v>3.769130555616159</v>
      </c>
      <c r="HC8" s="77">
        <f t="shared" si="90"/>
        <v>5.3841019220480479</v>
      </c>
      <c r="HD8" s="77">
        <f t="shared" si="91"/>
        <v>3.9900437935608513</v>
      </c>
      <c r="HE8" s="77">
        <f t="shared" si="92"/>
        <v>4.4001073468330354</v>
      </c>
      <c r="HF8" s="77">
        <f t="shared" si="93"/>
        <v>4.46782049290929</v>
      </c>
      <c r="HG8" s="77">
        <f t="shared" si="94"/>
        <v>11.156991083003918</v>
      </c>
      <c r="HH8" s="77">
        <f t="shared" si="95"/>
        <v>-11.156991083003918</v>
      </c>
      <c r="HI8" s="77">
        <f t="shared" si="96"/>
        <v>-8.6365265898872536</v>
      </c>
      <c r="HJ8" s="77">
        <f t="shared" si="97"/>
        <v>-7.3878605273877591</v>
      </c>
      <c r="HK8" s="77">
        <f t="shared" si="98"/>
        <v>-5.7728891609558701</v>
      </c>
      <c r="HL8" s="77">
        <f t="shared" si="99"/>
        <v>-7.1669472894430672</v>
      </c>
      <c r="HM8" s="77">
        <f t="shared" si="100"/>
        <v>-6.7568837361708827</v>
      </c>
      <c r="HN8" s="77">
        <f t="shared" si="101"/>
        <v>-6.6891705900946281</v>
      </c>
      <c r="HO8" s="77"/>
      <c r="HP8" s="77">
        <f t="shared" si="102"/>
        <v>6.4496691475947641</v>
      </c>
      <c r="HQ8" s="77">
        <f t="shared" si="103"/>
        <v>7.4454982637282443</v>
      </c>
      <c r="HR8" s="77">
        <f t="shared" si="104"/>
        <v>4.5107691050762062</v>
      </c>
      <c r="HS8" s="77">
        <f t="shared" si="105"/>
        <v>2.0726988999954505</v>
      </c>
      <c r="HT8" s="77">
        <f t="shared" si="106"/>
        <v>3.1175187962328166</v>
      </c>
      <c r="HU8" s="77">
        <f t="shared" si="107"/>
        <v>2.3439819382711451</v>
      </c>
      <c r="HV8" s="77">
        <f t="shared" si="108"/>
        <v>1.5567502406790621</v>
      </c>
      <c r="HW8" s="77">
        <f t="shared" si="109"/>
        <v>4.4941859366781918</v>
      </c>
      <c r="HX8" s="77">
        <f t="shared" si="110"/>
        <v>0</v>
      </c>
      <c r="HY8" s="77">
        <f t="shared" si="111"/>
        <v>0</v>
      </c>
      <c r="HZ8" s="77">
        <f t="shared" si="112"/>
        <v>0</v>
      </c>
      <c r="IA8" s="77">
        <f t="shared" si="113"/>
        <v>-2.4214870366827412</v>
      </c>
      <c r="IB8" s="77">
        <f t="shared" si="114"/>
        <v>-1.3766671404453752</v>
      </c>
      <c r="IC8" s="77">
        <f t="shared" si="115"/>
        <v>-2.1502039984070467</v>
      </c>
      <c r="ID8" s="77">
        <f t="shared" si="193"/>
        <v>-2.9374356959991297</v>
      </c>
      <c r="IE8" s="77"/>
      <c r="IF8" s="77">
        <f t="shared" si="116"/>
        <v>16.548199560351271</v>
      </c>
      <c r="IG8" s="77">
        <f t="shared" si="117"/>
        <v>7.1408336257066036</v>
      </c>
      <c r="IH8" s="77">
        <f t="shared" si="118"/>
        <v>4.8104394027043282</v>
      </c>
      <c r="II8" s="77">
        <f t="shared" si="119"/>
        <v>4.9422209859381541</v>
      </c>
      <c r="IJ8" s="77">
        <f t="shared" si="120"/>
        <v>3.5873262561510892</v>
      </c>
      <c r="IK8" s="77">
        <f t="shared" si="121"/>
        <v>3.3851072505047228</v>
      </c>
      <c r="IL8" s="77">
        <f t="shared" si="122"/>
        <v>4.4473145785315973</v>
      </c>
      <c r="IM8" s="77">
        <f t="shared" si="123"/>
        <v>7.4830954227423607</v>
      </c>
      <c r="IN8" s="77">
        <f t="shared" si="124"/>
        <v>0</v>
      </c>
      <c r="IO8" s="77">
        <f t="shared" si="125"/>
        <v>-0.3422617970357571</v>
      </c>
      <c r="IP8" s="77">
        <f t="shared" si="126"/>
        <v>-2.6726560200380325</v>
      </c>
      <c r="IQ8" s="77">
        <f t="shared" si="127"/>
        <v>-2.5408744368042067</v>
      </c>
      <c r="IR8" s="77">
        <f t="shared" si="128"/>
        <v>-3.8957691665912715</v>
      </c>
      <c r="IS8" s="77">
        <f t="shared" si="129"/>
        <v>-4.0979881722376383</v>
      </c>
      <c r="IT8" s="77">
        <f t="shared" si="130"/>
        <v>-3.0357808442107634</v>
      </c>
      <c r="IU8" s="77"/>
      <c r="IV8" s="77">
        <f t="shared" si="131"/>
        <v>14.39459031210596</v>
      </c>
      <c r="IW8" s="77">
        <f t="shared" si="132"/>
        <v>2.8031252571481495</v>
      </c>
      <c r="IX8" s="77">
        <f t="shared" si="133"/>
        <v>3.4525116923355146</v>
      </c>
      <c r="IY8" s="77">
        <f t="shared" si="134"/>
        <v>3.4354769603211572</v>
      </c>
      <c r="IZ8" s="77">
        <f t="shared" si="135"/>
        <v>4.4735057421868154</v>
      </c>
      <c r="JA8" s="77">
        <f t="shared" si="136"/>
        <v>4.1441567857675166</v>
      </c>
      <c r="JB8" s="77">
        <f t="shared" si="137"/>
        <v>4.0551300823371612</v>
      </c>
      <c r="JC8" s="77">
        <f t="shared" si="138"/>
        <v>7.3707621424302676</v>
      </c>
      <c r="JD8" s="77">
        <f t="shared" si="139"/>
        <v>0</v>
      </c>
      <c r="JE8" s="77">
        <f t="shared" si="140"/>
        <v>-4.5676368852821181</v>
      </c>
      <c r="JF8" s="77">
        <f t="shared" si="141"/>
        <v>-3.918250450094753</v>
      </c>
      <c r="JG8" s="77">
        <f t="shared" si="142"/>
        <v>-3.9352851821091104</v>
      </c>
      <c r="JH8" s="77">
        <f t="shared" si="143"/>
        <v>-2.8972564002434522</v>
      </c>
      <c r="JI8" s="77">
        <f t="shared" si="144"/>
        <v>-3.2266053566627511</v>
      </c>
      <c r="JJ8" s="77">
        <f t="shared" si="145"/>
        <v>-3.3156320600931064</v>
      </c>
      <c r="JK8" s="77"/>
      <c r="JL8" s="77">
        <f t="shared" si="146"/>
        <v>0</v>
      </c>
      <c r="JM8" s="77">
        <f t="shared" si="147"/>
        <v>0</v>
      </c>
      <c r="JN8" s="77">
        <f t="shared" si="148"/>
        <v>0</v>
      </c>
      <c r="JO8" s="77">
        <f t="shared" si="149"/>
        <v>0</v>
      </c>
      <c r="JP8" s="77">
        <f t="shared" si="150"/>
        <v>0</v>
      </c>
      <c r="JQ8" s="77">
        <f t="shared" si="151"/>
        <v>0</v>
      </c>
      <c r="JR8" s="77">
        <f t="shared" si="152"/>
        <v>0</v>
      </c>
      <c r="JS8" s="77">
        <f t="shared" si="153"/>
        <v>0</v>
      </c>
      <c r="JT8" s="77">
        <f t="shared" si="154"/>
        <v>0</v>
      </c>
      <c r="JU8" s="77">
        <f t="shared" si="155"/>
        <v>0</v>
      </c>
      <c r="JV8" s="77">
        <f t="shared" si="156"/>
        <v>0</v>
      </c>
      <c r="JW8" s="77">
        <f t="shared" si="157"/>
        <v>0</v>
      </c>
      <c r="JX8" s="77">
        <f t="shared" si="158"/>
        <v>0</v>
      </c>
      <c r="JY8" s="77">
        <f t="shared" si="159"/>
        <v>0</v>
      </c>
      <c r="JZ8" s="77">
        <f t="shared" si="160"/>
        <v>0</v>
      </c>
      <c r="KA8" s="77"/>
      <c r="KB8" s="77">
        <f t="shared" si="161"/>
        <v>362.5539797136704</v>
      </c>
      <c r="KC8" s="77">
        <f t="shared" si="3"/>
        <v>101.5624213360682</v>
      </c>
      <c r="KD8" s="77">
        <f t="shared" si="3"/>
        <v>128.00971145540129</v>
      </c>
      <c r="KE8" s="77">
        <f t="shared" si="3"/>
        <v>145.28655097081096</v>
      </c>
      <c r="KF8" s="77">
        <f t="shared" si="3"/>
        <v>200.50495319003758</v>
      </c>
      <c r="KG8" s="77">
        <f t="shared" si="3"/>
        <v>188.41088512595309</v>
      </c>
      <c r="KH8" s="77">
        <f t="shared" si="3"/>
        <v>180.40666253905482</v>
      </c>
      <c r="KI8" s="77">
        <f t="shared" si="3"/>
        <v>329.52780984979074</v>
      </c>
      <c r="KJ8" s="77">
        <f t="shared" si="3"/>
        <v>-11.156991083003918</v>
      </c>
      <c r="KK8" s="77">
        <f t="shared" si="4"/>
        <v>-230.91670084077253</v>
      </c>
      <c r="KL8" s="77">
        <f t="shared" si="4"/>
        <v>-201.53468156278745</v>
      </c>
      <c r="KM8" s="77">
        <f t="shared" si="4"/>
        <v>-184.24125887897975</v>
      </c>
      <c r="KN8" s="77">
        <f t="shared" si="4"/>
        <v>-129.02285665975313</v>
      </c>
      <c r="KO8" s="77">
        <f t="shared" si="4"/>
        <v>-141.11692472383763</v>
      </c>
      <c r="KP8" s="77">
        <f t="shared" si="4"/>
        <v>-149.12114731073589</v>
      </c>
      <c r="KQ8" s="78"/>
      <c r="KR8" s="77">
        <f t="shared" si="162"/>
        <v>-11.156991083003918</v>
      </c>
      <c r="KS8" s="77">
        <f t="shared" si="163"/>
        <v>1</v>
      </c>
      <c r="KT8" s="77">
        <f t="shared" si="5"/>
        <v>-185.1876622096446</v>
      </c>
      <c r="KU8" s="79">
        <f t="shared" si="164"/>
        <v>0.8019673827634487</v>
      </c>
      <c r="KV8" s="77">
        <f t="shared" si="6"/>
        <v>-164.26749449843953</v>
      </c>
      <c r="KW8" s="79">
        <f t="shared" si="165"/>
        <v>0.81508300816831147</v>
      </c>
      <c r="KX8" s="77">
        <f t="shared" si="7"/>
        <v>-144.27475493994143</v>
      </c>
      <c r="KY8" s="79">
        <f t="shared" si="166"/>
        <v>0.78307516903534291</v>
      </c>
      <c r="KZ8" s="77">
        <f t="shared" si="8"/>
        <v>-98.081495468569102</v>
      </c>
      <c r="LA8" s="79">
        <f t="shared" si="167"/>
        <v>0.76018697777883137</v>
      </c>
      <c r="LB8" s="77">
        <f t="shared" si="9"/>
        <v>-101.83576707103515</v>
      </c>
      <c r="LC8" s="79">
        <f t="shared" si="168"/>
        <v>0.72164105949959767</v>
      </c>
      <c r="LD8" s="77">
        <f t="shared" si="10"/>
        <v>-114.09571019083694</v>
      </c>
      <c r="LE8" s="79">
        <f t="shared" si="169"/>
        <v>0.76512092515682173</v>
      </c>
      <c r="LF8" s="77" t="str" cm="1">
        <f t="array" ref="LF8">IFERROR(_xlfn.IFS(KR8=EV8,"Material",KR8=FL8,"Direct Labor",KR8=GB8,"Variable Overhead",KR8=GR8,"Indirect Labor",KR8=HH8,"Fixed Overhead",KR8=HX8,"SG&amp;A",KR8=IN8,"Depreciation",KR8=JD8,"Corporate allocation",KR8=JT8,"Amortized Tooling"),"")</f>
        <v>Fixed Overhead</v>
      </c>
      <c r="LG8" s="77" t="str" cm="1">
        <f t="array" ref="LG8">IFERROR(_xlfn.IFS(KT8=EW8,"Material",KT8=FM8,"Direct Labor",KT8=GC8,"Variable Overhead",KT8=GS8,"Indirect Labor",KT8=HI8,"Fixed Overhead",KT8=HY8,"SG&amp;A",KT8=IO8,"Depreciation",KT8=JE8,"Corporate Allocation",KT8=JU8,"Amortized Tooling"),"")</f>
        <v>Material</v>
      </c>
      <c r="LH8" s="77" t="str" cm="1">
        <f t="array" ref="LH8">IFERROR(_xlfn.IFS(KV8=EX8,"Material",KV8=FN8,"Direct Labor",KV8=GD8,"Variable Overhead",KV8=GT8,"Indirect Labor",KV8=HJ8,"Fixed Overhead",KV8=HZ8,"SG&amp;A",KV8=IP8,"Depreciation",KV8=JF8,"Corporate Allocation",KV8=JV8,"Amortized Tooling"),"")</f>
        <v>Material</v>
      </c>
      <c r="LI8" s="77" t="str" cm="1">
        <f t="array" ref="LI8">IFERROR(_xlfn.IFS(KX8=EY8,"Material",KX8=FO8,"Direct Labor",KX8=GE8,"Variable Overhead",KX8=GU8,"Indirect Labor",KX8=HK8,"Fixed Overhead",KX8=IA8,"SG&amp;A",KX8=IQ8,"Depreciation",KX8=JG8,"Corporate Allocation",KX8=JW8,"Amortized Tooling"),"")</f>
        <v>Material</v>
      </c>
      <c r="LJ8" s="77" t="str" cm="1">
        <f t="array" ref="LJ8">IFERROR(_xlfn.IFS(KZ8=EZ8,"Material",KZ8=FP8,"Direct Labor",KZ8=GF8,"Variable Overhead",KZ8=GV8,"Indirect Labor",KZ8=HL8,"Fixed Overhead",KZ8=IB8,"SG&amp;A",KZ8=IR8,"Depreciation",KZ8=JH8,"Corporate Allocation",KZ8=JX8,"Amortized Tooling"),"")</f>
        <v>Material</v>
      </c>
      <c r="LK8" s="77" t="str" cm="1">
        <f t="array" ref="LK8">IFERROR(_xlfn.IFS(LB8=FA8,"Material",LB8=FQ8,"Direct Labor",LB8=GG8,"Variable Overhead",LB8=GW8,"Indirect Labor",LB8=HM8,"Fixed Overhead",LB8=IC8,"SG&amp;A",LB8=IS8,"Depreciation",LB8=JI8,"Corporate Allocation",LB8=JY8,"Amortized Tooling"),"")</f>
        <v>Material</v>
      </c>
      <c r="LL8" s="77" t="str" cm="1">
        <f t="array" ref="LL8">IFERROR(_xlfn.IFS(LD8=FB8,"Material",LD8=FR8,"Direct Labor",LD8=GH8,"Variable Overhead",LD8=GX8,"Indirect Labor",LD8=HN8,"Fixed Overhead",LD8=ID8,"SG&amp;A",LD8=IT8,"Depreciation",LD8=JJ8,"Corporate Allocation",LD8=JZ8,"Amortized Tooling"),"")</f>
        <v>Material</v>
      </c>
      <c r="LM8" s="77" cm="1">
        <f t="array" ref="LM8">_xlfn.IFS(DL8="","",LN8="0% EBIT target","",LN8="12% EBIT target","",LN8="At quote",KJ8,LN8="2019",KK8,LN8="2020",KL8,LN8="2021",KM8,LN8="2022",KN8,LN8="2023",KO8,LN8="2024",KP8)</f>
        <v>-11.156991083003918</v>
      </c>
      <c r="LN8" s="77" t="str">
        <f t="shared" si="170"/>
        <v>At quote</v>
      </c>
      <c r="LO8" s="77" cm="1">
        <f t="array" ref="LO8">IFERROR(_xlfn.IFS(MN8="0% EBIT target","",MN8="12% EBIT target","",LN8="At quote",KR8,LN8="2019",KT8,LN8="2020",KV8,LN8="2021",KX8,LN8="2022",KZ8,LN8="2023",LB8,LN8="2024",LD8),"")</f>
        <v>-11.156991083003918</v>
      </c>
      <c r="LP8" s="78" t="str" cm="1">
        <f t="array" ref="LP8">IFERROR(_xlfn.IFS(MN8="0% EBIT target","",MN8="12% EBIT target","",LN8="At quote",LF8,LN8="2019",LG8,LN8="2020",LH8,LN8="2021",LI8,LN8="2022",LJ8,LN8="2023",LK8,LN8="2024",LL8),"")</f>
        <v>Fixed Overhead</v>
      </c>
      <c r="LQ8" s="79">
        <f t="shared" si="11"/>
        <v>1</v>
      </c>
      <c r="LR8" s="78"/>
      <c r="LS8" s="79">
        <f t="shared" si="12"/>
        <v>3.0773323993892529E-2</v>
      </c>
      <c r="LT8" s="79">
        <f t="shared" si="12"/>
        <v>2.2736431231456504</v>
      </c>
      <c r="LU8" s="79">
        <f t="shared" si="12"/>
        <v>1.5743702510649151</v>
      </c>
      <c r="LV8" s="79">
        <f t="shared" si="12"/>
        <v>1.2681232890991752</v>
      </c>
      <c r="LW8" s="79">
        <f t="shared" si="12"/>
        <v>0.64348962261029985</v>
      </c>
      <c r="LX8" s="79">
        <f t="shared" si="12"/>
        <v>0.74898498900156785</v>
      </c>
      <c r="LY8" s="79">
        <f t="shared" si="12"/>
        <v>0.82658337121254499</v>
      </c>
      <c r="LZ8" s="79" t="str">
        <f t="shared" si="13"/>
        <v/>
      </c>
      <c r="MA8" s="79">
        <f t="shared" si="14"/>
        <v>3.1260450417241792E-2</v>
      </c>
      <c r="MB8" s="79">
        <f t="shared" si="171"/>
        <v>2.2736431231456504</v>
      </c>
      <c r="MC8" s="80">
        <f t="shared" si="15"/>
        <v>363.11236422607635</v>
      </c>
      <c r="MD8" s="80">
        <f t="shared" si="172"/>
        <v>413.32380460984558</v>
      </c>
      <c r="ME8" s="80">
        <f t="shared" si="173"/>
        <v>366.11561637883972</v>
      </c>
      <c r="MF8" s="80">
        <f t="shared" si="174"/>
        <v>367.92395482856779</v>
      </c>
      <c r="MG8" s="80">
        <f t="shared" si="175"/>
        <v>362.30862868135421</v>
      </c>
      <c r="MH8" s="80">
        <f t="shared" si="176"/>
        <v>362.17670695854673</v>
      </c>
      <c r="MI8" s="80">
        <f t="shared" si="177"/>
        <v>368.15026582419711</v>
      </c>
      <c r="MJ8" s="80">
        <f t="shared" si="178"/>
        <v>361.97208149057616</v>
      </c>
      <c r="MK8" s="80" t="str">
        <f t="shared" si="16"/>
        <v/>
      </c>
      <c r="ML8" s="80">
        <f t="shared" si="16"/>
        <v>374.46342028385305</v>
      </c>
      <c r="MM8" s="80">
        <f t="shared" si="179"/>
        <v>413.32380460984558</v>
      </c>
      <c r="MN8" s="80" t="str" cm="1">
        <f t="array" ref="MN8">_xlfn.IFS(MC8="","",MM8=0,"",MM8=MD8,"At quote",MM8=ME8,"2019",MM8=MF8,"2020",MM8=MG8,"2021",MM8=MH8,"2022",MM8=MI8,"2023",MM8=MJ8,"2024",MM8=MK8,"0% EBIT target",MM8=ML8,"12% EBIT target")</f>
        <v>At quote</v>
      </c>
      <c r="MO8" s="81">
        <f t="shared" si="180"/>
        <v>2916631.9375720033</v>
      </c>
      <c r="MP8" s="81">
        <f t="shared" si="181"/>
        <v>729157.98439300084</v>
      </c>
      <c r="MQ8" s="80">
        <f t="shared" si="17"/>
        <v>174449.90779756565</v>
      </c>
      <c r="MR8" s="80">
        <f t="shared" si="182"/>
        <v>43612.476949391414</v>
      </c>
      <c r="MS8" s="80">
        <f t="shared" si="18"/>
        <v>279490.86332692002</v>
      </c>
      <c r="MT8" s="80">
        <f t="shared" si="183"/>
        <v>69872.715831730005</v>
      </c>
      <c r="MU8" s="80" t="str">
        <f t="shared" si="19"/>
        <v/>
      </c>
      <c r="MV8" s="80" t="str">
        <f t="shared" si="184"/>
        <v/>
      </c>
      <c r="MW8" s="80" t="str">
        <f t="shared" si="20"/>
        <v/>
      </c>
      <c r="MX8" s="80" t="str">
        <f t="shared" si="185"/>
        <v/>
      </c>
      <c r="MY8" s="80">
        <f t="shared" si="21"/>
        <v>292636.59013004025</v>
      </c>
      <c r="MZ8" s="80">
        <f t="shared" si="186"/>
        <v>73159.147532510062</v>
      </c>
      <c r="NA8" s="80" t="str">
        <f t="shared" si="22"/>
        <v/>
      </c>
      <c r="NB8" s="80" t="str">
        <f t="shared" si="187"/>
        <v/>
      </c>
      <c r="NC8" s="80" t="str">
        <f t="shared" si="188"/>
        <v/>
      </c>
      <c r="ND8" s="80" t="str">
        <f t="shared" si="189"/>
        <v/>
      </c>
      <c r="NE8" s="80">
        <f t="shared" si="23"/>
        <v>659348.79322807526</v>
      </c>
      <c r="NF8" s="80">
        <f t="shared" si="190"/>
        <v>164837.19830701881</v>
      </c>
      <c r="NG8" s="80">
        <f t="shared" si="24"/>
        <v>50.211440383769229</v>
      </c>
      <c r="NH8" s="80">
        <f t="shared" si="25"/>
        <v>2916631.9375720033</v>
      </c>
      <c r="NI8" s="80">
        <f t="shared" si="191"/>
        <v>1458315.9687860017</v>
      </c>
      <c r="NJ8" s="80">
        <f t="shared" si="192"/>
        <v>729157.98439300084</v>
      </c>
    </row>
    <row r="9" spans="1:374" x14ac:dyDescent="0.25">
      <c r="A9" s="71" t="s">
        <v>411</v>
      </c>
      <c r="B9" s="71"/>
      <c r="C9" s="71" t="s">
        <v>413</v>
      </c>
      <c r="D9" s="71" t="s">
        <v>414</v>
      </c>
      <c r="E9" s="87" t="s">
        <v>399</v>
      </c>
      <c r="F9" s="71" t="s">
        <v>399</v>
      </c>
      <c r="G9" s="71" t="s">
        <v>406</v>
      </c>
      <c r="H9" s="71" t="str">
        <f t="shared" si="26"/>
        <v>Sao Jose Dos Pinhais CBA HJD/HHA All</v>
      </c>
      <c r="I9" s="71" t="s">
        <v>401</v>
      </c>
      <c r="J9" s="71" t="s">
        <v>402</v>
      </c>
      <c r="K9" s="71" t="s">
        <v>403</v>
      </c>
      <c r="L9" s="72">
        <v>0</v>
      </c>
      <c r="M9" s="72">
        <v>2019</v>
      </c>
      <c r="N9" s="73">
        <f>DATE(2025,12,31)</f>
        <v>46022</v>
      </c>
      <c r="O9" s="74">
        <v>133.5971372077029</v>
      </c>
      <c r="P9" s="74">
        <v>201.47113962560181</v>
      </c>
      <c r="Q9" s="74">
        <v>215.07905644987966</v>
      </c>
      <c r="R9" s="74">
        <v>215.82938231817403</v>
      </c>
      <c r="S9" s="74">
        <v>216.32988042683976</v>
      </c>
      <c r="T9" s="74">
        <v>211.61685657023725</v>
      </c>
      <c r="U9" s="74">
        <v>198.34322964666438</v>
      </c>
      <c r="V9" s="74">
        <v>173.30789716944636</v>
      </c>
      <c r="W9" s="74">
        <v>0</v>
      </c>
      <c r="X9" s="74">
        <v>93056</v>
      </c>
      <c r="Y9" s="74">
        <v>93056</v>
      </c>
      <c r="Z9" s="74">
        <v>93056</v>
      </c>
      <c r="AA9" s="74">
        <v>93056</v>
      </c>
      <c r="AB9" s="74">
        <v>93056</v>
      </c>
      <c r="AC9" s="74">
        <v>93056</v>
      </c>
      <c r="AD9" s="74">
        <v>93056</v>
      </c>
      <c r="AE9" s="74">
        <v>93056</v>
      </c>
      <c r="AF9" s="74">
        <v>0</v>
      </c>
      <c r="AG9" s="74">
        <v>130.66110215662442</v>
      </c>
      <c r="AH9" s="74">
        <v>13.571877617529312</v>
      </c>
      <c r="AI9" s="74">
        <v>11.295527081803654</v>
      </c>
      <c r="AJ9" s="74"/>
      <c r="AK9" s="74">
        <v>8.774552185153647</v>
      </c>
      <c r="AL9" s="74">
        <v>0</v>
      </c>
      <c r="AM9" s="74">
        <v>0</v>
      </c>
      <c r="AN9" s="74">
        <v>2.1467187091531472</v>
      </c>
      <c r="AO9" s="74">
        <v>3.7288527173572903</v>
      </c>
      <c r="AP9" s="74">
        <v>355.48914927532729</v>
      </c>
      <c r="AQ9" s="74">
        <v>355.48914927532729</v>
      </c>
      <c r="AR9" s="74">
        <v>60964</v>
      </c>
      <c r="AS9" s="74">
        <v>235.45719926433381</v>
      </c>
      <c r="AT9" s="74">
        <v>22.570834045611956</v>
      </c>
      <c r="AU9" s="74">
        <v>81.463846255845311</v>
      </c>
      <c r="AV9" s="74"/>
      <c r="AW9" s="74">
        <v>7.9858843349396187</v>
      </c>
      <c r="AX9" s="74">
        <v>3.2849740184824356</v>
      </c>
      <c r="AY9" s="74">
        <v>0</v>
      </c>
      <c r="AZ9" s="74">
        <v>7.5897819203945147</v>
      </c>
      <c r="BA9" s="74">
        <v>20.264754875466974</v>
      </c>
      <c r="BB9" s="74">
        <v>319.87439767712073</v>
      </c>
      <c r="BC9" s="74">
        <v>319.87439767712073</v>
      </c>
      <c r="BD9" s="74">
        <v>38296</v>
      </c>
      <c r="BE9" s="74">
        <v>202.71015063293277</v>
      </c>
      <c r="BF9" s="74">
        <v>37.252866055281572</v>
      </c>
      <c r="BG9" s="74">
        <v>49.191690307054493</v>
      </c>
      <c r="BH9" s="74"/>
      <c r="BI9" s="74">
        <v>12.273393957108466</v>
      </c>
      <c r="BJ9" s="74">
        <v>36.18382404400031</v>
      </c>
      <c r="BK9" s="74">
        <v>0</v>
      </c>
      <c r="BL9" s="74">
        <v>7.2186012831178346</v>
      </c>
      <c r="BM9" s="74">
        <v>11.230713111680837</v>
      </c>
      <c r="BN9" s="74">
        <v>412.60116255396747</v>
      </c>
      <c r="BO9" s="74">
        <v>412.60116255396747</v>
      </c>
      <c r="BP9" s="74">
        <v>60962</v>
      </c>
      <c r="BQ9" s="74">
        <v>265.02243207927722</v>
      </c>
      <c r="BR9" s="74">
        <v>34.621778118383332</v>
      </c>
      <c r="BS9" s="74">
        <v>61.728257965947087</v>
      </c>
      <c r="BT9" s="74"/>
      <c r="BU9" s="74">
        <v>18.730067332446151</v>
      </c>
      <c r="BV9" s="74">
        <v>52.763307529295375</v>
      </c>
      <c r="BW9" s="74">
        <v>0</v>
      </c>
      <c r="BX9" s="74">
        <v>9.1603041830521104</v>
      </c>
      <c r="BY9" s="74">
        <v>12.937794680466096</v>
      </c>
      <c r="BZ9" s="74">
        <v>583.62474008307606</v>
      </c>
      <c r="CA9" s="74">
        <v>583.62474008307606</v>
      </c>
      <c r="CB9" s="74">
        <v>61244</v>
      </c>
      <c r="CC9" s="74">
        <v>393.976320691556</v>
      </c>
      <c r="CD9" s="74">
        <v>46.427905816139209</v>
      </c>
      <c r="CE9" s="74">
        <v>97.202360561976988</v>
      </c>
      <c r="CF9" s="74"/>
      <c r="CG9" s="74">
        <v>22.905677384865378</v>
      </c>
      <c r="CH9" s="74">
        <v>36.610428638393863</v>
      </c>
      <c r="CI9" s="74">
        <v>0</v>
      </c>
      <c r="CJ9" s="74">
        <v>12.145431004721136</v>
      </c>
      <c r="CK9" s="74">
        <v>17.369486180024872</v>
      </c>
      <c r="CL9" s="74">
        <v>567.8180848235836</v>
      </c>
      <c r="CM9" s="74">
        <v>567.8180848235836</v>
      </c>
      <c r="CN9" s="74">
        <v>58413</v>
      </c>
      <c r="CO9" s="74">
        <v>378.06037656289305</v>
      </c>
      <c r="CP9" s="74">
        <v>47.429363630793013</v>
      </c>
      <c r="CQ9" s="74">
        <v>102.52693596409159</v>
      </c>
      <c r="CR9" s="74"/>
      <c r="CS9" s="74">
        <v>17.199968675968709</v>
      </c>
      <c r="CT9" s="74">
        <v>33.697733874216858</v>
      </c>
      <c r="CU9" s="74">
        <v>0</v>
      </c>
      <c r="CV9" s="74">
        <v>12.039429194844432</v>
      </c>
      <c r="CW9" s="74">
        <v>17.034542544707488</v>
      </c>
      <c r="CX9" s="74">
        <v>574.75492159800842</v>
      </c>
      <c r="CY9" s="74">
        <v>574.75492159800842</v>
      </c>
      <c r="CZ9" s="74">
        <v>40976</v>
      </c>
      <c r="DA9" s="74">
        <v>386.32766602894884</v>
      </c>
      <c r="DB9" s="74">
        <v>46.674772939337529</v>
      </c>
      <c r="DC9" s="74">
        <v>98.051628099249783</v>
      </c>
      <c r="DD9" s="74"/>
      <c r="DE9" s="74">
        <v>17.115540489197748</v>
      </c>
      <c r="DF9" s="74">
        <v>39.927197516573159</v>
      </c>
      <c r="DG9" s="74">
        <v>0</v>
      </c>
      <c r="DH9" s="74">
        <v>12.031442812871092</v>
      </c>
      <c r="DI9" s="74">
        <v>17.242647647940217</v>
      </c>
      <c r="DJ9" s="74">
        <v>912.52396599597603</v>
      </c>
      <c r="DK9" s="74">
        <v>912.52396599597603</v>
      </c>
      <c r="DL9" s="74">
        <v>26341</v>
      </c>
      <c r="DM9" s="75">
        <f t="shared" si="0"/>
        <v>24036793.788300004</v>
      </c>
      <c r="DN9" s="75">
        <f t="shared" si="1"/>
        <v>-1659885.4536189653</v>
      </c>
      <c r="DO9" s="76">
        <f t="shared" si="2"/>
        <v>-6.9056025867598056E-2</v>
      </c>
      <c r="DP9" s="74">
        <v>623.53696329077684</v>
      </c>
      <c r="DQ9" s="74">
        <v>68.803337294561814</v>
      </c>
      <c r="DR9" s="74">
        <v>139.86917393775747</v>
      </c>
      <c r="DS9" s="74"/>
      <c r="DT9" s="74">
        <v>39.258389373400114</v>
      </c>
      <c r="DU9" s="74">
        <v>61.278046423886266</v>
      </c>
      <c r="DV9" s="74">
        <v>0</v>
      </c>
      <c r="DW9" s="74">
        <v>18.669615376942794</v>
      </c>
      <c r="DX9" s="74">
        <v>24.123718899271985</v>
      </c>
      <c r="DY9" s="74"/>
      <c r="DZ9" s="74">
        <v>1126.6455729943279</v>
      </c>
      <c r="EA9" s="74">
        <v>14786</v>
      </c>
      <c r="EB9" s="74"/>
      <c r="EC9" s="74"/>
      <c r="ED9" s="74"/>
      <c r="EE9" s="74"/>
      <c r="EF9" s="74"/>
      <c r="EG9" s="74"/>
      <c r="EH9" s="74"/>
      <c r="EI9" s="74"/>
      <c r="EJ9" s="74"/>
      <c r="EK9" s="74">
        <v>410.75835963552959</v>
      </c>
      <c r="EL9" s="74">
        <v>14250</v>
      </c>
      <c r="EM9" s="74" t="s">
        <v>404</v>
      </c>
      <c r="EN9" s="77">
        <f t="shared" si="27"/>
        <v>130.66110215662442</v>
      </c>
      <c r="EO9" s="77">
        <f t="shared" si="28"/>
        <v>235.45719926433381</v>
      </c>
      <c r="EP9" s="77">
        <f t="shared" si="29"/>
        <v>202.71015063293277</v>
      </c>
      <c r="EQ9" s="77">
        <f t="shared" si="30"/>
        <v>265.02243207927722</v>
      </c>
      <c r="ER9" s="77">
        <f t="shared" si="31"/>
        <v>393.976320691556</v>
      </c>
      <c r="ES9" s="77">
        <f t="shared" si="32"/>
        <v>378.06037656289305</v>
      </c>
      <c r="ET9" s="77">
        <f t="shared" si="33"/>
        <v>386.32766602894884</v>
      </c>
      <c r="EU9" s="77">
        <f t="shared" si="34"/>
        <v>623.53696329077684</v>
      </c>
      <c r="EV9" s="77">
        <f t="shared" si="35"/>
        <v>-492.87586113415239</v>
      </c>
      <c r="EW9" s="77">
        <f t="shared" si="36"/>
        <v>-388.07976402644306</v>
      </c>
      <c r="EX9" s="77">
        <f t="shared" si="37"/>
        <v>-420.82681265784407</v>
      </c>
      <c r="EY9" s="77">
        <f t="shared" si="38"/>
        <v>-358.51453121149962</v>
      </c>
      <c r="EZ9" s="77">
        <f t="shared" si="39"/>
        <v>-229.56064259922084</v>
      </c>
      <c r="FA9" s="77">
        <f t="shared" si="40"/>
        <v>-245.47658672788378</v>
      </c>
      <c r="FB9" s="77">
        <f t="shared" si="41"/>
        <v>-237.209297261828</v>
      </c>
      <c r="FC9" s="77"/>
      <c r="FD9" s="77">
        <f t="shared" si="42"/>
        <v>13.571877617529312</v>
      </c>
      <c r="FE9" s="77">
        <f t="shared" si="43"/>
        <v>22.570834045611956</v>
      </c>
      <c r="FF9" s="77">
        <f t="shared" si="44"/>
        <v>37.252866055281572</v>
      </c>
      <c r="FG9" s="77">
        <f t="shared" si="45"/>
        <v>34.621778118383332</v>
      </c>
      <c r="FH9" s="77">
        <f t="shared" si="46"/>
        <v>46.427905816139209</v>
      </c>
      <c r="FI9" s="77">
        <f t="shared" si="47"/>
        <v>47.429363630793013</v>
      </c>
      <c r="FJ9" s="77">
        <f t="shared" si="48"/>
        <v>46.674772939337529</v>
      </c>
      <c r="FK9" s="77">
        <f t="shared" si="49"/>
        <v>68.803337294561814</v>
      </c>
      <c r="FL9" s="77">
        <f t="shared" si="50"/>
        <v>-55.231459677032504</v>
      </c>
      <c r="FM9" s="77">
        <f t="shared" si="51"/>
        <v>-46.232503248949854</v>
      </c>
      <c r="FN9" s="77">
        <f t="shared" si="52"/>
        <v>-31.550471239280242</v>
      </c>
      <c r="FO9" s="77">
        <f t="shared" si="53"/>
        <v>-34.181559176178482</v>
      </c>
      <c r="FP9" s="77">
        <f t="shared" si="54"/>
        <v>-22.375431478422605</v>
      </c>
      <c r="FQ9" s="77">
        <f t="shared" si="55"/>
        <v>-21.373973663768801</v>
      </c>
      <c r="FR9" s="77">
        <f t="shared" si="56"/>
        <v>-22.128564355224285</v>
      </c>
      <c r="FS9" s="77"/>
      <c r="FT9" s="77">
        <f t="shared" si="57"/>
        <v>11.295527081803654</v>
      </c>
      <c r="FU9" s="77">
        <f t="shared" si="58"/>
        <v>81.463846255845311</v>
      </c>
      <c r="FV9" s="77">
        <f t="shared" si="59"/>
        <v>49.191690307054493</v>
      </c>
      <c r="FW9" s="77">
        <f t="shared" si="60"/>
        <v>61.728257965947087</v>
      </c>
      <c r="FX9" s="77">
        <f t="shared" si="61"/>
        <v>97.202360561976988</v>
      </c>
      <c r="FY9" s="77">
        <f t="shared" si="62"/>
        <v>102.52693596409159</v>
      </c>
      <c r="FZ9" s="77">
        <f t="shared" si="63"/>
        <v>98.051628099249783</v>
      </c>
      <c r="GA9" s="77">
        <f t="shared" si="64"/>
        <v>139.86917393775747</v>
      </c>
      <c r="GB9" s="77">
        <f t="shared" si="65"/>
        <v>-128.57364685595383</v>
      </c>
      <c r="GC9" s="77">
        <f t="shared" si="66"/>
        <v>-58.405327681912155</v>
      </c>
      <c r="GD9" s="77">
        <f t="shared" si="67"/>
        <v>-90.677483630702966</v>
      </c>
      <c r="GE9" s="77">
        <f t="shared" si="68"/>
        <v>-78.140915971810387</v>
      </c>
      <c r="GF9" s="77">
        <f t="shared" si="69"/>
        <v>-42.666813375780478</v>
      </c>
      <c r="GG9" s="77">
        <f t="shared" si="70"/>
        <v>-37.342237973665874</v>
      </c>
      <c r="GH9" s="77">
        <f t="shared" si="71"/>
        <v>-41.817545838507684</v>
      </c>
      <c r="GI9" s="77"/>
      <c r="GJ9" s="77" t="str">
        <f t="shared" si="72"/>
        <v/>
      </c>
      <c r="GK9" s="77" t="str">
        <f t="shared" si="73"/>
        <v/>
      </c>
      <c r="GL9" s="77" t="str">
        <f t="shared" si="74"/>
        <v/>
      </c>
      <c r="GM9" s="77" t="str">
        <f t="shared" si="75"/>
        <v/>
      </c>
      <c r="GN9" s="77" t="str">
        <f t="shared" si="76"/>
        <v/>
      </c>
      <c r="GO9" s="77" t="str">
        <f t="shared" si="77"/>
        <v/>
      </c>
      <c r="GP9" s="77" t="str">
        <f t="shared" si="78"/>
        <v/>
      </c>
      <c r="GQ9" s="77" t="str">
        <f t="shared" si="79"/>
        <v/>
      </c>
      <c r="GR9" s="77" t="str">
        <f t="shared" si="80"/>
        <v/>
      </c>
      <c r="GS9" s="77" t="str">
        <f t="shared" si="81"/>
        <v/>
      </c>
      <c r="GT9" s="77" t="str">
        <f t="shared" si="82"/>
        <v/>
      </c>
      <c r="GU9" s="77" t="str">
        <f t="shared" si="83"/>
        <v/>
      </c>
      <c r="GV9" s="77" t="str">
        <f t="shared" si="84"/>
        <v/>
      </c>
      <c r="GW9" s="77" t="str">
        <f t="shared" si="85"/>
        <v/>
      </c>
      <c r="GX9" s="77" t="str">
        <f t="shared" si="86"/>
        <v/>
      </c>
      <c r="GY9" s="77"/>
      <c r="GZ9" s="77">
        <f t="shared" si="87"/>
        <v>8.774552185153647</v>
      </c>
      <c r="HA9" s="77">
        <f t="shared" si="88"/>
        <v>7.9858843349396187</v>
      </c>
      <c r="HB9" s="77">
        <f t="shared" si="89"/>
        <v>12.273393957108466</v>
      </c>
      <c r="HC9" s="77">
        <f t="shared" si="90"/>
        <v>18.730067332446151</v>
      </c>
      <c r="HD9" s="77">
        <f t="shared" si="91"/>
        <v>22.905677384865378</v>
      </c>
      <c r="HE9" s="77">
        <f t="shared" si="92"/>
        <v>17.199968675968709</v>
      </c>
      <c r="HF9" s="77">
        <f t="shared" si="93"/>
        <v>17.115540489197748</v>
      </c>
      <c r="HG9" s="77">
        <f t="shared" si="94"/>
        <v>39.258389373400114</v>
      </c>
      <c r="HH9" s="77">
        <f t="shared" si="95"/>
        <v>-30.483837188246468</v>
      </c>
      <c r="HI9" s="77">
        <f t="shared" si="96"/>
        <v>-31.272505038460494</v>
      </c>
      <c r="HJ9" s="77">
        <f t="shared" si="97"/>
        <v>-26.984995416291646</v>
      </c>
      <c r="HK9" s="77">
        <f t="shared" si="98"/>
        <v>-20.528322040953963</v>
      </c>
      <c r="HL9" s="77">
        <f t="shared" si="99"/>
        <v>-16.352711988534736</v>
      </c>
      <c r="HM9" s="77">
        <f t="shared" si="100"/>
        <v>-22.058420697431405</v>
      </c>
      <c r="HN9" s="77">
        <f t="shared" si="101"/>
        <v>-22.142848884202365</v>
      </c>
      <c r="HO9" s="77"/>
      <c r="HP9" s="77">
        <f t="shared" si="102"/>
        <v>3.7288527173572903</v>
      </c>
      <c r="HQ9" s="77">
        <f t="shared" si="103"/>
        <v>20.264754875466974</v>
      </c>
      <c r="HR9" s="77">
        <f t="shared" si="104"/>
        <v>11.230713111680837</v>
      </c>
      <c r="HS9" s="77">
        <f t="shared" si="105"/>
        <v>12.937794680466096</v>
      </c>
      <c r="HT9" s="77">
        <f t="shared" si="106"/>
        <v>17.369486180024872</v>
      </c>
      <c r="HU9" s="77">
        <f t="shared" si="107"/>
        <v>17.034542544707488</v>
      </c>
      <c r="HV9" s="77">
        <f t="shared" si="108"/>
        <v>17.242647647940217</v>
      </c>
      <c r="HW9" s="77">
        <f t="shared" si="109"/>
        <v>24.123718899271985</v>
      </c>
      <c r="HX9" s="77">
        <f t="shared" si="110"/>
        <v>-20.394866181914693</v>
      </c>
      <c r="HY9" s="77">
        <f t="shared" si="111"/>
        <v>-3.8589640238050116</v>
      </c>
      <c r="HZ9" s="77">
        <f t="shared" si="112"/>
        <v>-12.893005787591148</v>
      </c>
      <c r="IA9" s="77">
        <f t="shared" si="113"/>
        <v>-11.185924218805889</v>
      </c>
      <c r="IB9" s="77">
        <f t="shared" si="114"/>
        <v>-6.7542327192471134</v>
      </c>
      <c r="IC9" s="77">
        <f t="shared" si="115"/>
        <v>-7.089176354564497</v>
      </c>
      <c r="ID9" s="77">
        <f t="shared" si="193"/>
        <v>-6.8810712513317682</v>
      </c>
      <c r="IE9" s="77"/>
      <c r="IF9" s="77">
        <f t="shared" si="116"/>
        <v>0</v>
      </c>
      <c r="IG9" s="77">
        <f t="shared" si="117"/>
        <v>3.2849740184824356</v>
      </c>
      <c r="IH9" s="77">
        <f t="shared" si="118"/>
        <v>36.18382404400031</v>
      </c>
      <c r="II9" s="77">
        <f t="shared" si="119"/>
        <v>52.763307529295375</v>
      </c>
      <c r="IJ9" s="77">
        <f t="shared" si="120"/>
        <v>36.610428638393863</v>
      </c>
      <c r="IK9" s="77">
        <f t="shared" si="121"/>
        <v>33.697733874216858</v>
      </c>
      <c r="IL9" s="77">
        <f t="shared" si="122"/>
        <v>39.927197516573159</v>
      </c>
      <c r="IM9" s="77">
        <f t="shared" si="123"/>
        <v>61.278046423886266</v>
      </c>
      <c r="IN9" s="77">
        <f t="shared" si="124"/>
        <v>-61.278046423886266</v>
      </c>
      <c r="IO9" s="77">
        <f t="shared" si="125"/>
        <v>-57.993072405403829</v>
      </c>
      <c r="IP9" s="77">
        <f t="shared" si="126"/>
        <v>-25.094222379885956</v>
      </c>
      <c r="IQ9" s="77">
        <f t="shared" si="127"/>
        <v>-8.5147388945908915</v>
      </c>
      <c r="IR9" s="77">
        <f t="shared" si="128"/>
        <v>-24.667617785492403</v>
      </c>
      <c r="IS9" s="77">
        <f t="shared" si="129"/>
        <v>-27.580312549669408</v>
      </c>
      <c r="IT9" s="77">
        <f t="shared" si="130"/>
        <v>-21.350848907313107</v>
      </c>
      <c r="IU9" s="77"/>
      <c r="IV9" s="77">
        <f t="shared" si="131"/>
        <v>2.1467187091531472</v>
      </c>
      <c r="IW9" s="77">
        <f t="shared" si="132"/>
        <v>7.5897819203945147</v>
      </c>
      <c r="IX9" s="77">
        <f t="shared" si="133"/>
        <v>7.2186012831178346</v>
      </c>
      <c r="IY9" s="77">
        <f t="shared" si="134"/>
        <v>9.1603041830521104</v>
      </c>
      <c r="IZ9" s="77">
        <f t="shared" si="135"/>
        <v>12.145431004721136</v>
      </c>
      <c r="JA9" s="77">
        <f t="shared" si="136"/>
        <v>12.039429194844432</v>
      </c>
      <c r="JB9" s="77">
        <f t="shared" si="137"/>
        <v>12.031442812871092</v>
      </c>
      <c r="JC9" s="77">
        <f t="shared" si="138"/>
        <v>18.669615376942794</v>
      </c>
      <c r="JD9" s="77">
        <f t="shared" si="139"/>
        <v>-16.522896667789645</v>
      </c>
      <c r="JE9" s="77">
        <f t="shared" si="140"/>
        <v>-11.079833456548279</v>
      </c>
      <c r="JF9" s="77">
        <f t="shared" si="141"/>
        <v>-11.451014093824959</v>
      </c>
      <c r="JG9" s="77">
        <f t="shared" si="142"/>
        <v>-9.5093111938906834</v>
      </c>
      <c r="JH9" s="77">
        <f t="shared" si="143"/>
        <v>-6.5241843722216579</v>
      </c>
      <c r="JI9" s="77">
        <f t="shared" si="144"/>
        <v>-6.6301861820983614</v>
      </c>
      <c r="JJ9" s="77">
        <f t="shared" si="145"/>
        <v>-6.6381725640717022</v>
      </c>
      <c r="JK9" s="77"/>
      <c r="JL9" s="77">
        <f t="shared" si="146"/>
        <v>0</v>
      </c>
      <c r="JM9" s="77">
        <f t="shared" si="147"/>
        <v>0</v>
      </c>
      <c r="JN9" s="77">
        <f t="shared" si="148"/>
        <v>0</v>
      </c>
      <c r="JO9" s="77">
        <f t="shared" si="149"/>
        <v>0</v>
      </c>
      <c r="JP9" s="77">
        <f t="shared" si="150"/>
        <v>0</v>
      </c>
      <c r="JQ9" s="77">
        <f t="shared" si="151"/>
        <v>0</v>
      </c>
      <c r="JR9" s="77">
        <f t="shared" si="152"/>
        <v>0</v>
      </c>
      <c r="JS9" s="77">
        <f t="shared" si="153"/>
        <v>0</v>
      </c>
      <c r="JT9" s="77">
        <f t="shared" si="154"/>
        <v>0</v>
      </c>
      <c r="JU9" s="77">
        <f t="shared" si="155"/>
        <v>0</v>
      </c>
      <c r="JV9" s="77">
        <f t="shared" si="156"/>
        <v>0</v>
      </c>
      <c r="JW9" s="77">
        <f t="shared" si="157"/>
        <v>0</v>
      </c>
      <c r="JX9" s="77">
        <f t="shared" si="158"/>
        <v>0</v>
      </c>
      <c r="JY9" s="77">
        <f t="shared" si="159"/>
        <v>0</v>
      </c>
      <c r="JZ9" s="77">
        <f t="shared" si="160"/>
        <v>0</v>
      </c>
      <c r="KA9" s="77"/>
      <c r="KB9" s="77">
        <f t="shared" si="161"/>
        <v>170.17863046762145</v>
      </c>
      <c r="KC9" s="77">
        <f t="shared" si="3"/>
        <v>378.61727471507464</v>
      </c>
      <c r="KD9" s="77">
        <f t="shared" si="3"/>
        <v>356.06123939117623</v>
      </c>
      <c r="KE9" s="77">
        <f t="shared" si="3"/>
        <v>454.96394188886734</v>
      </c>
      <c r="KF9" s="77">
        <f t="shared" si="3"/>
        <v>626.63761027767737</v>
      </c>
      <c r="KG9" s="77">
        <f t="shared" si="3"/>
        <v>607.98835044751524</v>
      </c>
      <c r="KH9" s="77">
        <f t="shared" si="3"/>
        <v>617.3708955341184</v>
      </c>
      <c r="KI9" s="77">
        <f t="shared" si="3"/>
        <v>975.53924459659731</v>
      </c>
      <c r="KJ9" s="77">
        <f t="shared" si="3"/>
        <v>-805.36061412897584</v>
      </c>
      <c r="KK9" s="77">
        <f t="shared" si="4"/>
        <v>-596.92196988152273</v>
      </c>
      <c r="KL9" s="77">
        <f t="shared" si="4"/>
        <v>-619.47800520542103</v>
      </c>
      <c r="KM9" s="77">
        <f t="shared" si="4"/>
        <v>-520.57530270772997</v>
      </c>
      <c r="KN9" s="77">
        <f t="shared" si="4"/>
        <v>-348.90163431891983</v>
      </c>
      <c r="KO9" s="77">
        <f t="shared" si="4"/>
        <v>-367.55089414908218</v>
      </c>
      <c r="KP9" s="77">
        <f t="shared" si="4"/>
        <v>-358.16834906247885</v>
      </c>
      <c r="KQ9" s="78"/>
      <c r="KR9" s="77">
        <f t="shared" si="162"/>
        <v>-492.87586113415239</v>
      </c>
      <c r="KS9" s="77">
        <f t="shared" si="163"/>
        <v>0.6119939968348389</v>
      </c>
      <c r="KT9" s="77">
        <f t="shared" si="5"/>
        <v>-388.07976402644306</v>
      </c>
      <c r="KU9" s="79">
        <f t="shared" si="164"/>
        <v>0.65013483102903591</v>
      </c>
      <c r="KV9" s="77">
        <f t="shared" si="6"/>
        <v>-420.82681265784407</v>
      </c>
      <c r="KW9" s="79">
        <f t="shared" si="165"/>
        <v>0.67932486564764549</v>
      </c>
      <c r="KX9" s="77">
        <f t="shared" si="7"/>
        <v>-358.51453121149962</v>
      </c>
      <c r="KY9" s="79">
        <f t="shared" si="166"/>
        <v>0.68868908944914509</v>
      </c>
      <c r="KZ9" s="77">
        <f t="shared" si="8"/>
        <v>-229.56064259922084</v>
      </c>
      <c r="LA9" s="79">
        <f t="shared" si="167"/>
        <v>0.65795232816074112</v>
      </c>
      <c r="LB9" s="77">
        <f t="shared" si="9"/>
        <v>-245.47658672788378</v>
      </c>
      <c r="LC9" s="79">
        <f t="shared" si="168"/>
        <v>0.66787100952695855</v>
      </c>
      <c r="LD9" s="77">
        <f t="shared" si="10"/>
        <v>-237.209297261828</v>
      </c>
      <c r="LE9" s="79">
        <f t="shared" si="169"/>
        <v>0.66228436399456736</v>
      </c>
      <c r="LF9" s="77" t="str" cm="1">
        <f t="array" ref="LF9">IFERROR(_xlfn.IFS(KR9=EV9,"Material",KR9=FL9,"Direct Labor",KR9=GB9,"Variable Overhead",KR9=GR9,"Indirect Labor",KR9=HH9,"Fixed Overhead",KR9=HX9,"SG&amp;A",KR9=IN9,"Depreciation",KR9=JD9,"Corporate allocation",KR9=JT9,"Amortized Tooling"),"")</f>
        <v>Material</v>
      </c>
      <c r="LG9" s="77" t="str" cm="1">
        <f t="array" ref="LG9">IFERROR(_xlfn.IFS(KT9=EW9,"Material",KT9=FM9,"Direct Labor",KT9=GC9,"Variable Overhead",KT9=GS9,"Indirect Labor",KT9=HI9,"Fixed Overhead",KT9=HY9,"SG&amp;A",KT9=IO9,"Depreciation",KT9=JE9,"Corporate Allocation",KT9=JU9,"Amortized Tooling"),"")</f>
        <v>Material</v>
      </c>
      <c r="LH9" s="77" t="str" cm="1">
        <f t="array" ref="LH9">IFERROR(_xlfn.IFS(KV9=EX9,"Material",KV9=FN9,"Direct Labor",KV9=GD9,"Variable Overhead",KV9=GT9,"Indirect Labor",KV9=HJ9,"Fixed Overhead",KV9=HZ9,"SG&amp;A",KV9=IP9,"Depreciation",KV9=JF9,"Corporate Allocation",KV9=JV9,"Amortized Tooling"),"")</f>
        <v>Material</v>
      </c>
      <c r="LI9" s="77" t="str" cm="1">
        <f t="array" ref="LI9">IFERROR(_xlfn.IFS(KX9=EY9,"Material",KX9=FO9,"Direct Labor",KX9=GE9,"Variable Overhead",KX9=GU9,"Indirect Labor",KX9=HK9,"Fixed Overhead",KX9=IA9,"SG&amp;A",KX9=IQ9,"Depreciation",KX9=JG9,"Corporate Allocation",KX9=JW9,"Amortized Tooling"),"")</f>
        <v>Material</v>
      </c>
      <c r="LJ9" s="77" t="str" cm="1">
        <f t="array" ref="LJ9">IFERROR(_xlfn.IFS(KZ9=EZ9,"Material",KZ9=FP9,"Direct Labor",KZ9=GF9,"Variable Overhead",KZ9=GV9,"Indirect Labor",KZ9=HL9,"Fixed Overhead",KZ9=IB9,"SG&amp;A",KZ9=IR9,"Depreciation",KZ9=JH9,"Corporate Allocation",KZ9=JX9,"Amortized Tooling"),"")</f>
        <v>Material</v>
      </c>
      <c r="LK9" s="77" t="str" cm="1">
        <f t="array" ref="LK9">IFERROR(_xlfn.IFS(LB9=FA9,"Material",LB9=FQ9,"Direct Labor",LB9=GG9,"Variable Overhead",LB9=GW9,"Indirect Labor",LB9=HM9,"Fixed Overhead",LB9=IC9,"SG&amp;A",LB9=IS9,"Depreciation",LB9=JI9,"Corporate Allocation",LB9=JY9,"Amortized Tooling"),"")</f>
        <v>Material</v>
      </c>
      <c r="LL9" s="77" t="str" cm="1">
        <f t="array" ref="LL9">IFERROR(_xlfn.IFS(LD9=FB9,"Material",LD9=FR9,"Direct Labor",LD9=GH9,"Variable Overhead",LD9=GX9,"Indirect Labor",LD9=HN9,"Fixed Overhead",LD9=ID9,"SG&amp;A",LD9=IT9,"Depreciation",LD9=JJ9,"Corporate Allocation",LD9=JZ9,"Amortized Tooling"),"")</f>
        <v>Material</v>
      </c>
      <c r="LM9" s="77" cm="1">
        <f t="array" ref="LM9">_xlfn.IFS(DL9="","",LN9="0% EBIT target","",LN9="12% EBIT target","",LN9="At quote",KJ9,LN9="2019",KK9,LN9="2020",KL9,LN9="2021",KM9,LN9="2022",KN9,LN9="2023",KO9,LN9="2024",KP9)</f>
        <v>-805.36061412897584</v>
      </c>
      <c r="LN9" s="77" t="str">
        <f t="shared" si="170"/>
        <v>At quote</v>
      </c>
      <c r="LO9" s="77" cm="1">
        <f t="array" ref="LO9">IFERROR(_xlfn.IFS(MN9="0% EBIT target","",MN9="12% EBIT target","",LN9="At quote",KR9,LN9="2019",KT9,LN9="2020",KV9,LN9="2021",KX9,LN9="2022",KZ9,LN9="2023",LB9,LN9="2024",LD9),"")</f>
        <v>-492.87586113415239</v>
      </c>
      <c r="LP9" s="78" t="str" cm="1">
        <f t="array" ref="LP9">IFERROR(_xlfn.IFS(MN9="0% EBIT target","",MN9="12% EBIT target","",LN9="At quote",LF9,LN9="2019",LG9,LN9="2020",LH9,LN9="2021",LI9,LN9="2022",LJ9,LN9="2023",LK9,LN9="2024",LL9),"")</f>
        <v>Material</v>
      </c>
      <c r="LQ9" s="79">
        <f t="shared" si="11"/>
        <v>0.6119939968348389</v>
      </c>
      <c r="LR9" s="78"/>
      <c r="LS9" s="79">
        <f t="shared" si="12"/>
        <v>4.732442680470422</v>
      </c>
      <c r="LT9" s="79">
        <f t="shared" si="12"/>
        <v>1.5765840856858195</v>
      </c>
      <c r="LU9" s="79">
        <f t="shared" si="12"/>
        <v>1.7398074731881998</v>
      </c>
      <c r="LV9" s="79">
        <f t="shared" si="12"/>
        <v>1.144212221624564</v>
      </c>
      <c r="LW9" s="79">
        <f t="shared" si="12"/>
        <v>0.5567837432616175</v>
      </c>
      <c r="LX9" s="79">
        <f t="shared" si="12"/>
        <v>0.60453608013795501</v>
      </c>
      <c r="LY9" s="79">
        <f t="shared" si="12"/>
        <v>0.58015101076737596</v>
      </c>
      <c r="LZ9" s="79">
        <f t="shared" si="13"/>
        <v>6.905602586759807E-2</v>
      </c>
      <c r="MA9" s="79" t="str">
        <f t="shared" si="14"/>
        <v/>
      </c>
      <c r="MB9" s="79">
        <f t="shared" si="171"/>
        <v>4.732442680470422</v>
      </c>
      <c r="MC9" s="80">
        <f t="shared" si="15"/>
        <v>912.52396599597603</v>
      </c>
      <c r="MD9" s="80">
        <f t="shared" si="172"/>
        <v>1136.9911950088854</v>
      </c>
      <c r="ME9" s="80">
        <f t="shared" si="173"/>
        <v>915.94768465679908</v>
      </c>
      <c r="MF9" s="80">
        <f t="shared" si="174"/>
        <v>876.39426523734949</v>
      </c>
      <c r="MG9" s="80">
        <f t="shared" si="175"/>
        <v>884.70445540472042</v>
      </c>
      <c r="MH9" s="80">
        <f t="shared" si="176"/>
        <v>908.57750752661968</v>
      </c>
      <c r="MI9" s="80">
        <f t="shared" si="177"/>
        <v>911.08460405427365</v>
      </c>
      <c r="MJ9" s="80">
        <f t="shared" si="178"/>
        <v>908.19957030661692</v>
      </c>
      <c r="MK9" s="80">
        <f t="shared" si="16"/>
        <v>975.53924459659731</v>
      </c>
      <c r="ML9" s="80" t="str">
        <f t="shared" si="16"/>
        <v/>
      </c>
      <c r="MM9" s="80">
        <f t="shared" si="179"/>
        <v>1136.9911950088854</v>
      </c>
      <c r="MN9" s="80" t="str" cm="1">
        <f t="array" ref="MN9">_xlfn.IFS(MC9="","",MM9=0,"",MM9=MD9,"At quote",MM9=ME9,"2019",MM9=MF9,"2020",MM9=MG9,"2021",MM9=MH9,"2022",MM9=MI9,"2023",MM9=MJ9,"2024",MM9=MK9,"0% EBIT target",MM9=ML9,"12% EBIT target")</f>
        <v>At quote</v>
      </c>
      <c r="MO9" s="81">
        <f t="shared" si="180"/>
        <v>5912691.2794290446</v>
      </c>
      <c r="MP9" s="81">
        <f t="shared" si="181"/>
        <v>1478172.8198572611</v>
      </c>
      <c r="MQ9" s="80">
        <f t="shared" si="17"/>
        <v>90184.173244740115</v>
      </c>
      <c r="MR9" s="80">
        <f t="shared" si="182"/>
        <v>22546.043311185029</v>
      </c>
      <c r="MS9" s="80" t="str">
        <f t="shared" si="18"/>
        <v/>
      </c>
      <c r="MT9" s="80" t="str">
        <f t="shared" si="183"/>
        <v/>
      </c>
      <c r="MU9" s="80" t="str">
        <f t="shared" si="19"/>
        <v/>
      </c>
      <c r="MV9" s="80" t="str">
        <f t="shared" si="184"/>
        <v/>
      </c>
      <c r="MW9" s="80" t="str">
        <f t="shared" si="20"/>
        <v/>
      </c>
      <c r="MX9" s="80" t="str">
        <f t="shared" si="185"/>
        <v/>
      </c>
      <c r="MY9" s="80" t="str">
        <f t="shared" si="21"/>
        <v/>
      </c>
      <c r="MZ9" s="80" t="str">
        <f t="shared" si="186"/>
        <v/>
      </c>
      <c r="NA9" s="80" t="str">
        <f t="shared" si="22"/>
        <v/>
      </c>
      <c r="NB9" s="80" t="str">
        <f t="shared" si="187"/>
        <v/>
      </c>
      <c r="NC9" s="80">
        <f t="shared" si="188"/>
        <v>1659885.4536189653</v>
      </c>
      <c r="ND9" s="80">
        <f t="shared" si="189"/>
        <v>414971.36340474134</v>
      </c>
      <c r="NE9" s="80" t="str">
        <f t="shared" si="23"/>
        <v/>
      </c>
      <c r="NF9" s="80" t="str">
        <f t="shared" si="190"/>
        <v/>
      </c>
      <c r="NG9" s="80">
        <f t="shared" si="24"/>
        <v>224.46722901290934</v>
      </c>
      <c r="NH9" s="80">
        <f t="shared" si="25"/>
        <v>5912691.2794290446</v>
      </c>
      <c r="NI9" s="80">
        <f t="shared" si="191"/>
        <v>2956345.6397145223</v>
      </c>
      <c r="NJ9" s="80">
        <f t="shared" si="192"/>
        <v>1478172.8198572611</v>
      </c>
    </row>
    <row r="10" spans="1:374" x14ac:dyDescent="0.25">
      <c r="A10" s="71" t="s">
        <v>408</v>
      </c>
      <c r="B10" s="82"/>
      <c r="C10" s="82" t="s">
        <v>415</v>
      </c>
      <c r="D10" s="82" t="s">
        <v>416</v>
      </c>
      <c r="E10" s="83" t="s">
        <v>399</v>
      </c>
      <c r="F10" s="82" t="s">
        <v>399</v>
      </c>
      <c r="G10" s="82" t="s">
        <v>417</v>
      </c>
      <c r="H10" s="71" t="str">
        <f t="shared" si="26"/>
        <v>Ibirite CBA CVT All</v>
      </c>
      <c r="I10" s="82" t="s">
        <v>401</v>
      </c>
      <c r="J10" s="82" t="s">
        <v>402</v>
      </c>
      <c r="K10" s="82" t="s">
        <v>403</v>
      </c>
      <c r="L10" s="72">
        <v>0</v>
      </c>
      <c r="M10" s="72">
        <v>2021</v>
      </c>
      <c r="N10" s="73">
        <f>DATE(2027,12,31)</f>
        <v>46752</v>
      </c>
      <c r="O10" s="84">
        <v>0</v>
      </c>
      <c r="P10" s="84">
        <v>0</v>
      </c>
      <c r="Q10" s="84">
        <v>192.0532741398446</v>
      </c>
      <c r="R10" s="84">
        <v>192.03107658157603</v>
      </c>
      <c r="S10" s="84">
        <v>192.03107658157603</v>
      </c>
      <c r="T10" s="84">
        <v>192.03107658157603</v>
      </c>
      <c r="U10" s="84">
        <v>192.03107658157603</v>
      </c>
      <c r="V10" s="84">
        <v>192.03107658157603</v>
      </c>
      <c r="W10" s="84">
        <v>192.01997780244173</v>
      </c>
      <c r="X10" s="84">
        <v>0</v>
      </c>
      <c r="Y10" s="84">
        <v>0</v>
      </c>
      <c r="Z10" s="84">
        <v>15016.666666666668</v>
      </c>
      <c r="AA10" s="84">
        <v>45050</v>
      </c>
      <c r="AB10" s="84">
        <v>45050</v>
      </c>
      <c r="AC10" s="84">
        <v>45050</v>
      </c>
      <c r="AD10" s="84">
        <v>45050</v>
      </c>
      <c r="AE10" s="84">
        <v>45050</v>
      </c>
      <c r="AF10" s="84">
        <v>30033.333333333336</v>
      </c>
      <c r="AG10" s="84">
        <v>117.69133443604018</v>
      </c>
      <c r="AH10" s="84">
        <v>6.0998890122086573</v>
      </c>
      <c r="AI10" s="84">
        <v>20.604048161483341</v>
      </c>
      <c r="AJ10" s="84"/>
      <c r="AK10" s="84">
        <v>3.626583990184947</v>
      </c>
      <c r="AL10" s="84">
        <v>6.6466139474657808</v>
      </c>
      <c r="AM10" s="84">
        <v>0</v>
      </c>
      <c r="AN10" s="84">
        <v>0</v>
      </c>
      <c r="AO10" s="84">
        <v>12.250354219995408</v>
      </c>
      <c r="AP10" s="84">
        <v>0</v>
      </c>
      <c r="AQ10" s="84">
        <v>0</v>
      </c>
      <c r="AR10" s="84">
        <v>0</v>
      </c>
      <c r="AS10" s="84">
        <v>0</v>
      </c>
      <c r="AT10" s="84">
        <v>0</v>
      </c>
      <c r="AU10" s="84">
        <v>0</v>
      </c>
      <c r="AV10" s="84"/>
      <c r="AW10" s="84">
        <v>0</v>
      </c>
      <c r="AX10" s="84">
        <v>0</v>
      </c>
      <c r="AY10" s="84">
        <v>0</v>
      </c>
      <c r="AZ10" s="84">
        <v>0</v>
      </c>
      <c r="BA10" s="84">
        <v>0</v>
      </c>
      <c r="BB10" s="84">
        <v>0</v>
      </c>
      <c r="BC10" s="84">
        <v>0</v>
      </c>
      <c r="BD10" s="84">
        <v>0</v>
      </c>
      <c r="BE10" s="84">
        <v>0</v>
      </c>
      <c r="BF10" s="84">
        <v>0</v>
      </c>
      <c r="BG10" s="84">
        <v>0</v>
      </c>
      <c r="BH10" s="84"/>
      <c r="BI10" s="84">
        <v>0</v>
      </c>
      <c r="BJ10" s="84">
        <v>0</v>
      </c>
      <c r="BK10" s="84">
        <v>0</v>
      </c>
      <c r="BL10" s="84">
        <v>0</v>
      </c>
      <c r="BM10" s="84">
        <v>0</v>
      </c>
      <c r="BN10" s="84">
        <v>0</v>
      </c>
      <c r="BO10" s="84">
        <v>0</v>
      </c>
      <c r="BP10" s="84">
        <v>0</v>
      </c>
      <c r="BQ10" s="84">
        <v>0</v>
      </c>
      <c r="BR10" s="84">
        <v>0</v>
      </c>
      <c r="BS10" s="84">
        <v>0</v>
      </c>
      <c r="BT10" s="84"/>
      <c r="BU10" s="84">
        <v>0</v>
      </c>
      <c r="BV10" s="84">
        <v>0</v>
      </c>
      <c r="BW10" s="84">
        <v>0</v>
      </c>
      <c r="BX10" s="84">
        <v>0</v>
      </c>
      <c r="BY10" s="84">
        <v>0</v>
      </c>
      <c r="BZ10" s="84">
        <v>314.94552532167535</v>
      </c>
      <c r="CA10" s="84">
        <v>314.94552532167535</v>
      </c>
      <c r="CB10" s="84">
        <v>29697</v>
      </c>
      <c r="CC10" s="84">
        <v>210.83102103297389</v>
      </c>
      <c r="CD10" s="84">
        <v>9.6442710927000039</v>
      </c>
      <c r="CE10" s="84">
        <v>38.992986336428729</v>
      </c>
      <c r="CF10" s="84"/>
      <c r="CG10" s="84">
        <v>3.6531730826397197</v>
      </c>
      <c r="CH10" s="84">
        <v>5.7418622869589049</v>
      </c>
      <c r="CI10" s="84">
        <v>0</v>
      </c>
      <c r="CJ10" s="84">
        <v>6.4718090211461137</v>
      </c>
      <c r="CK10" s="84">
        <v>7.4544391750212764</v>
      </c>
      <c r="CL10" s="84">
        <v>284.33312022381205</v>
      </c>
      <c r="CM10" s="84">
        <v>284.33312022381205</v>
      </c>
      <c r="CN10" s="84">
        <v>81262</v>
      </c>
      <c r="CO10" s="84">
        <v>201.49615156215947</v>
      </c>
      <c r="CP10" s="84">
        <v>10.923042363414833</v>
      </c>
      <c r="CQ10" s="84">
        <v>34.278493436520549</v>
      </c>
      <c r="CR10" s="84"/>
      <c r="CS10" s="84">
        <v>2.6391400255894086</v>
      </c>
      <c r="CT10" s="84">
        <v>4.604235299824877</v>
      </c>
      <c r="CU10" s="84">
        <v>0</v>
      </c>
      <c r="CV10" s="84">
        <v>6.5271418786215767</v>
      </c>
      <c r="CW10" s="84">
        <v>6.8298400417656424</v>
      </c>
      <c r="CX10" s="84">
        <v>266.16358781052725</v>
      </c>
      <c r="CY10" s="84">
        <v>266.16358781052725</v>
      </c>
      <c r="CZ10" s="84">
        <v>88076</v>
      </c>
      <c r="DA10" s="84">
        <v>198.60369405785229</v>
      </c>
      <c r="DB10" s="84">
        <v>11.736532615795024</v>
      </c>
      <c r="DC10" s="84">
        <v>33.830882318220922</v>
      </c>
      <c r="DD10" s="84"/>
      <c r="DE10" s="84">
        <v>2.6417333064578066</v>
      </c>
      <c r="DF10" s="84">
        <v>4.3310114201501477</v>
      </c>
      <c r="DG10" s="84">
        <v>0</v>
      </c>
      <c r="DH10" s="84">
        <v>6.9857912072755193</v>
      </c>
      <c r="DI10" s="84">
        <v>6.3278352733903267</v>
      </c>
      <c r="DJ10" s="84">
        <v>251.30468555520864</v>
      </c>
      <c r="DK10" s="84">
        <v>251.30468555520864</v>
      </c>
      <c r="DL10" s="84">
        <v>88076</v>
      </c>
      <c r="DM10" s="75">
        <f t="shared" si="0"/>
        <v>22133911.484960556</v>
      </c>
      <c r="DN10" s="85">
        <f t="shared" si="1"/>
        <v>-164429.50511376414</v>
      </c>
      <c r="DO10" s="86">
        <f t="shared" si="2"/>
        <v>-7.4288498544638126E-3</v>
      </c>
      <c r="DP10" s="84">
        <v>189.13381137164606</v>
      </c>
      <c r="DQ10" s="84">
        <v>14.711043179992744</v>
      </c>
      <c r="DR10" s="84">
        <v>32.269685192479415</v>
      </c>
      <c r="DS10" s="84"/>
      <c r="DT10" s="84">
        <v>2.4060461800796014</v>
      </c>
      <c r="DU10" s="84">
        <v>3.977363631979197</v>
      </c>
      <c r="DV10" s="84">
        <v>0</v>
      </c>
      <c r="DW10" s="84">
        <v>6.4296360313030805</v>
      </c>
      <c r="DX10" s="84">
        <v>4.2440047444414173</v>
      </c>
      <c r="DY10" s="84"/>
      <c r="DZ10" s="84">
        <v>240.73960543792776</v>
      </c>
      <c r="EA10" s="84">
        <v>86099.7</v>
      </c>
      <c r="EB10" s="84"/>
      <c r="EC10" s="84"/>
      <c r="ED10" s="84"/>
      <c r="EE10" s="84"/>
      <c r="EF10" s="84"/>
      <c r="EG10" s="84"/>
      <c r="EH10" s="84"/>
      <c r="EI10" s="84"/>
      <c r="EJ10" s="84"/>
      <c r="EK10" s="84">
        <v>232.22937222757244</v>
      </c>
      <c r="EL10" s="84">
        <v>85186.08</v>
      </c>
      <c r="EM10" s="84" t="s">
        <v>404</v>
      </c>
      <c r="EN10" s="77">
        <f t="shared" si="27"/>
        <v>117.69133443604018</v>
      </c>
      <c r="EO10" s="77">
        <f t="shared" si="28"/>
        <v>0</v>
      </c>
      <c r="EP10" s="77">
        <f t="shared" si="29"/>
        <v>0</v>
      </c>
      <c r="EQ10" s="77">
        <f t="shared" si="30"/>
        <v>0</v>
      </c>
      <c r="ER10" s="77">
        <f t="shared" si="31"/>
        <v>210.83102103297389</v>
      </c>
      <c r="ES10" s="77">
        <f t="shared" si="32"/>
        <v>201.49615156215947</v>
      </c>
      <c r="ET10" s="77">
        <f t="shared" si="33"/>
        <v>198.60369405785229</v>
      </c>
      <c r="EU10" s="77">
        <f t="shared" si="34"/>
        <v>189.13381137164606</v>
      </c>
      <c r="EV10" s="77">
        <f t="shared" si="35"/>
        <v>-71.442476935605882</v>
      </c>
      <c r="EW10" s="77">
        <f t="shared" si="36"/>
        <v>-189.13381137164606</v>
      </c>
      <c r="EX10" s="77">
        <f t="shared" si="37"/>
        <v>-189.13381137164606</v>
      </c>
      <c r="EY10" s="77">
        <f t="shared" si="38"/>
        <v>-189.13381137164606</v>
      </c>
      <c r="EZ10" s="77">
        <f t="shared" si="39"/>
        <v>0</v>
      </c>
      <c r="FA10" s="77">
        <f t="shared" si="40"/>
        <v>0</v>
      </c>
      <c r="FB10" s="77">
        <f t="shared" si="41"/>
        <v>0</v>
      </c>
      <c r="FC10" s="77"/>
      <c r="FD10" s="77">
        <f t="shared" si="42"/>
        <v>6.0998890122086573</v>
      </c>
      <c r="FE10" s="77">
        <f t="shared" si="43"/>
        <v>0</v>
      </c>
      <c r="FF10" s="77">
        <f t="shared" si="44"/>
        <v>0</v>
      </c>
      <c r="FG10" s="77">
        <f t="shared" si="45"/>
        <v>0</v>
      </c>
      <c r="FH10" s="77">
        <f t="shared" si="46"/>
        <v>9.6442710927000039</v>
      </c>
      <c r="FI10" s="77">
        <f t="shared" si="47"/>
        <v>10.923042363414833</v>
      </c>
      <c r="FJ10" s="77">
        <f t="shared" si="48"/>
        <v>11.736532615795024</v>
      </c>
      <c r="FK10" s="77">
        <f t="shared" si="49"/>
        <v>14.711043179992744</v>
      </c>
      <c r="FL10" s="77">
        <f t="shared" si="50"/>
        <v>-8.6111541677840862</v>
      </c>
      <c r="FM10" s="77">
        <f t="shared" si="51"/>
        <v>-14.711043179992744</v>
      </c>
      <c r="FN10" s="77">
        <f t="shared" si="52"/>
        <v>-14.711043179992744</v>
      </c>
      <c r="FO10" s="77">
        <f t="shared" si="53"/>
        <v>-14.711043179992744</v>
      </c>
      <c r="FP10" s="77">
        <f t="shared" si="54"/>
        <v>-5.0667720872927404</v>
      </c>
      <c r="FQ10" s="77">
        <f t="shared" si="55"/>
        <v>-3.7880008165779113</v>
      </c>
      <c r="FR10" s="77">
        <f t="shared" si="56"/>
        <v>-2.9745105641977201</v>
      </c>
      <c r="FS10" s="77"/>
      <c r="FT10" s="77">
        <f t="shared" si="57"/>
        <v>20.604048161483341</v>
      </c>
      <c r="FU10" s="77">
        <f t="shared" si="58"/>
        <v>0</v>
      </c>
      <c r="FV10" s="77">
        <f t="shared" si="59"/>
        <v>0</v>
      </c>
      <c r="FW10" s="77">
        <f t="shared" si="60"/>
        <v>0</v>
      </c>
      <c r="FX10" s="77">
        <f t="shared" si="61"/>
        <v>38.992986336428729</v>
      </c>
      <c r="FY10" s="77">
        <f t="shared" si="62"/>
        <v>34.278493436520549</v>
      </c>
      <c r="FZ10" s="77">
        <f t="shared" si="63"/>
        <v>33.830882318220922</v>
      </c>
      <c r="GA10" s="77">
        <f t="shared" si="64"/>
        <v>32.269685192479415</v>
      </c>
      <c r="GB10" s="77">
        <f t="shared" si="65"/>
        <v>-11.665637030996074</v>
      </c>
      <c r="GC10" s="77">
        <f t="shared" si="66"/>
        <v>-32.269685192479415</v>
      </c>
      <c r="GD10" s="77">
        <f t="shared" si="67"/>
        <v>-32.269685192479415</v>
      </c>
      <c r="GE10" s="77">
        <f t="shared" si="68"/>
        <v>-32.269685192479415</v>
      </c>
      <c r="GF10" s="77">
        <f t="shared" si="69"/>
        <v>0</v>
      </c>
      <c r="GG10" s="77">
        <f t="shared" si="70"/>
        <v>0</v>
      </c>
      <c r="GH10" s="77">
        <f t="shared" si="71"/>
        <v>0</v>
      </c>
      <c r="GI10" s="77"/>
      <c r="GJ10" s="77" t="str">
        <f t="shared" si="72"/>
        <v/>
      </c>
      <c r="GK10" s="77" t="str">
        <f t="shared" si="73"/>
        <v/>
      </c>
      <c r="GL10" s="77" t="str">
        <f t="shared" si="74"/>
        <v/>
      </c>
      <c r="GM10" s="77" t="str">
        <f t="shared" si="75"/>
        <v/>
      </c>
      <c r="GN10" s="77" t="str">
        <f t="shared" si="76"/>
        <v/>
      </c>
      <c r="GO10" s="77" t="str">
        <f t="shared" si="77"/>
        <v/>
      </c>
      <c r="GP10" s="77" t="str">
        <f t="shared" si="78"/>
        <v/>
      </c>
      <c r="GQ10" s="77" t="str">
        <f t="shared" si="79"/>
        <v/>
      </c>
      <c r="GR10" s="77" t="str">
        <f t="shared" si="80"/>
        <v/>
      </c>
      <c r="GS10" s="77" t="str">
        <f t="shared" si="81"/>
        <v/>
      </c>
      <c r="GT10" s="77" t="str">
        <f t="shared" si="82"/>
        <v/>
      </c>
      <c r="GU10" s="77" t="str">
        <f t="shared" si="83"/>
        <v/>
      </c>
      <c r="GV10" s="77" t="str">
        <f t="shared" si="84"/>
        <v/>
      </c>
      <c r="GW10" s="77" t="str">
        <f t="shared" si="85"/>
        <v/>
      </c>
      <c r="GX10" s="77" t="str">
        <f t="shared" si="86"/>
        <v/>
      </c>
      <c r="GY10" s="77"/>
      <c r="GZ10" s="77">
        <f t="shared" si="87"/>
        <v>3.626583990184947</v>
      </c>
      <c r="HA10" s="77">
        <f t="shared" si="88"/>
        <v>0</v>
      </c>
      <c r="HB10" s="77">
        <f t="shared" si="89"/>
        <v>0</v>
      </c>
      <c r="HC10" s="77">
        <f t="shared" si="90"/>
        <v>0</v>
      </c>
      <c r="HD10" s="77">
        <f t="shared" si="91"/>
        <v>3.6531730826397197</v>
      </c>
      <c r="HE10" s="77">
        <f t="shared" si="92"/>
        <v>2.6391400255894086</v>
      </c>
      <c r="HF10" s="77">
        <f t="shared" si="93"/>
        <v>2.6417333064578066</v>
      </c>
      <c r="HG10" s="77">
        <f t="shared" si="94"/>
        <v>2.4060461800796014</v>
      </c>
      <c r="HH10" s="77">
        <f t="shared" si="95"/>
        <v>0</v>
      </c>
      <c r="HI10" s="77">
        <f t="shared" si="96"/>
        <v>-2.4060461800796014</v>
      </c>
      <c r="HJ10" s="77">
        <f t="shared" si="97"/>
        <v>-2.4060461800796014</v>
      </c>
      <c r="HK10" s="77">
        <f t="shared" si="98"/>
        <v>-2.4060461800796014</v>
      </c>
      <c r="HL10" s="77">
        <f t="shared" si="99"/>
        <v>0</v>
      </c>
      <c r="HM10" s="77">
        <f t="shared" si="100"/>
        <v>0</v>
      </c>
      <c r="HN10" s="77">
        <f t="shared" si="101"/>
        <v>0</v>
      </c>
      <c r="HO10" s="77"/>
      <c r="HP10" s="77">
        <f t="shared" si="102"/>
        <v>12.250354219995408</v>
      </c>
      <c r="HQ10" s="77">
        <f t="shared" si="103"/>
        <v>0</v>
      </c>
      <c r="HR10" s="77">
        <f t="shared" si="104"/>
        <v>0</v>
      </c>
      <c r="HS10" s="77">
        <f t="shared" si="105"/>
        <v>0</v>
      </c>
      <c r="HT10" s="77">
        <f t="shared" si="106"/>
        <v>7.4544391750212764</v>
      </c>
      <c r="HU10" s="77">
        <f t="shared" si="107"/>
        <v>6.8298400417656424</v>
      </c>
      <c r="HV10" s="77">
        <f t="shared" si="108"/>
        <v>6.3278352733903267</v>
      </c>
      <c r="HW10" s="77">
        <f t="shared" si="109"/>
        <v>4.2440047444414173</v>
      </c>
      <c r="HX10" s="77">
        <f t="shared" si="110"/>
        <v>0</v>
      </c>
      <c r="HY10" s="77">
        <f t="shared" si="111"/>
        <v>-4.2440047444414173</v>
      </c>
      <c r="HZ10" s="77">
        <f t="shared" si="112"/>
        <v>-4.2440047444414173</v>
      </c>
      <c r="IA10" s="77">
        <f t="shared" si="113"/>
        <v>-4.2440047444414173</v>
      </c>
      <c r="IB10" s="77">
        <f t="shared" si="114"/>
        <v>0</v>
      </c>
      <c r="IC10" s="77">
        <f t="shared" si="115"/>
        <v>0</v>
      </c>
      <c r="ID10" s="77">
        <f t="shared" si="193"/>
        <v>0</v>
      </c>
      <c r="IE10" s="77"/>
      <c r="IF10" s="77">
        <f t="shared" si="116"/>
        <v>6.6466139474657808</v>
      </c>
      <c r="IG10" s="77">
        <f t="shared" si="117"/>
        <v>0</v>
      </c>
      <c r="IH10" s="77">
        <f t="shared" si="118"/>
        <v>0</v>
      </c>
      <c r="II10" s="77">
        <f t="shared" si="119"/>
        <v>0</v>
      </c>
      <c r="IJ10" s="77">
        <f t="shared" si="120"/>
        <v>5.7418622869589049</v>
      </c>
      <c r="IK10" s="77">
        <f t="shared" si="121"/>
        <v>4.604235299824877</v>
      </c>
      <c r="IL10" s="77">
        <f t="shared" si="122"/>
        <v>4.3310114201501477</v>
      </c>
      <c r="IM10" s="77">
        <f t="shared" si="123"/>
        <v>3.977363631979197</v>
      </c>
      <c r="IN10" s="77">
        <f t="shared" si="124"/>
        <v>0</v>
      </c>
      <c r="IO10" s="77">
        <f t="shared" si="125"/>
        <v>-3.977363631979197</v>
      </c>
      <c r="IP10" s="77">
        <f t="shared" si="126"/>
        <v>-3.977363631979197</v>
      </c>
      <c r="IQ10" s="77">
        <f t="shared" si="127"/>
        <v>-3.977363631979197</v>
      </c>
      <c r="IR10" s="77">
        <f t="shared" si="128"/>
        <v>0</v>
      </c>
      <c r="IS10" s="77">
        <f t="shared" si="129"/>
        <v>0</v>
      </c>
      <c r="IT10" s="77">
        <f t="shared" si="130"/>
        <v>0</v>
      </c>
      <c r="IU10" s="77"/>
      <c r="IV10" s="77">
        <f t="shared" si="131"/>
        <v>0</v>
      </c>
      <c r="IW10" s="77">
        <f t="shared" si="132"/>
        <v>0</v>
      </c>
      <c r="IX10" s="77">
        <f t="shared" si="133"/>
        <v>0</v>
      </c>
      <c r="IY10" s="77">
        <f t="shared" si="134"/>
        <v>0</v>
      </c>
      <c r="IZ10" s="77">
        <f t="shared" si="135"/>
        <v>6.4718090211461137</v>
      </c>
      <c r="JA10" s="77">
        <f t="shared" si="136"/>
        <v>6.5271418786215767</v>
      </c>
      <c r="JB10" s="77">
        <f t="shared" si="137"/>
        <v>6.9857912072755193</v>
      </c>
      <c r="JC10" s="77">
        <f t="shared" si="138"/>
        <v>6.4296360313030805</v>
      </c>
      <c r="JD10" s="77">
        <f t="shared" si="139"/>
        <v>-6.4296360313030805</v>
      </c>
      <c r="JE10" s="77">
        <f t="shared" si="140"/>
        <v>-6.4296360313030805</v>
      </c>
      <c r="JF10" s="77">
        <f t="shared" si="141"/>
        <v>-6.4296360313030805</v>
      </c>
      <c r="JG10" s="77">
        <f t="shared" si="142"/>
        <v>-6.4296360313030805</v>
      </c>
      <c r="JH10" s="77">
        <f t="shared" si="143"/>
        <v>0</v>
      </c>
      <c r="JI10" s="77">
        <f t="shared" si="144"/>
        <v>0</v>
      </c>
      <c r="JJ10" s="77">
        <f t="shared" si="145"/>
        <v>0</v>
      </c>
      <c r="JK10" s="77"/>
      <c r="JL10" s="77">
        <f t="shared" si="146"/>
        <v>0</v>
      </c>
      <c r="JM10" s="77">
        <f t="shared" si="147"/>
        <v>0</v>
      </c>
      <c r="JN10" s="77">
        <f t="shared" si="148"/>
        <v>0</v>
      </c>
      <c r="JO10" s="77">
        <f t="shared" si="149"/>
        <v>0</v>
      </c>
      <c r="JP10" s="77">
        <f t="shared" si="150"/>
        <v>0</v>
      </c>
      <c r="JQ10" s="77">
        <f t="shared" si="151"/>
        <v>0</v>
      </c>
      <c r="JR10" s="77">
        <f t="shared" si="152"/>
        <v>0</v>
      </c>
      <c r="JS10" s="77">
        <f t="shared" si="153"/>
        <v>0</v>
      </c>
      <c r="JT10" s="77">
        <f t="shared" si="154"/>
        <v>0</v>
      </c>
      <c r="JU10" s="77">
        <f t="shared" si="155"/>
        <v>0</v>
      </c>
      <c r="JV10" s="77">
        <f t="shared" si="156"/>
        <v>0</v>
      </c>
      <c r="JW10" s="77">
        <f t="shared" si="157"/>
        <v>0</v>
      </c>
      <c r="JX10" s="77">
        <f t="shared" si="158"/>
        <v>0</v>
      </c>
      <c r="JY10" s="77">
        <f t="shared" si="159"/>
        <v>0</v>
      </c>
      <c r="JZ10" s="77">
        <f t="shared" si="160"/>
        <v>0</v>
      </c>
      <c r="KA10" s="77"/>
      <c r="KB10" s="77">
        <f t="shared" si="161"/>
        <v>166.91882376737834</v>
      </c>
      <c r="KC10" s="77">
        <f t="shared" si="3"/>
        <v>0</v>
      </c>
      <c r="KD10" s="77">
        <f t="shared" si="3"/>
        <v>0</v>
      </c>
      <c r="KE10" s="77">
        <f t="shared" si="3"/>
        <v>0</v>
      </c>
      <c r="KF10" s="77">
        <f t="shared" si="3"/>
        <v>282.78956202786861</v>
      </c>
      <c r="KG10" s="77">
        <f t="shared" si="3"/>
        <v>267.29804460789637</v>
      </c>
      <c r="KH10" s="77">
        <f t="shared" si="3"/>
        <v>264.45748019914203</v>
      </c>
      <c r="KI10" s="77">
        <f t="shared" si="3"/>
        <v>253.17159033192152</v>
      </c>
      <c r="KJ10" s="77">
        <f t="shared" si="3"/>
        <v>-98.148904165689103</v>
      </c>
      <c r="KK10" s="77">
        <f t="shared" si="4"/>
        <v>-253.17159033192152</v>
      </c>
      <c r="KL10" s="77">
        <f t="shared" si="4"/>
        <v>-253.17159033192152</v>
      </c>
      <c r="KM10" s="77">
        <f t="shared" si="4"/>
        <v>-253.17159033192152</v>
      </c>
      <c r="KN10" s="77">
        <f t="shared" si="4"/>
        <v>-5.0667720872927404</v>
      </c>
      <c r="KO10" s="77">
        <f t="shared" si="4"/>
        <v>-3.7880008165779113</v>
      </c>
      <c r="KP10" s="77">
        <f t="shared" si="4"/>
        <v>-2.9745105641977201</v>
      </c>
      <c r="KQ10" s="78"/>
      <c r="KR10" s="77">
        <f t="shared" si="162"/>
        <v>-71.442476935605882</v>
      </c>
      <c r="KS10" s="77">
        <f t="shared" si="163"/>
        <v>0.72789887511123885</v>
      </c>
      <c r="KT10" s="77">
        <f t="shared" si="5"/>
        <v>-189.13381137164606</v>
      </c>
      <c r="KU10" s="79">
        <f t="shared" si="164"/>
        <v>0.74705780029932067</v>
      </c>
      <c r="KV10" s="77">
        <f t="shared" si="6"/>
        <v>-189.13381137164606</v>
      </c>
      <c r="KW10" s="79">
        <f t="shared" si="165"/>
        <v>0.74705780029932067</v>
      </c>
      <c r="KX10" s="77">
        <f t="shared" si="7"/>
        <v>-189.13381137164606</v>
      </c>
      <c r="KY10" s="79">
        <f t="shared" si="166"/>
        <v>0.74705780029932067</v>
      </c>
      <c r="KZ10" s="77">
        <f t="shared" si="8"/>
        <v>-5.0667720872927404</v>
      </c>
      <c r="LA10" s="79">
        <f t="shared" si="167"/>
        <v>1</v>
      </c>
      <c r="LB10" s="77">
        <f t="shared" si="9"/>
        <v>-3.7880008165779113</v>
      </c>
      <c r="LC10" s="79">
        <f t="shared" si="168"/>
        <v>1</v>
      </c>
      <c r="LD10" s="77">
        <f t="shared" si="10"/>
        <v>-2.9745105641977201</v>
      </c>
      <c r="LE10" s="79">
        <f t="shared" si="169"/>
        <v>1</v>
      </c>
      <c r="LF10" s="77" t="str" cm="1">
        <f t="array" ref="LF10">IFERROR(_xlfn.IFS(KR10=EV10,"Material",KR10=FL10,"Direct Labor",KR10=GB10,"Variable Overhead",KR10=GR10,"Indirect Labor",KR10=HH10,"Fixed Overhead",KR10=HX10,"SG&amp;A",KR10=IN10,"Depreciation",KR10=JD10,"Corporate allocation",KR10=JT10,"Amortized Tooling"),"")</f>
        <v>Material</v>
      </c>
      <c r="LG10" s="77" t="str" cm="1">
        <f t="array" ref="LG10">IFERROR(_xlfn.IFS(KT10=EW10,"Material",KT10=FM10,"Direct Labor",KT10=GC10,"Variable Overhead",KT10=GS10,"Indirect Labor",KT10=HI10,"Fixed Overhead",KT10=HY10,"SG&amp;A",KT10=IO10,"Depreciation",KT10=JE10,"Corporate Allocation",KT10=JU10,"Amortized Tooling"),"")</f>
        <v>Material</v>
      </c>
      <c r="LH10" s="77" t="str" cm="1">
        <f t="array" ref="LH10">IFERROR(_xlfn.IFS(KV10=EX10,"Material",KV10=FN10,"Direct Labor",KV10=GD10,"Variable Overhead",KV10=GT10,"Indirect Labor",KV10=HJ10,"Fixed Overhead",KV10=HZ10,"SG&amp;A",KV10=IP10,"Depreciation",KV10=JF10,"Corporate Allocation",KV10=JV10,"Amortized Tooling"),"")</f>
        <v>Material</v>
      </c>
      <c r="LI10" s="77" t="str" cm="1">
        <f t="array" ref="LI10">IFERROR(_xlfn.IFS(KX10=EY10,"Material",KX10=FO10,"Direct Labor",KX10=GE10,"Variable Overhead",KX10=GU10,"Indirect Labor",KX10=HK10,"Fixed Overhead",KX10=IA10,"SG&amp;A",KX10=IQ10,"Depreciation",KX10=JG10,"Corporate Allocation",KX10=JW10,"Amortized Tooling"),"")</f>
        <v>Material</v>
      </c>
      <c r="LJ10" s="77" t="str" cm="1">
        <f t="array" ref="LJ10">IFERROR(_xlfn.IFS(KZ10=EZ10,"Material",KZ10=FP10,"Direct Labor",KZ10=GF10,"Variable Overhead",KZ10=GV10,"Indirect Labor",KZ10=HL10,"Fixed Overhead",KZ10=IB10,"SG&amp;A",KZ10=IR10,"Depreciation",KZ10=JH10,"Corporate Allocation",KZ10=JX10,"Amortized Tooling"),"")</f>
        <v>Direct Labor</v>
      </c>
      <c r="LK10" s="77" t="str" cm="1">
        <f t="array" ref="LK10">IFERROR(_xlfn.IFS(LB10=FA10,"Material",LB10=FQ10,"Direct Labor",LB10=GG10,"Variable Overhead",LB10=GW10,"Indirect Labor",LB10=HM10,"Fixed Overhead",LB10=IC10,"SG&amp;A",LB10=IS10,"Depreciation",LB10=JI10,"Corporate Allocation",LB10=JY10,"Amortized Tooling"),"")</f>
        <v>Direct Labor</v>
      </c>
      <c r="LL10" s="77" t="str" cm="1">
        <f t="array" ref="LL10">IFERROR(_xlfn.IFS(LD10=FB10,"Material",LD10=FR10,"Direct Labor",LD10=GH10,"Variable Overhead",LD10=GX10,"Indirect Labor",LD10=HN10,"Fixed Overhead",LD10=ID10,"SG&amp;A",LD10=IT10,"Depreciation",LD10=JJ10,"Corporate Allocation",LD10=JZ10,"Amortized Tooling"),"")</f>
        <v>Direct Labor</v>
      </c>
      <c r="LM10" s="77" cm="1">
        <f t="array" ref="LM10">_xlfn.IFS(DL10="","",LN10="0% EBIT target","",LN10="12% EBIT target","",LN10="At quote",KJ10,LN10="2019",KK10,LN10="2020",KL10,LN10="2021",KM10,LN10="2022",KN10,LN10="2023",KO10,LN10="2024",KP10)</f>
        <v>-5.0667720872927404</v>
      </c>
      <c r="LN10" s="77" t="str">
        <f t="shared" si="170"/>
        <v>2022</v>
      </c>
      <c r="LO10" s="77" cm="1">
        <f t="array" ref="LO10">IFERROR(_xlfn.IFS(MN10="0% EBIT target","",MN10="12% EBIT target","",LN10="At quote",KR10,LN10="2019",KT10,LN10="2020",KV10,LN10="2021",KX10,LN10="2022",KZ10,LN10="2023",LB10,LN10="2024",LD10),"")</f>
        <v>-5.0667720872927404</v>
      </c>
      <c r="LP10" s="78" t="str" cm="1">
        <f t="array" ref="LP10">IFERROR(_xlfn.IFS(MN10="0% EBIT target","",MN10="12% EBIT target","",LN10="At quote",LF10,LN10="2019",LG10,LN10="2020",LH10,LN10="2021",LI10,LN10="2022",LJ10,LN10="2023",LK10,LN10="2024",LL10),"")</f>
        <v>Direct Labor</v>
      </c>
      <c r="LQ10" s="79">
        <f t="shared" si="11"/>
        <v>1</v>
      </c>
      <c r="LR10" s="78"/>
      <c r="LS10" s="79">
        <f t="shared" si="12"/>
        <v>0.58800380898005566</v>
      </c>
      <c r="LT10" s="79" t="str">
        <f t="shared" si="12"/>
        <v/>
      </c>
      <c r="LU10" s="79" t="str">
        <f t="shared" si="12"/>
        <v/>
      </c>
      <c r="LV10" s="79" t="str">
        <f t="shared" si="12"/>
        <v/>
      </c>
      <c r="LW10" s="79">
        <f t="shared" si="12"/>
        <v>1.7917111405948625E-2</v>
      </c>
      <c r="LX10" s="79">
        <f t="shared" si="12"/>
        <v>1.417144978420844E-2</v>
      </c>
      <c r="LY10" s="79">
        <f t="shared" si="12"/>
        <v>1.124759474361569E-2</v>
      </c>
      <c r="LZ10" s="79">
        <f t="shared" si="13"/>
        <v>7.4288498544639037E-3</v>
      </c>
      <c r="MA10" s="79" t="str">
        <f t="shared" si="14"/>
        <v/>
      </c>
      <c r="MB10" s="79">
        <f t="shared" si="171"/>
        <v>0.58800380898005566</v>
      </c>
      <c r="MC10" s="80">
        <f t="shared" si="15"/>
        <v>251.30468555520864</v>
      </c>
      <c r="MD10" s="80">
        <f t="shared" si="172"/>
        <v>304.94608105408349</v>
      </c>
      <c r="ME10" s="80" t="str">
        <f t="shared" si="173"/>
        <v/>
      </c>
      <c r="MF10" s="80" t="str">
        <f t="shared" si="174"/>
        <v/>
      </c>
      <c r="MG10" s="80" t="str">
        <f t="shared" si="175"/>
        <v/>
      </c>
      <c r="MH10" s="80">
        <f t="shared" si="176"/>
        <v>320.58843938566883</v>
      </c>
      <c r="MI10" s="80">
        <f t="shared" si="177"/>
        <v>288.36253275905113</v>
      </c>
      <c r="MJ10" s="80">
        <f t="shared" si="178"/>
        <v>269.15728798172682</v>
      </c>
      <c r="MK10" s="80">
        <f t="shared" si="16"/>
        <v>253.17159033192155</v>
      </c>
      <c r="ML10" s="80" t="str">
        <f t="shared" si="16"/>
        <v/>
      </c>
      <c r="MM10" s="80">
        <f t="shared" si="179"/>
        <v>320.58843938566883</v>
      </c>
      <c r="MN10" s="80" t="str" cm="1">
        <f t="array" ref="MN10">_xlfn.IFS(MC10="","",MM10=0,"",MM10=MD10,"At quote",MM10=ME10,"2019",MM10=MF10,"2020",MM10=MG10,"2021",MM10=MH10,"2022",MM10=MI10,"2023",MM10=MJ10,"2024",MM10=MK10,"0% EBIT target",MM10=ML10,"12% EBIT target")</f>
        <v>2022</v>
      </c>
      <c r="MO10" s="81">
        <f t="shared" si="180"/>
        <v>4724519.5499589015</v>
      </c>
      <c r="MP10" s="81">
        <f t="shared" si="181"/>
        <v>1181129.8874897254</v>
      </c>
      <c r="MQ10" s="80" t="str">
        <f t="shared" si="17"/>
        <v/>
      </c>
      <c r="MR10" s="80" t="str">
        <f t="shared" si="182"/>
        <v/>
      </c>
      <c r="MS10" s="80" t="str">
        <f t="shared" si="18"/>
        <v/>
      </c>
      <c r="MT10" s="80" t="str">
        <f t="shared" si="183"/>
        <v/>
      </c>
      <c r="MU10" s="80" t="str">
        <f t="shared" si="19"/>
        <v/>
      </c>
      <c r="MV10" s="80" t="str">
        <f t="shared" si="184"/>
        <v/>
      </c>
      <c r="MW10" s="80">
        <f t="shared" si="20"/>
        <v>6102235.9023716124</v>
      </c>
      <c r="MX10" s="80">
        <f t="shared" si="185"/>
        <v>1525558.9755929031</v>
      </c>
      <c r="MY10" s="80">
        <f t="shared" si="21"/>
        <v>3263906.950325632</v>
      </c>
      <c r="MZ10" s="80">
        <f t="shared" si="186"/>
        <v>815976.737581408</v>
      </c>
      <c r="NA10" s="80">
        <f t="shared" si="22"/>
        <v>1572385.8113180159</v>
      </c>
      <c r="NB10" s="80">
        <f t="shared" si="187"/>
        <v>393096.45282950398</v>
      </c>
      <c r="NC10" s="80">
        <f t="shared" si="188"/>
        <v>164429.50511376665</v>
      </c>
      <c r="ND10" s="80">
        <f t="shared" si="189"/>
        <v>41107.376278441661</v>
      </c>
      <c r="NE10" s="80" t="str">
        <f t="shared" si="23"/>
        <v/>
      </c>
      <c r="NF10" s="80" t="str">
        <f t="shared" si="190"/>
        <v/>
      </c>
      <c r="NG10" s="80">
        <f t="shared" si="24"/>
        <v>69.283753830460199</v>
      </c>
      <c r="NH10" s="80">
        <f t="shared" si="25"/>
        <v>6102235.9023716124</v>
      </c>
      <c r="NI10" s="80">
        <f t="shared" si="191"/>
        <v>3051117.9511858062</v>
      </c>
      <c r="NJ10" s="80">
        <f t="shared" si="192"/>
        <v>1525558.9755929031</v>
      </c>
    </row>
    <row r="11" spans="1:374" x14ac:dyDescent="0.25">
      <c r="A11" s="71" t="s">
        <v>418</v>
      </c>
      <c r="B11" s="71"/>
      <c r="C11" s="71" t="s">
        <v>415</v>
      </c>
      <c r="D11" s="71" t="s">
        <v>416</v>
      </c>
      <c r="E11" s="71" t="s">
        <v>399</v>
      </c>
      <c r="F11" s="87" t="s">
        <v>399</v>
      </c>
      <c r="G11" s="71" t="s">
        <v>406</v>
      </c>
      <c r="H11" s="71" t="str">
        <f t="shared" si="26"/>
        <v>Sao Jose Dos Pinhais CBA CVT All</v>
      </c>
      <c r="I11" s="71" t="s">
        <v>401</v>
      </c>
      <c r="J11" s="71" t="s">
        <v>407</v>
      </c>
      <c r="K11" s="71" t="s">
        <v>403</v>
      </c>
      <c r="L11" s="72">
        <v>0</v>
      </c>
      <c r="M11" s="72">
        <v>2021</v>
      </c>
      <c r="N11" s="73">
        <f>DATE(2027,12,31)</f>
        <v>46752</v>
      </c>
      <c r="O11" s="74">
        <v>0</v>
      </c>
      <c r="P11" s="74">
        <v>0</v>
      </c>
      <c r="Q11" s="74">
        <v>115.05335123750416</v>
      </c>
      <c r="R11" s="74">
        <v>115.05335123750393</v>
      </c>
      <c r="S11" s="74">
        <v>115.05335123750393</v>
      </c>
      <c r="T11" s="74">
        <v>115.05335123750393</v>
      </c>
      <c r="U11" s="74">
        <v>115.05335123750393</v>
      </c>
      <c r="V11" s="74">
        <v>115.05335123750393</v>
      </c>
      <c r="W11" s="74">
        <v>115.05335123750393</v>
      </c>
      <c r="X11" s="74">
        <v>0</v>
      </c>
      <c r="Y11" s="74">
        <v>0</v>
      </c>
      <c r="Z11" s="74">
        <v>15017</v>
      </c>
      <c r="AA11" s="74">
        <v>45050</v>
      </c>
      <c r="AB11" s="74">
        <v>45050</v>
      </c>
      <c r="AC11" s="74">
        <v>45050</v>
      </c>
      <c r="AD11" s="74">
        <v>45050</v>
      </c>
      <c r="AE11" s="74">
        <v>45050</v>
      </c>
      <c r="AF11" s="74">
        <v>30033</v>
      </c>
      <c r="AG11" s="74">
        <v>95.269259333427826</v>
      </c>
      <c r="AH11" s="74">
        <v>0.56684208531803926</v>
      </c>
      <c r="AI11" s="74">
        <v>2.7401346128730895</v>
      </c>
      <c r="AJ11" s="74"/>
      <c r="AK11" s="74">
        <v>0.44969942122840129</v>
      </c>
      <c r="AL11" s="74">
        <v>0.27326995822905298</v>
      </c>
      <c r="AM11" s="74">
        <v>0</v>
      </c>
      <c r="AN11" s="74">
        <v>0.43683463138742351</v>
      </c>
      <c r="AO11" s="74">
        <v>7.2725183838941429E-2</v>
      </c>
      <c r="AP11" s="74">
        <v>0</v>
      </c>
      <c r="AQ11" s="74">
        <v>0</v>
      </c>
      <c r="AR11" s="74">
        <v>0</v>
      </c>
      <c r="AS11" s="74">
        <v>0</v>
      </c>
      <c r="AT11" s="74">
        <v>0</v>
      </c>
      <c r="AU11" s="74">
        <v>0</v>
      </c>
      <c r="AV11" s="74"/>
      <c r="AW11" s="74">
        <v>0</v>
      </c>
      <c r="AX11" s="74">
        <v>0</v>
      </c>
      <c r="AY11" s="74">
        <v>0</v>
      </c>
      <c r="AZ11" s="74">
        <v>0</v>
      </c>
      <c r="BA11" s="74">
        <v>0</v>
      </c>
      <c r="BB11" s="74">
        <v>0</v>
      </c>
      <c r="BC11" s="74">
        <v>0</v>
      </c>
      <c r="BD11" s="74">
        <v>0</v>
      </c>
      <c r="BE11" s="74">
        <v>0</v>
      </c>
      <c r="BF11" s="74">
        <v>0</v>
      </c>
      <c r="BG11" s="74">
        <v>0</v>
      </c>
      <c r="BH11" s="74"/>
      <c r="BI11" s="74">
        <v>0</v>
      </c>
      <c r="BJ11" s="74">
        <v>0</v>
      </c>
      <c r="BK11" s="74">
        <v>0</v>
      </c>
      <c r="BL11" s="74">
        <v>0</v>
      </c>
      <c r="BM11" s="74">
        <v>0</v>
      </c>
      <c r="BN11" s="74">
        <v>0</v>
      </c>
      <c r="BO11" s="74">
        <v>0</v>
      </c>
      <c r="BP11" s="74">
        <v>0</v>
      </c>
      <c r="BQ11" s="74">
        <v>0</v>
      </c>
      <c r="BR11" s="74">
        <v>0</v>
      </c>
      <c r="BS11" s="74">
        <v>0</v>
      </c>
      <c r="BT11" s="74"/>
      <c r="BU11" s="74">
        <v>0</v>
      </c>
      <c r="BV11" s="74">
        <v>0</v>
      </c>
      <c r="BW11" s="74">
        <v>0</v>
      </c>
      <c r="BX11" s="74">
        <v>0</v>
      </c>
      <c r="BY11" s="74">
        <v>0</v>
      </c>
      <c r="BZ11" s="74">
        <v>180.79837686277239</v>
      </c>
      <c r="CA11" s="74">
        <v>180.79837686277239</v>
      </c>
      <c r="CB11" s="74">
        <v>29697</v>
      </c>
      <c r="CC11" s="74">
        <v>140.46239748364113</v>
      </c>
      <c r="CD11" s="74">
        <v>1.9950612846294644</v>
      </c>
      <c r="CE11" s="74">
        <v>10.082126806477341</v>
      </c>
      <c r="CF11" s="74"/>
      <c r="CG11" s="74">
        <v>2.0463061207427851</v>
      </c>
      <c r="CH11" s="74">
        <v>3.3804087065792348</v>
      </c>
      <c r="CI11" s="74">
        <v>0</v>
      </c>
      <c r="CJ11" s="74">
        <v>2.9798677616524847</v>
      </c>
      <c r="CK11" s="74">
        <v>4.5491278182502404</v>
      </c>
      <c r="CL11" s="74">
        <v>160.21191246640095</v>
      </c>
      <c r="CM11" s="74">
        <v>160.21191246640095</v>
      </c>
      <c r="CN11" s="74">
        <v>81262</v>
      </c>
      <c r="CO11" s="74">
        <v>107.65662025648378</v>
      </c>
      <c r="CP11" s="74">
        <v>2.1116384892487039</v>
      </c>
      <c r="CQ11" s="74">
        <v>10.088932482433252</v>
      </c>
      <c r="CR11" s="74"/>
      <c r="CS11" s="74">
        <v>2.1194814240274868</v>
      </c>
      <c r="CT11" s="74">
        <v>3.0075839965497106</v>
      </c>
      <c r="CU11" s="74">
        <v>0</v>
      </c>
      <c r="CV11" s="74">
        <v>3.355083306186287</v>
      </c>
      <c r="CW11" s="74">
        <v>3.2745883086446339</v>
      </c>
      <c r="CX11" s="74">
        <v>136.55449953010876</v>
      </c>
      <c r="CY11" s="74">
        <v>136.55449953010876</v>
      </c>
      <c r="CZ11" s="74">
        <v>91210.7</v>
      </c>
      <c r="DA11" s="74">
        <v>84.292494829602532</v>
      </c>
      <c r="DB11" s="74">
        <v>2.5502777932786085</v>
      </c>
      <c r="DC11" s="74">
        <v>10.166404291079655</v>
      </c>
      <c r="DD11" s="74"/>
      <c r="DE11" s="74">
        <v>1.9281919958479767</v>
      </c>
      <c r="DF11" s="74">
        <v>3.512561212393595</v>
      </c>
      <c r="DG11" s="74">
        <v>0</v>
      </c>
      <c r="DH11" s="74">
        <v>3.1770166964822764</v>
      </c>
      <c r="DI11" s="74">
        <v>1.9095328324918854</v>
      </c>
      <c r="DJ11" s="74">
        <v>150.64291772356771</v>
      </c>
      <c r="DK11" s="74">
        <v>150.64291772356771</v>
      </c>
      <c r="DL11" s="74">
        <v>91210.7</v>
      </c>
      <c r="DM11" s="75">
        <f t="shared" si="0"/>
        <v>13740245.975609016</v>
      </c>
      <c r="DN11" s="75">
        <f t="shared" si="1"/>
        <v>1948709.2218800532</v>
      </c>
      <c r="DO11" s="76">
        <f t="shared" si="2"/>
        <v>0.14182491531369251</v>
      </c>
      <c r="DP11" s="74">
        <v>102.85561799863287</v>
      </c>
      <c r="DQ11" s="74">
        <v>2.2117721214198216</v>
      </c>
      <c r="DR11" s="74">
        <v>9.8274752340182623</v>
      </c>
      <c r="DS11" s="74"/>
      <c r="DT11" s="74">
        <v>2.6797829187857207</v>
      </c>
      <c r="DU11" s="74">
        <v>3.5089760202084506</v>
      </c>
      <c r="DV11" s="74">
        <v>0</v>
      </c>
      <c r="DW11" s="74">
        <v>3.0854606623747038</v>
      </c>
      <c r="DX11" s="74">
        <v>5.1089137193753373</v>
      </c>
      <c r="DY11" s="74"/>
      <c r="DZ11" s="74">
        <v>284.32157086070492</v>
      </c>
      <c r="EA11" s="74">
        <v>82815</v>
      </c>
      <c r="EB11" s="74"/>
      <c r="EC11" s="74"/>
      <c r="ED11" s="74"/>
      <c r="EE11" s="74"/>
      <c r="EF11" s="74"/>
      <c r="EG11" s="74"/>
      <c r="EH11" s="74"/>
      <c r="EI11" s="74"/>
      <c r="EJ11" s="74"/>
      <c r="EK11" s="74">
        <v>292.23407230840945</v>
      </c>
      <c r="EL11" s="74">
        <v>81764.639999999985</v>
      </c>
      <c r="EM11" s="74" t="s">
        <v>404</v>
      </c>
      <c r="EN11" s="77">
        <f t="shared" si="27"/>
        <v>95.269259333427826</v>
      </c>
      <c r="EO11" s="77">
        <f t="shared" si="28"/>
        <v>0</v>
      </c>
      <c r="EP11" s="77">
        <f t="shared" si="29"/>
        <v>0</v>
      </c>
      <c r="EQ11" s="77">
        <f t="shared" si="30"/>
        <v>0</v>
      </c>
      <c r="ER11" s="77">
        <f t="shared" si="31"/>
        <v>140.46239748364113</v>
      </c>
      <c r="ES11" s="77">
        <f t="shared" si="32"/>
        <v>107.65662025648378</v>
      </c>
      <c r="ET11" s="77">
        <f t="shared" si="33"/>
        <v>84.292494829602532</v>
      </c>
      <c r="EU11" s="77">
        <f t="shared" si="34"/>
        <v>102.85561799863287</v>
      </c>
      <c r="EV11" s="77">
        <f t="shared" si="35"/>
        <v>-7.5863586652050401</v>
      </c>
      <c r="EW11" s="77">
        <f t="shared" si="36"/>
        <v>-102.85561799863287</v>
      </c>
      <c r="EX11" s="77">
        <f t="shared" si="37"/>
        <v>-102.85561799863287</v>
      </c>
      <c r="EY11" s="77">
        <f t="shared" si="38"/>
        <v>-102.85561799863287</v>
      </c>
      <c r="EZ11" s="77">
        <f t="shared" si="39"/>
        <v>0</v>
      </c>
      <c r="FA11" s="77">
        <f t="shared" si="40"/>
        <v>0</v>
      </c>
      <c r="FB11" s="77">
        <f t="shared" si="41"/>
        <v>-18.563123169030334</v>
      </c>
      <c r="FC11" s="77"/>
      <c r="FD11" s="77">
        <f t="shared" si="42"/>
        <v>0.56684208531803926</v>
      </c>
      <c r="FE11" s="77">
        <f t="shared" si="43"/>
        <v>0</v>
      </c>
      <c r="FF11" s="77">
        <f t="shared" si="44"/>
        <v>0</v>
      </c>
      <c r="FG11" s="77">
        <f t="shared" si="45"/>
        <v>0</v>
      </c>
      <c r="FH11" s="77">
        <f t="shared" si="46"/>
        <v>1.9950612846294644</v>
      </c>
      <c r="FI11" s="77">
        <f t="shared" si="47"/>
        <v>2.1116384892487039</v>
      </c>
      <c r="FJ11" s="77">
        <f t="shared" si="48"/>
        <v>2.5502777932786085</v>
      </c>
      <c r="FK11" s="77">
        <f t="shared" si="49"/>
        <v>2.2117721214198216</v>
      </c>
      <c r="FL11" s="77">
        <f t="shared" si="50"/>
        <v>-1.6449300361017825</v>
      </c>
      <c r="FM11" s="77">
        <f t="shared" si="51"/>
        <v>-2.2117721214198216</v>
      </c>
      <c r="FN11" s="77">
        <f t="shared" si="52"/>
        <v>-2.2117721214198216</v>
      </c>
      <c r="FO11" s="77">
        <f t="shared" si="53"/>
        <v>-2.2117721214198216</v>
      </c>
      <c r="FP11" s="77">
        <f t="shared" si="54"/>
        <v>-0.21671083679035719</v>
      </c>
      <c r="FQ11" s="77">
        <f t="shared" si="55"/>
        <v>-0.1001336321711177</v>
      </c>
      <c r="FR11" s="77">
        <f t="shared" si="56"/>
        <v>0</v>
      </c>
      <c r="FS11" s="77"/>
      <c r="FT11" s="77">
        <f t="shared" si="57"/>
        <v>2.7401346128730895</v>
      </c>
      <c r="FU11" s="77">
        <f t="shared" si="58"/>
        <v>0</v>
      </c>
      <c r="FV11" s="77">
        <f t="shared" si="59"/>
        <v>0</v>
      </c>
      <c r="FW11" s="77">
        <f t="shared" si="60"/>
        <v>0</v>
      </c>
      <c r="FX11" s="77">
        <f t="shared" si="61"/>
        <v>10.082126806477341</v>
      </c>
      <c r="FY11" s="77">
        <f t="shared" si="62"/>
        <v>10.088932482433252</v>
      </c>
      <c r="FZ11" s="77">
        <f t="shared" si="63"/>
        <v>10.166404291079655</v>
      </c>
      <c r="GA11" s="77">
        <f t="shared" si="64"/>
        <v>9.8274752340182623</v>
      </c>
      <c r="GB11" s="77">
        <f t="shared" si="65"/>
        <v>-7.0873406211451728</v>
      </c>
      <c r="GC11" s="77">
        <f t="shared" si="66"/>
        <v>-9.8274752340182623</v>
      </c>
      <c r="GD11" s="77">
        <f t="shared" si="67"/>
        <v>-9.8274752340182623</v>
      </c>
      <c r="GE11" s="77">
        <f t="shared" si="68"/>
        <v>-9.8274752340182623</v>
      </c>
      <c r="GF11" s="77">
        <f t="shared" si="69"/>
        <v>0</v>
      </c>
      <c r="GG11" s="77">
        <f t="shared" si="70"/>
        <v>0</v>
      </c>
      <c r="GH11" s="77">
        <f t="shared" si="71"/>
        <v>0</v>
      </c>
      <c r="GI11" s="77"/>
      <c r="GJ11" s="77" t="str">
        <f t="shared" si="72"/>
        <v/>
      </c>
      <c r="GK11" s="77" t="str">
        <f t="shared" si="73"/>
        <v/>
      </c>
      <c r="GL11" s="77" t="str">
        <f t="shared" si="74"/>
        <v/>
      </c>
      <c r="GM11" s="77" t="str">
        <f t="shared" si="75"/>
        <v/>
      </c>
      <c r="GN11" s="77" t="str">
        <f t="shared" si="76"/>
        <v/>
      </c>
      <c r="GO11" s="77" t="str">
        <f t="shared" si="77"/>
        <v/>
      </c>
      <c r="GP11" s="77" t="str">
        <f t="shared" si="78"/>
        <v/>
      </c>
      <c r="GQ11" s="77" t="str">
        <f t="shared" si="79"/>
        <v/>
      </c>
      <c r="GR11" s="77" t="str">
        <f t="shared" si="80"/>
        <v/>
      </c>
      <c r="GS11" s="77" t="str">
        <f t="shared" si="81"/>
        <v/>
      </c>
      <c r="GT11" s="77" t="str">
        <f t="shared" si="82"/>
        <v/>
      </c>
      <c r="GU11" s="77" t="str">
        <f t="shared" si="83"/>
        <v/>
      </c>
      <c r="GV11" s="77" t="str">
        <f t="shared" si="84"/>
        <v/>
      </c>
      <c r="GW11" s="77" t="str">
        <f t="shared" si="85"/>
        <v/>
      </c>
      <c r="GX11" s="77" t="str">
        <f t="shared" si="86"/>
        <v/>
      </c>
      <c r="GY11" s="77"/>
      <c r="GZ11" s="77">
        <f t="shared" si="87"/>
        <v>0.44969942122840129</v>
      </c>
      <c r="HA11" s="77">
        <f t="shared" si="88"/>
        <v>0</v>
      </c>
      <c r="HB11" s="77">
        <f t="shared" si="89"/>
        <v>0</v>
      </c>
      <c r="HC11" s="77">
        <f t="shared" si="90"/>
        <v>0</v>
      </c>
      <c r="HD11" s="77">
        <f t="shared" si="91"/>
        <v>2.0463061207427851</v>
      </c>
      <c r="HE11" s="77">
        <f t="shared" si="92"/>
        <v>2.1194814240274868</v>
      </c>
      <c r="HF11" s="77">
        <f t="shared" si="93"/>
        <v>1.9281919958479767</v>
      </c>
      <c r="HG11" s="77">
        <f t="shared" si="94"/>
        <v>2.6797829187857207</v>
      </c>
      <c r="HH11" s="77">
        <f t="shared" si="95"/>
        <v>-2.2300834975573194</v>
      </c>
      <c r="HI11" s="77">
        <f t="shared" si="96"/>
        <v>-2.6797829187857207</v>
      </c>
      <c r="HJ11" s="77">
        <f t="shared" si="97"/>
        <v>-2.6797829187857207</v>
      </c>
      <c r="HK11" s="77">
        <f t="shared" si="98"/>
        <v>-2.6797829187857207</v>
      </c>
      <c r="HL11" s="77">
        <f t="shared" si="99"/>
        <v>-0.63347679804293566</v>
      </c>
      <c r="HM11" s="77">
        <f t="shared" si="100"/>
        <v>-0.56030149475823388</v>
      </c>
      <c r="HN11" s="77">
        <f t="shared" si="101"/>
        <v>-0.75159092293774399</v>
      </c>
      <c r="HO11" s="77"/>
      <c r="HP11" s="77">
        <f t="shared" si="102"/>
        <v>7.2725183838941429E-2</v>
      </c>
      <c r="HQ11" s="77">
        <f t="shared" si="103"/>
        <v>0</v>
      </c>
      <c r="HR11" s="77">
        <f t="shared" si="104"/>
        <v>0</v>
      </c>
      <c r="HS11" s="77">
        <f t="shared" si="105"/>
        <v>0</v>
      </c>
      <c r="HT11" s="77">
        <f t="shared" si="106"/>
        <v>4.5491278182502404</v>
      </c>
      <c r="HU11" s="77">
        <f t="shared" si="107"/>
        <v>3.2745883086446339</v>
      </c>
      <c r="HV11" s="77">
        <f t="shared" si="108"/>
        <v>1.9095328324918854</v>
      </c>
      <c r="HW11" s="77">
        <f t="shared" si="109"/>
        <v>5.1089137193753373</v>
      </c>
      <c r="HX11" s="77">
        <f t="shared" si="110"/>
        <v>-5.0361885355363958</v>
      </c>
      <c r="HY11" s="77">
        <f t="shared" si="111"/>
        <v>-5.1089137193753373</v>
      </c>
      <c r="HZ11" s="77">
        <f t="shared" si="112"/>
        <v>-5.1089137193753373</v>
      </c>
      <c r="IA11" s="77">
        <f t="shared" si="113"/>
        <v>-5.1089137193753373</v>
      </c>
      <c r="IB11" s="77">
        <f t="shared" si="114"/>
        <v>-0.55978590112509696</v>
      </c>
      <c r="IC11" s="77">
        <f t="shared" si="115"/>
        <v>-1.8343254107307034</v>
      </c>
      <c r="ID11" s="77">
        <f t="shared" si="193"/>
        <v>-3.1993808868834517</v>
      </c>
      <c r="IE11" s="77"/>
      <c r="IF11" s="77">
        <f t="shared" si="116"/>
        <v>0.27326995822905298</v>
      </c>
      <c r="IG11" s="77">
        <f t="shared" si="117"/>
        <v>0</v>
      </c>
      <c r="IH11" s="77">
        <f t="shared" si="118"/>
        <v>0</v>
      </c>
      <c r="II11" s="77">
        <f t="shared" si="119"/>
        <v>0</v>
      </c>
      <c r="IJ11" s="77">
        <f t="shared" si="120"/>
        <v>3.3804087065792348</v>
      </c>
      <c r="IK11" s="77">
        <f t="shared" si="121"/>
        <v>3.0075839965497106</v>
      </c>
      <c r="IL11" s="77">
        <f t="shared" si="122"/>
        <v>3.512561212393595</v>
      </c>
      <c r="IM11" s="77">
        <f t="shared" si="123"/>
        <v>3.5089760202084506</v>
      </c>
      <c r="IN11" s="77">
        <f t="shared" si="124"/>
        <v>-3.2357060619793976</v>
      </c>
      <c r="IO11" s="77">
        <f t="shared" si="125"/>
        <v>-3.5089760202084506</v>
      </c>
      <c r="IP11" s="77">
        <f t="shared" si="126"/>
        <v>-3.5089760202084506</v>
      </c>
      <c r="IQ11" s="77">
        <f t="shared" si="127"/>
        <v>-3.5089760202084506</v>
      </c>
      <c r="IR11" s="77">
        <f t="shared" si="128"/>
        <v>-0.12856731362921581</v>
      </c>
      <c r="IS11" s="77">
        <f t="shared" si="129"/>
        <v>-0.50139202365873992</v>
      </c>
      <c r="IT11" s="77">
        <f t="shared" si="130"/>
        <v>0</v>
      </c>
      <c r="IU11" s="77"/>
      <c r="IV11" s="77">
        <f t="shared" si="131"/>
        <v>0.43683463138742351</v>
      </c>
      <c r="IW11" s="77">
        <f t="shared" si="132"/>
        <v>0</v>
      </c>
      <c r="IX11" s="77">
        <f t="shared" si="133"/>
        <v>0</v>
      </c>
      <c r="IY11" s="77">
        <f t="shared" si="134"/>
        <v>0</v>
      </c>
      <c r="IZ11" s="77">
        <f t="shared" si="135"/>
        <v>2.9798677616524847</v>
      </c>
      <c r="JA11" s="77">
        <f t="shared" si="136"/>
        <v>3.355083306186287</v>
      </c>
      <c r="JB11" s="77">
        <f t="shared" si="137"/>
        <v>3.1770166964822764</v>
      </c>
      <c r="JC11" s="77">
        <f t="shared" si="138"/>
        <v>3.0854606623747038</v>
      </c>
      <c r="JD11" s="77">
        <f t="shared" si="139"/>
        <v>-2.6486260309872804</v>
      </c>
      <c r="JE11" s="77">
        <f t="shared" si="140"/>
        <v>-3.0854606623747038</v>
      </c>
      <c r="JF11" s="77">
        <f t="shared" si="141"/>
        <v>-3.0854606623747038</v>
      </c>
      <c r="JG11" s="77">
        <f t="shared" si="142"/>
        <v>-3.0854606623747038</v>
      </c>
      <c r="JH11" s="77">
        <f t="shared" si="143"/>
        <v>-0.10559290072221916</v>
      </c>
      <c r="JI11" s="77">
        <f t="shared" si="144"/>
        <v>0</v>
      </c>
      <c r="JJ11" s="77">
        <f t="shared" si="145"/>
        <v>0</v>
      </c>
      <c r="JK11" s="77"/>
      <c r="JL11" s="77">
        <f t="shared" si="146"/>
        <v>0</v>
      </c>
      <c r="JM11" s="77">
        <f t="shared" si="147"/>
        <v>0</v>
      </c>
      <c r="JN11" s="77">
        <f t="shared" si="148"/>
        <v>0</v>
      </c>
      <c r="JO11" s="77">
        <f t="shared" si="149"/>
        <v>0</v>
      </c>
      <c r="JP11" s="77">
        <f t="shared" si="150"/>
        <v>0</v>
      </c>
      <c r="JQ11" s="77">
        <f t="shared" si="151"/>
        <v>0</v>
      </c>
      <c r="JR11" s="77">
        <f t="shared" si="152"/>
        <v>0</v>
      </c>
      <c r="JS11" s="77">
        <f t="shared" si="153"/>
        <v>0</v>
      </c>
      <c r="JT11" s="77">
        <f t="shared" si="154"/>
        <v>0</v>
      </c>
      <c r="JU11" s="77">
        <f t="shared" si="155"/>
        <v>0</v>
      </c>
      <c r="JV11" s="77">
        <f t="shared" si="156"/>
        <v>0</v>
      </c>
      <c r="JW11" s="77">
        <f t="shared" si="157"/>
        <v>0</v>
      </c>
      <c r="JX11" s="77">
        <f t="shared" si="158"/>
        <v>0</v>
      </c>
      <c r="JY11" s="77">
        <f t="shared" si="159"/>
        <v>0</v>
      </c>
      <c r="JZ11" s="77">
        <f t="shared" si="160"/>
        <v>0</v>
      </c>
      <c r="KA11" s="77"/>
      <c r="KB11" s="77">
        <f t="shared" si="161"/>
        <v>99.808765226302782</v>
      </c>
      <c r="KC11" s="77">
        <f t="shared" si="3"/>
        <v>0</v>
      </c>
      <c r="KD11" s="77">
        <f t="shared" si="3"/>
        <v>0</v>
      </c>
      <c r="KE11" s="77">
        <f t="shared" si="3"/>
        <v>0</v>
      </c>
      <c r="KF11" s="77">
        <f t="shared" si="3"/>
        <v>165.49529598197267</v>
      </c>
      <c r="KG11" s="77">
        <f t="shared" si="3"/>
        <v>131.61392826357385</v>
      </c>
      <c r="KH11" s="77">
        <f t="shared" si="3"/>
        <v>107.53647965117653</v>
      </c>
      <c r="KI11" s="77">
        <f t="shared" si="3"/>
        <v>129.27799867481517</v>
      </c>
      <c r="KJ11" s="77">
        <f t="shared" si="3"/>
        <v>-29.469233448512391</v>
      </c>
      <c r="KK11" s="77">
        <f t="shared" si="4"/>
        <v>-129.27799867481517</v>
      </c>
      <c r="KL11" s="77">
        <f t="shared" si="4"/>
        <v>-129.27799867481517</v>
      </c>
      <c r="KM11" s="77">
        <f t="shared" si="4"/>
        <v>-129.27799867481517</v>
      </c>
      <c r="KN11" s="77">
        <f t="shared" si="4"/>
        <v>-1.6441337503098248</v>
      </c>
      <c r="KO11" s="77">
        <f t="shared" si="4"/>
        <v>-2.9961525613187949</v>
      </c>
      <c r="KP11" s="77">
        <f t="shared" si="4"/>
        <v>-22.514094978851531</v>
      </c>
      <c r="KQ11" s="78"/>
      <c r="KR11" s="77">
        <f t="shared" si="162"/>
        <v>-7.5863586652050401</v>
      </c>
      <c r="KS11" s="77">
        <f t="shared" si="163"/>
        <v>0.25743318632497381</v>
      </c>
      <c r="KT11" s="77">
        <f t="shared" si="5"/>
        <v>-102.85561799863287</v>
      </c>
      <c r="KU11" s="79">
        <f t="shared" si="164"/>
        <v>0.79561579737442456</v>
      </c>
      <c r="KV11" s="77">
        <f t="shared" si="6"/>
        <v>-102.85561799863287</v>
      </c>
      <c r="KW11" s="79">
        <f t="shared" si="165"/>
        <v>0.79561579737442456</v>
      </c>
      <c r="KX11" s="77">
        <f t="shared" si="7"/>
        <v>-102.85561799863287</v>
      </c>
      <c r="KY11" s="79">
        <f t="shared" si="166"/>
        <v>0.79561579737442456</v>
      </c>
      <c r="KZ11" s="77">
        <f t="shared" si="8"/>
        <v>-0.63347679804293566</v>
      </c>
      <c r="LA11" s="79">
        <f t="shared" si="167"/>
        <v>0.38529517317162404</v>
      </c>
      <c r="LB11" s="77">
        <f t="shared" si="9"/>
        <v>-1.8343254107307034</v>
      </c>
      <c r="LC11" s="79">
        <f t="shared" si="168"/>
        <v>0.61222697215501654</v>
      </c>
      <c r="LD11" s="77">
        <f t="shared" si="10"/>
        <v>-18.563123169030334</v>
      </c>
      <c r="LE11" s="79">
        <f t="shared" si="169"/>
        <v>0.82451118672402701</v>
      </c>
      <c r="LF11" s="77" t="str" cm="1">
        <f t="array" ref="LF11">IFERROR(_xlfn.IFS(KR11=EV11,"Material",KR11=FL11,"Direct Labor",KR11=GB11,"Variable Overhead",KR11=GR11,"Indirect Labor",KR11=HH11,"Fixed Overhead",KR11=HX11,"SG&amp;A",KR11=IN11,"Depreciation",KR11=JD11,"Corporate allocation",KR11=JT11,"Amortized Tooling"),"")</f>
        <v>Material</v>
      </c>
      <c r="LG11" s="77" t="str" cm="1">
        <f t="array" ref="LG11">IFERROR(_xlfn.IFS(KT11=EW11,"Material",KT11=FM11,"Direct Labor",KT11=GC11,"Variable Overhead",KT11=GS11,"Indirect Labor",KT11=HI11,"Fixed Overhead",KT11=HY11,"SG&amp;A",KT11=IO11,"Depreciation",KT11=JE11,"Corporate Allocation",KT11=JU11,"Amortized Tooling"),"")</f>
        <v>Material</v>
      </c>
      <c r="LH11" s="77" t="str" cm="1">
        <f t="array" ref="LH11">IFERROR(_xlfn.IFS(KV11=EX11,"Material",KV11=FN11,"Direct Labor",KV11=GD11,"Variable Overhead",KV11=GT11,"Indirect Labor",KV11=HJ11,"Fixed Overhead",KV11=HZ11,"SG&amp;A",KV11=IP11,"Depreciation",KV11=JF11,"Corporate Allocation",KV11=JV11,"Amortized Tooling"),"")</f>
        <v>Material</v>
      </c>
      <c r="LI11" s="77" t="str" cm="1">
        <f t="array" ref="LI11">IFERROR(_xlfn.IFS(KX11=EY11,"Material",KX11=FO11,"Direct Labor",KX11=GE11,"Variable Overhead",KX11=GU11,"Indirect Labor",KX11=HK11,"Fixed Overhead",KX11=IA11,"SG&amp;A",KX11=IQ11,"Depreciation",KX11=JG11,"Corporate Allocation",KX11=JW11,"Amortized Tooling"),"")</f>
        <v>Material</v>
      </c>
      <c r="LJ11" s="77" t="str" cm="1">
        <f t="array" ref="LJ11">IFERROR(_xlfn.IFS(KZ11=EZ11,"Material",KZ11=FP11,"Direct Labor",KZ11=GF11,"Variable Overhead",KZ11=GV11,"Indirect Labor",KZ11=HL11,"Fixed Overhead",KZ11=IB11,"SG&amp;A",KZ11=IR11,"Depreciation",KZ11=JH11,"Corporate Allocation",KZ11=JX11,"Amortized Tooling"),"")</f>
        <v>Fixed Overhead</v>
      </c>
      <c r="LK11" s="77" t="str" cm="1">
        <f t="array" ref="LK11">IFERROR(_xlfn.IFS(LB11=FA11,"Material",LB11=FQ11,"Direct Labor",LB11=GG11,"Variable Overhead",LB11=GW11,"Indirect Labor",LB11=HM11,"Fixed Overhead",LB11=IC11,"SG&amp;A",LB11=IS11,"Depreciation",LB11=JI11,"Corporate Allocation",LB11=JY11,"Amortized Tooling"),"")</f>
        <v>SG&amp;A</v>
      </c>
      <c r="LL11" s="77" t="str" cm="1">
        <f t="array" ref="LL11">IFERROR(_xlfn.IFS(LD11=FB11,"Material",LD11=FR11,"Direct Labor",LD11=GH11,"Variable Overhead",LD11=GX11,"Indirect Labor",LD11=HN11,"Fixed Overhead",LD11=ID11,"SG&amp;A",LD11=IT11,"Depreciation",LD11=JJ11,"Corporate Allocation",LD11=JZ11,"Amortized Tooling"),"")</f>
        <v>Material</v>
      </c>
      <c r="LM11" s="77" cm="1">
        <f t="array" ref="LM11">_xlfn.IFS(DL11="","",LN11="0% EBIT target","",LN11="12% EBIT target","",LN11="At quote",KJ11,LN11="2019",KK11,LN11="2020",KL11,LN11="2021",KM11,LN11="2022",KN11,LN11="2023",KO11,LN11="2024",KP11)</f>
        <v>-1.6441337503098248</v>
      </c>
      <c r="LN11" s="77" t="str">
        <f t="shared" si="170"/>
        <v>2022</v>
      </c>
      <c r="LO11" s="77" cm="1">
        <f t="array" ref="LO11">IFERROR(_xlfn.IFS(MN11="0% EBIT target","",MN11="12% EBIT target","",LN11="At quote",KR11,LN11="2019",KT11,LN11="2020",KV11,LN11="2021",KX11,LN11="2022",KZ11,LN11="2023",LB11,LN11="2024",LD11),"")</f>
        <v>-0.63347679804293566</v>
      </c>
      <c r="LP11" s="78" t="str" cm="1">
        <f t="array" ref="LP11">IFERROR(_xlfn.IFS(MN11="0% EBIT target","",MN11="12% EBIT target","",LN11="At quote",LF11,LN11="2019",LG11,LN11="2020",LH11,LN11="2021",LI11,LN11="2022",LJ11,LN11="2023",LK11,LN11="2024",LL11),"")</f>
        <v>Fixed Overhead</v>
      </c>
      <c r="LQ11" s="79">
        <f t="shared" si="11"/>
        <v>0.38529517317162404</v>
      </c>
      <c r="LR11" s="78"/>
      <c r="LS11" s="79">
        <f t="shared" si="12"/>
        <v>0.29525696848062311</v>
      </c>
      <c r="LT11" s="79" t="str">
        <f t="shared" si="12"/>
        <v/>
      </c>
      <c r="LU11" s="79" t="str">
        <f t="shared" si="12"/>
        <v/>
      </c>
      <c r="LV11" s="79" t="str">
        <f t="shared" si="12"/>
        <v/>
      </c>
      <c r="LW11" s="79">
        <f t="shared" si="12"/>
        <v>9.9346252747203132E-3</v>
      </c>
      <c r="LX11" s="79">
        <f t="shared" si="12"/>
        <v>2.2764707359228829E-2</v>
      </c>
      <c r="LY11" s="79">
        <f t="shared" si="12"/>
        <v>0.20936239545763491</v>
      </c>
      <c r="LZ11" s="79" t="str">
        <f t="shared" si="13"/>
        <v/>
      </c>
      <c r="MA11" s="79" t="str">
        <f t="shared" si="14"/>
        <v/>
      </c>
      <c r="MB11" s="79">
        <f t="shared" si="171"/>
        <v>0.29525696848062311</v>
      </c>
      <c r="MC11" s="80">
        <f t="shared" si="15"/>
        <v>150.64291772356771</v>
      </c>
      <c r="MD11" s="80">
        <f t="shared" si="172"/>
        <v>149.02365493742568</v>
      </c>
      <c r="ME11" s="80" t="str">
        <f t="shared" si="173"/>
        <v/>
      </c>
      <c r="MF11" s="80" t="str">
        <f t="shared" si="174"/>
        <v/>
      </c>
      <c r="MG11" s="80" t="str">
        <f t="shared" si="175"/>
        <v/>
      </c>
      <c r="MH11" s="80">
        <f t="shared" si="176"/>
        <v>182.59454098718169</v>
      </c>
      <c r="MI11" s="80">
        <f t="shared" si="177"/>
        <v>163.85908976916093</v>
      </c>
      <c r="MJ11" s="80">
        <f t="shared" si="178"/>
        <v>165.14387666225082</v>
      </c>
      <c r="MK11" s="80" t="str">
        <f t="shared" si="16"/>
        <v/>
      </c>
      <c r="ML11" s="80" t="str">
        <f t="shared" si="16"/>
        <v/>
      </c>
      <c r="MM11" s="80">
        <f t="shared" si="179"/>
        <v>182.59454098718169</v>
      </c>
      <c r="MN11" s="80" t="str" cm="1">
        <f t="array" ref="MN11">_xlfn.IFS(MC11="","",MM11=0,"",MM11=MD11,"At quote",MM11=ME11,"2019",MM11=MF11,"2020",MM11=MG11,"2021",MM11=MH11,"2022",MM11=MI11,"2023",MM11=MJ11,"2024",MM11=MK11,"0% EBIT target",MM11=ML11,"12% EBIT target")</f>
        <v>2022</v>
      </c>
      <c r="MO11" s="81" t="str">
        <f t="shared" si="180"/>
        <v/>
      </c>
      <c r="MP11" s="81" t="str">
        <f t="shared" si="181"/>
        <v/>
      </c>
      <c r="MQ11" s="80" t="str">
        <f t="shared" si="17"/>
        <v/>
      </c>
      <c r="MR11" s="80" t="str">
        <f t="shared" si="182"/>
        <v/>
      </c>
      <c r="MS11" s="80" t="str">
        <f t="shared" si="18"/>
        <v/>
      </c>
      <c r="MT11" s="80" t="str">
        <f t="shared" si="183"/>
        <v/>
      </c>
      <c r="MU11" s="80" t="str">
        <f t="shared" si="19"/>
        <v/>
      </c>
      <c r="MV11" s="80" t="str">
        <f t="shared" si="184"/>
        <v/>
      </c>
      <c r="MW11" s="80">
        <f t="shared" si="20"/>
        <v>2914329.9240105157</v>
      </c>
      <c r="MX11" s="80">
        <f t="shared" si="185"/>
        <v>728582.48100262892</v>
      </c>
      <c r="MY11" s="80">
        <f t="shared" si="21"/>
        <v>1205456.30359899</v>
      </c>
      <c r="MZ11" s="80">
        <f t="shared" si="186"/>
        <v>301364.07589974749</v>
      </c>
      <c r="NA11" s="80">
        <f t="shared" si="22"/>
        <v>1322642.6154685437</v>
      </c>
      <c r="NB11" s="80">
        <f t="shared" si="187"/>
        <v>330660.65386713593</v>
      </c>
      <c r="NC11" s="80" t="str">
        <f t="shared" si="188"/>
        <v/>
      </c>
      <c r="ND11" s="80" t="str">
        <f t="shared" si="189"/>
        <v/>
      </c>
      <c r="NE11" s="80" t="str">
        <f t="shared" si="23"/>
        <v/>
      </c>
      <c r="NF11" s="80" t="str">
        <f t="shared" si="190"/>
        <v/>
      </c>
      <c r="NG11" s="80">
        <f t="shared" si="24"/>
        <v>31.951623263613982</v>
      </c>
      <c r="NH11" s="80">
        <f t="shared" si="25"/>
        <v>2914329.9240105157</v>
      </c>
      <c r="NI11" s="80">
        <f t="shared" si="191"/>
        <v>1457164.9620052578</v>
      </c>
      <c r="NJ11" s="80">
        <f t="shared" si="192"/>
        <v>728582.48100262892</v>
      </c>
    </row>
    <row r="12" spans="1:374" x14ac:dyDescent="0.25">
      <c r="A12" s="71" t="s">
        <v>411</v>
      </c>
      <c r="B12" s="71"/>
      <c r="C12" s="71" t="s">
        <v>412</v>
      </c>
      <c r="D12" s="71" t="s">
        <v>419</v>
      </c>
      <c r="E12" s="71" t="s">
        <v>399</v>
      </c>
      <c r="F12" s="87" t="s">
        <v>399</v>
      </c>
      <c r="G12" s="71" t="s">
        <v>406</v>
      </c>
      <c r="H12" s="71" t="str">
        <f t="shared" si="26"/>
        <v>Sao Jose Dos Pinhais CBA BBB All</v>
      </c>
      <c r="I12" s="71" t="s">
        <v>401</v>
      </c>
      <c r="J12" s="71" t="s">
        <v>402</v>
      </c>
      <c r="K12" s="71" t="s">
        <v>403</v>
      </c>
      <c r="L12" s="72">
        <v>0</v>
      </c>
      <c r="M12" s="72">
        <v>2021</v>
      </c>
      <c r="N12" s="73">
        <f>DATE(2027,12,31)</f>
        <v>46752</v>
      </c>
      <c r="O12" s="74">
        <v>0</v>
      </c>
      <c r="P12" s="74">
        <v>0</v>
      </c>
      <c r="Q12" s="74">
        <v>79.523809523809504</v>
      </c>
      <c r="R12" s="74">
        <v>73.875917563721202</v>
      </c>
      <c r="S12" s="74">
        <v>73.881145234074623</v>
      </c>
      <c r="T12" s="74">
        <v>73.881781116310833</v>
      </c>
      <c r="U12" s="74">
        <v>73.881071671669432</v>
      </c>
      <c r="V12" s="74">
        <v>73.881670303511214</v>
      </c>
      <c r="W12" s="74">
        <v>73.886609804326667</v>
      </c>
      <c r="X12" s="74">
        <v>0</v>
      </c>
      <c r="Y12" s="74">
        <v>0</v>
      </c>
      <c r="Z12" s="74">
        <v>4200</v>
      </c>
      <c r="AA12" s="74">
        <v>93454</v>
      </c>
      <c r="AB12" s="74">
        <v>104817</v>
      </c>
      <c r="AC12" s="74">
        <v>99578</v>
      </c>
      <c r="AD12" s="74">
        <v>89617</v>
      </c>
      <c r="AE12" s="74">
        <v>80656</v>
      </c>
      <c r="AF12" s="74">
        <v>67766</v>
      </c>
      <c r="AG12" s="74">
        <v>38.865393842686096</v>
      </c>
      <c r="AH12" s="74">
        <v>7.6771148331231798</v>
      </c>
      <c r="AI12" s="74">
        <v>4.0170949708202688</v>
      </c>
      <c r="AJ12" s="74"/>
      <c r="AK12" s="74">
        <v>1.1158597141167412</v>
      </c>
      <c r="AL12" s="74">
        <v>1.7184239597397815</v>
      </c>
      <c r="AM12" s="74">
        <v>0</v>
      </c>
      <c r="AN12" s="74">
        <v>3.4926409051854002</v>
      </c>
      <c r="AO12" s="74">
        <v>1.4952520169164332</v>
      </c>
      <c r="AP12" s="74">
        <v>0</v>
      </c>
      <c r="AQ12" s="74">
        <v>0</v>
      </c>
      <c r="AR12" s="74">
        <v>0</v>
      </c>
      <c r="AS12" s="74">
        <v>0</v>
      </c>
      <c r="AT12" s="74">
        <v>0</v>
      </c>
      <c r="AU12" s="74">
        <v>0</v>
      </c>
      <c r="AV12" s="74"/>
      <c r="AW12" s="74">
        <v>0</v>
      </c>
      <c r="AX12" s="74">
        <v>0</v>
      </c>
      <c r="AY12" s="74">
        <v>0</v>
      </c>
      <c r="AZ12" s="74">
        <v>0</v>
      </c>
      <c r="BA12" s="74">
        <v>0</v>
      </c>
      <c r="BB12" s="74">
        <v>0</v>
      </c>
      <c r="BC12" s="74">
        <v>0</v>
      </c>
      <c r="BD12" s="74">
        <v>0</v>
      </c>
      <c r="BE12" s="74">
        <v>0</v>
      </c>
      <c r="BF12" s="74">
        <v>0</v>
      </c>
      <c r="BG12" s="74">
        <v>0</v>
      </c>
      <c r="BH12" s="74"/>
      <c r="BI12" s="74">
        <v>0</v>
      </c>
      <c r="BJ12" s="74">
        <v>0</v>
      </c>
      <c r="BK12" s="74">
        <v>0</v>
      </c>
      <c r="BL12" s="74">
        <v>0</v>
      </c>
      <c r="BM12" s="74">
        <v>0</v>
      </c>
      <c r="BN12" s="74">
        <v>0</v>
      </c>
      <c r="BO12" s="74">
        <v>0</v>
      </c>
      <c r="BP12" s="74">
        <v>0</v>
      </c>
      <c r="BQ12" s="74">
        <v>0</v>
      </c>
      <c r="BR12" s="74">
        <v>0</v>
      </c>
      <c r="BS12" s="74">
        <v>0</v>
      </c>
      <c r="BT12" s="74"/>
      <c r="BU12" s="74">
        <v>0</v>
      </c>
      <c r="BV12" s="74">
        <v>0</v>
      </c>
      <c r="BW12" s="74">
        <v>0</v>
      </c>
      <c r="BX12" s="74">
        <v>0</v>
      </c>
      <c r="BY12" s="74">
        <v>0</v>
      </c>
      <c r="BZ12" s="74">
        <v>91.279977563468506</v>
      </c>
      <c r="CA12" s="74">
        <v>91.279977563468506</v>
      </c>
      <c r="CB12" s="74">
        <v>90990</v>
      </c>
      <c r="CC12" s="74">
        <v>50.94123778886059</v>
      </c>
      <c r="CD12" s="74">
        <v>3.2039272124777431</v>
      </c>
      <c r="CE12" s="74">
        <v>12.258900986773806</v>
      </c>
      <c r="CF12" s="74"/>
      <c r="CG12" s="74">
        <v>1.5791436118480082</v>
      </c>
      <c r="CH12" s="74">
        <v>0</v>
      </c>
      <c r="CI12" s="74">
        <v>0</v>
      </c>
      <c r="CJ12" s="74">
        <v>2.3533562833651169</v>
      </c>
      <c r="CK12" s="74">
        <v>1.4969916320408849</v>
      </c>
      <c r="CL12" s="74">
        <v>93.744318738768953</v>
      </c>
      <c r="CM12" s="74">
        <v>93.744318738768953</v>
      </c>
      <c r="CN12" s="74">
        <v>95161</v>
      </c>
      <c r="CO12" s="74">
        <v>50.961983936187494</v>
      </c>
      <c r="CP12" s="74">
        <v>3.7497727495507602</v>
      </c>
      <c r="CQ12" s="74">
        <v>13.412028627152273</v>
      </c>
      <c r="CR12" s="74"/>
      <c r="CS12" s="74">
        <v>1.7811420560366118</v>
      </c>
      <c r="CT12" s="74">
        <v>0</v>
      </c>
      <c r="CU12" s="74">
        <v>0</v>
      </c>
      <c r="CV12" s="74">
        <v>2.4744594602810941</v>
      </c>
      <c r="CW12" s="74">
        <v>1.1571250842502001</v>
      </c>
      <c r="CX12" s="74">
        <v>92.975353357979088</v>
      </c>
      <c r="CY12" s="74">
        <v>92.975353357979088</v>
      </c>
      <c r="CZ12" s="74">
        <v>81150</v>
      </c>
      <c r="DA12" s="74">
        <v>48.333054173308625</v>
      </c>
      <c r="DB12" s="74">
        <v>4.8755234115584702</v>
      </c>
      <c r="DC12" s="74">
        <v>14.60480968417936</v>
      </c>
      <c r="DD12" s="74"/>
      <c r="DE12" s="74">
        <v>1.7665317138016001</v>
      </c>
      <c r="DF12" s="74">
        <v>0</v>
      </c>
      <c r="DG12" s="74">
        <v>0</v>
      </c>
      <c r="DH12" s="74">
        <v>2.5481251888543488</v>
      </c>
      <c r="DI12" s="74">
        <v>0.74961902239018641</v>
      </c>
      <c r="DJ12" s="74">
        <v>145.43665865988169</v>
      </c>
      <c r="DK12" s="74">
        <v>145.43665865988169</v>
      </c>
      <c r="DL12" s="74">
        <v>58950</v>
      </c>
      <c r="DM12" s="75">
        <f t="shared" si="0"/>
        <v>8573491.0280000251</v>
      </c>
      <c r="DN12" s="75">
        <f t="shared" si="1"/>
        <v>1702578.8363909831</v>
      </c>
      <c r="DO12" s="76">
        <f t="shared" si="2"/>
        <v>0.19858641372931496</v>
      </c>
      <c r="DP12" s="74">
        <v>74.712634014045946</v>
      </c>
      <c r="DQ12" s="74">
        <v>6.9269379929534916</v>
      </c>
      <c r="DR12" s="74">
        <v>23.600205699146802</v>
      </c>
      <c r="DS12" s="74"/>
      <c r="DT12" s="74">
        <v>3.9435655182559404</v>
      </c>
      <c r="DU12" s="74">
        <v>0</v>
      </c>
      <c r="DV12" s="74">
        <v>0</v>
      </c>
      <c r="DW12" s="74">
        <v>4.0238276580671899</v>
      </c>
      <c r="DX12" s="74">
        <v>3.3477433093718965</v>
      </c>
      <c r="DY12" s="74"/>
      <c r="DZ12" s="74">
        <v>0</v>
      </c>
      <c r="EA12" s="74">
        <v>0</v>
      </c>
      <c r="EB12" s="74"/>
      <c r="EC12" s="74"/>
      <c r="ED12" s="74"/>
      <c r="EE12" s="74"/>
      <c r="EF12" s="74"/>
      <c r="EG12" s="74"/>
      <c r="EH12" s="74"/>
      <c r="EI12" s="74"/>
      <c r="EJ12" s="74"/>
      <c r="EK12" s="74">
        <v>0</v>
      </c>
      <c r="EL12" s="74">
        <v>0</v>
      </c>
      <c r="EM12" s="74" t="s">
        <v>404</v>
      </c>
      <c r="EN12" s="77">
        <f t="shared" si="27"/>
        <v>38.865393842686096</v>
      </c>
      <c r="EO12" s="77">
        <f t="shared" si="28"/>
        <v>0</v>
      </c>
      <c r="EP12" s="77">
        <f t="shared" si="29"/>
        <v>0</v>
      </c>
      <c r="EQ12" s="77">
        <f t="shared" si="30"/>
        <v>0</v>
      </c>
      <c r="ER12" s="77">
        <f t="shared" si="31"/>
        <v>50.94123778886059</v>
      </c>
      <c r="ES12" s="77">
        <f t="shared" si="32"/>
        <v>50.961983936187494</v>
      </c>
      <c r="ET12" s="77">
        <f t="shared" si="33"/>
        <v>48.333054173308625</v>
      </c>
      <c r="EU12" s="77">
        <f t="shared" si="34"/>
        <v>74.712634014045946</v>
      </c>
      <c r="EV12" s="77">
        <f t="shared" si="35"/>
        <v>-35.84724017135985</v>
      </c>
      <c r="EW12" s="77">
        <f t="shared" si="36"/>
        <v>-74.712634014045946</v>
      </c>
      <c r="EX12" s="77">
        <f t="shared" si="37"/>
        <v>-74.712634014045946</v>
      </c>
      <c r="EY12" s="77">
        <f t="shared" si="38"/>
        <v>-74.712634014045946</v>
      </c>
      <c r="EZ12" s="77">
        <f t="shared" si="39"/>
        <v>-23.771396225185356</v>
      </c>
      <c r="FA12" s="77">
        <f t="shared" si="40"/>
        <v>-23.750650077858452</v>
      </c>
      <c r="FB12" s="77">
        <f t="shared" si="41"/>
        <v>-26.379579840737321</v>
      </c>
      <c r="FC12" s="77"/>
      <c r="FD12" s="77">
        <f t="shared" si="42"/>
        <v>7.6771148331231798</v>
      </c>
      <c r="FE12" s="77">
        <f t="shared" si="43"/>
        <v>0</v>
      </c>
      <c r="FF12" s="77">
        <f t="shared" si="44"/>
        <v>0</v>
      </c>
      <c r="FG12" s="77">
        <f t="shared" si="45"/>
        <v>0</v>
      </c>
      <c r="FH12" s="77">
        <f t="shared" si="46"/>
        <v>3.2039272124777431</v>
      </c>
      <c r="FI12" s="77">
        <f t="shared" si="47"/>
        <v>3.7497727495507602</v>
      </c>
      <c r="FJ12" s="77">
        <f t="shared" si="48"/>
        <v>4.8755234115584702</v>
      </c>
      <c r="FK12" s="77">
        <f t="shared" si="49"/>
        <v>6.9269379929534916</v>
      </c>
      <c r="FL12" s="77">
        <f t="shared" si="50"/>
        <v>0</v>
      </c>
      <c r="FM12" s="77">
        <f t="shared" si="51"/>
        <v>-6.9269379929534916</v>
      </c>
      <c r="FN12" s="77">
        <f t="shared" si="52"/>
        <v>-6.9269379929534916</v>
      </c>
      <c r="FO12" s="77">
        <f t="shared" si="53"/>
        <v>-6.9269379929534916</v>
      </c>
      <c r="FP12" s="77">
        <f t="shared" si="54"/>
        <v>-3.7230107804757484</v>
      </c>
      <c r="FQ12" s="77">
        <f t="shared" si="55"/>
        <v>-3.1771652434027313</v>
      </c>
      <c r="FR12" s="77">
        <f t="shared" si="56"/>
        <v>-2.0514145813950213</v>
      </c>
      <c r="FS12" s="77"/>
      <c r="FT12" s="77">
        <f t="shared" si="57"/>
        <v>4.0170949708202688</v>
      </c>
      <c r="FU12" s="77">
        <f t="shared" si="58"/>
        <v>0</v>
      </c>
      <c r="FV12" s="77">
        <f t="shared" si="59"/>
        <v>0</v>
      </c>
      <c r="FW12" s="77">
        <f t="shared" si="60"/>
        <v>0</v>
      </c>
      <c r="FX12" s="77">
        <f t="shared" si="61"/>
        <v>12.258900986773806</v>
      </c>
      <c r="FY12" s="77">
        <f t="shared" si="62"/>
        <v>13.412028627152273</v>
      </c>
      <c r="FZ12" s="77">
        <f t="shared" si="63"/>
        <v>14.60480968417936</v>
      </c>
      <c r="GA12" s="77">
        <f t="shared" si="64"/>
        <v>23.600205699146802</v>
      </c>
      <c r="GB12" s="77">
        <f t="shared" si="65"/>
        <v>-19.583110728326531</v>
      </c>
      <c r="GC12" s="77">
        <f t="shared" si="66"/>
        <v>-23.600205699146802</v>
      </c>
      <c r="GD12" s="77">
        <f t="shared" si="67"/>
        <v>-23.600205699146802</v>
      </c>
      <c r="GE12" s="77">
        <f t="shared" si="68"/>
        <v>-23.600205699146802</v>
      </c>
      <c r="GF12" s="77">
        <f t="shared" si="69"/>
        <v>-11.341304712372995</v>
      </c>
      <c r="GG12" s="77">
        <f t="shared" si="70"/>
        <v>-10.188177071994529</v>
      </c>
      <c r="GH12" s="77">
        <f t="shared" si="71"/>
        <v>-8.9953960149674419</v>
      </c>
      <c r="GI12" s="77"/>
      <c r="GJ12" s="77" t="str">
        <f t="shared" si="72"/>
        <v/>
      </c>
      <c r="GK12" s="77" t="str">
        <f t="shared" si="73"/>
        <v/>
      </c>
      <c r="GL12" s="77" t="str">
        <f t="shared" si="74"/>
        <v/>
      </c>
      <c r="GM12" s="77" t="str">
        <f t="shared" si="75"/>
        <v/>
      </c>
      <c r="GN12" s="77" t="str">
        <f t="shared" si="76"/>
        <v/>
      </c>
      <c r="GO12" s="77" t="str">
        <f t="shared" si="77"/>
        <v/>
      </c>
      <c r="GP12" s="77" t="str">
        <f t="shared" si="78"/>
        <v/>
      </c>
      <c r="GQ12" s="77" t="str">
        <f t="shared" si="79"/>
        <v/>
      </c>
      <c r="GR12" s="77" t="str">
        <f t="shared" si="80"/>
        <v/>
      </c>
      <c r="GS12" s="77" t="str">
        <f t="shared" si="81"/>
        <v/>
      </c>
      <c r="GT12" s="77" t="str">
        <f t="shared" si="82"/>
        <v/>
      </c>
      <c r="GU12" s="77" t="str">
        <f t="shared" si="83"/>
        <v/>
      </c>
      <c r="GV12" s="77" t="str">
        <f t="shared" si="84"/>
        <v/>
      </c>
      <c r="GW12" s="77" t="str">
        <f t="shared" si="85"/>
        <v/>
      </c>
      <c r="GX12" s="77" t="str">
        <f t="shared" si="86"/>
        <v/>
      </c>
      <c r="GY12" s="77"/>
      <c r="GZ12" s="77">
        <f t="shared" si="87"/>
        <v>1.1158597141167412</v>
      </c>
      <c r="HA12" s="77">
        <f t="shared" si="88"/>
        <v>0</v>
      </c>
      <c r="HB12" s="77">
        <f t="shared" si="89"/>
        <v>0</v>
      </c>
      <c r="HC12" s="77">
        <f t="shared" si="90"/>
        <v>0</v>
      </c>
      <c r="HD12" s="77">
        <f t="shared" si="91"/>
        <v>1.5791436118480082</v>
      </c>
      <c r="HE12" s="77">
        <f t="shared" si="92"/>
        <v>1.7811420560366118</v>
      </c>
      <c r="HF12" s="77">
        <f t="shared" si="93"/>
        <v>1.7665317138016001</v>
      </c>
      <c r="HG12" s="77">
        <f t="shared" si="94"/>
        <v>3.9435655182559404</v>
      </c>
      <c r="HH12" s="77">
        <f t="shared" si="95"/>
        <v>-2.8277058041391991</v>
      </c>
      <c r="HI12" s="77">
        <f t="shared" si="96"/>
        <v>-3.9435655182559404</v>
      </c>
      <c r="HJ12" s="77">
        <f t="shared" si="97"/>
        <v>-3.9435655182559404</v>
      </c>
      <c r="HK12" s="77">
        <f t="shared" si="98"/>
        <v>-3.9435655182559404</v>
      </c>
      <c r="HL12" s="77">
        <f t="shared" si="99"/>
        <v>-2.3644219064079319</v>
      </c>
      <c r="HM12" s="77">
        <f t="shared" si="100"/>
        <v>-2.1624234622193286</v>
      </c>
      <c r="HN12" s="77">
        <f t="shared" si="101"/>
        <v>-2.1770338044543402</v>
      </c>
      <c r="HO12" s="77"/>
      <c r="HP12" s="77">
        <f t="shared" si="102"/>
        <v>1.4952520169164332</v>
      </c>
      <c r="HQ12" s="77">
        <f t="shared" si="103"/>
        <v>0</v>
      </c>
      <c r="HR12" s="77">
        <f t="shared" si="104"/>
        <v>0</v>
      </c>
      <c r="HS12" s="77">
        <f t="shared" si="105"/>
        <v>0</v>
      </c>
      <c r="HT12" s="77">
        <f t="shared" si="106"/>
        <v>1.4969916320408849</v>
      </c>
      <c r="HU12" s="77">
        <f t="shared" si="107"/>
        <v>1.1571250842502001</v>
      </c>
      <c r="HV12" s="77">
        <f t="shared" si="108"/>
        <v>0.74961902239018641</v>
      </c>
      <c r="HW12" s="77">
        <f t="shared" si="109"/>
        <v>3.3477433093718965</v>
      </c>
      <c r="HX12" s="77">
        <f t="shared" si="110"/>
        <v>-1.8524912924554633</v>
      </c>
      <c r="HY12" s="77">
        <f t="shared" si="111"/>
        <v>-3.3477433093718965</v>
      </c>
      <c r="HZ12" s="77">
        <f t="shared" si="112"/>
        <v>-3.3477433093718965</v>
      </c>
      <c r="IA12" s="77">
        <f t="shared" si="113"/>
        <v>-3.3477433093718965</v>
      </c>
      <c r="IB12" s="77">
        <f t="shared" si="114"/>
        <v>-1.8507516773310115</v>
      </c>
      <c r="IC12" s="77">
        <f t="shared" si="115"/>
        <v>-2.1906182251216961</v>
      </c>
      <c r="ID12" s="77">
        <f t="shared" si="193"/>
        <v>-2.5981242869817098</v>
      </c>
      <c r="IE12" s="77"/>
      <c r="IF12" s="77">
        <f t="shared" si="116"/>
        <v>1.7184239597397815</v>
      </c>
      <c r="IG12" s="77">
        <f t="shared" si="117"/>
        <v>0</v>
      </c>
      <c r="IH12" s="77">
        <f t="shared" si="118"/>
        <v>0</v>
      </c>
      <c r="II12" s="77">
        <f t="shared" si="119"/>
        <v>0</v>
      </c>
      <c r="IJ12" s="77">
        <f t="shared" si="120"/>
        <v>0</v>
      </c>
      <c r="IK12" s="77">
        <f t="shared" si="121"/>
        <v>0</v>
      </c>
      <c r="IL12" s="77">
        <f t="shared" si="122"/>
        <v>0</v>
      </c>
      <c r="IM12" s="77">
        <f t="shared" si="123"/>
        <v>0</v>
      </c>
      <c r="IN12" s="77">
        <f t="shared" si="124"/>
        <v>0</v>
      </c>
      <c r="IO12" s="77">
        <f t="shared" si="125"/>
        <v>0</v>
      </c>
      <c r="IP12" s="77">
        <f t="shared" si="126"/>
        <v>0</v>
      </c>
      <c r="IQ12" s="77">
        <f t="shared" si="127"/>
        <v>0</v>
      </c>
      <c r="IR12" s="77">
        <f t="shared" si="128"/>
        <v>0</v>
      </c>
      <c r="IS12" s="77">
        <f t="shared" si="129"/>
        <v>0</v>
      </c>
      <c r="IT12" s="77">
        <f t="shared" si="130"/>
        <v>0</v>
      </c>
      <c r="IU12" s="77"/>
      <c r="IV12" s="77">
        <f t="shared" si="131"/>
        <v>3.4926409051854002</v>
      </c>
      <c r="IW12" s="77">
        <f t="shared" si="132"/>
        <v>0</v>
      </c>
      <c r="IX12" s="77">
        <f t="shared" si="133"/>
        <v>0</v>
      </c>
      <c r="IY12" s="77">
        <f t="shared" si="134"/>
        <v>0</v>
      </c>
      <c r="IZ12" s="77">
        <f t="shared" si="135"/>
        <v>2.3533562833651169</v>
      </c>
      <c r="JA12" s="77">
        <f t="shared" si="136"/>
        <v>2.4744594602810941</v>
      </c>
      <c r="JB12" s="77">
        <f t="shared" si="137"/>
        <v>2.5481251888543488</v>
      </c>
      <c r="JC12" s="77">
        <f t="shared" si="138"/>
        <v>4.0238276580671899</v>
      </c>
      <c r="JD12" s="77">
        <f t="shared" si="139"/>
        <v>-0.53118675288178974</v>
      </c>
      <c r="JE12" s="77">
        <f t="shared" si="140"/>
        <v>-4.0238276580671899</v>
      </c>
      <c r="JF12" s="77">
        <f t="shared" si="141"/>
        <v>-4.0238276580671899</v>
      </c>
      <c r="JG12" s="77">
        <f t="shared" si="142"/>
        <v>-4.0238276580671899</v>
      </c>
      <c r="JH12" s="77">
        <f t="shared" si="143"/>
        <v>-1.670471374702073</v>
      </c>
      <c r="JI12" s="77">
        <f t="shared" si="144"/>
        <v>-1.5493681977860958</v>
      </c>
      <c r="JJ12" s="77">
        <f t="shared" si="145"/>
        <v>-1.4757024692128411</v>
      </c>
      <c r="JK12" s="77"/>
      <c r="JL12" s="77">
        <f t="shared" si="146"/>
        <v>0</v>
      </c>
      <c r="JM12" s="77">
        <f t="shared" si="147"/>
        <v>0</v>
      </c>
      <c r="JN12" s="77">
        <f t="shared" si="148"/>
        <v>0</v>
      </c>
      <c r="JO12" s="77">
        <f t="shared" si="149"/>
        <v>0</v>
      </c>
      <c r="JP12" s="77">
        <f t="shared" si="150"/>
        <v>0</v>
      </c>
      <c r="JQ12" s="77">
        <f t="shared" si="151"/>
        <v>0</v>
      </c>
      <c r="JR12" s="77">
        <f t="shared" si="152"/>
        <v>0</v>
      </c>
      <c r="JS12" s="77">
        <f t="shared" si="153"/>
        <v>0</v>
      </c>
      <c r="JT12" s="77">
        <f t="shared" si="154"/>
        <v>0</v>
      </c>
      <c r="JU12" s="77">
        <f t="shared" si="155"/>
        <v>0</v>
      </c>
      <c r="JV12" s="77">
        <f t="shared" si="156"/>
        <v>0</v>
      </c>
      <c r="JW12" s="77">
        <f t="shared" si="157"/>
        <v>0</v>
      </c>
      <c r="JX12" s="77">
        <f t="shared" si="158"/>
        <v>0</v>
      </c>
      <c r="JY12" s="77">
        <f t="shared" si="159"/>
        <v>0</v>
      </c>
      <c r="JZ12" s="77">
        <f t="shared" si="160"/>
        <v>0</v>
      </c>
      <c r="KA12" s="77"/>
      <c r="KB12" s="77">
        <f t="shared" si="161"/>
        <v>58.381780242587894</v>
      </c>
      <c r="KC12" s="77">
        <f t="shared" si="3"/>
        <v>0</v>
      </c>
      <c r="KD12" s="77">
        <f t="shared" si="3"/>
        <v>0</v>
      </c>
      <c r="KE12" s="77">
        <f t="shared" si="3"/>
        <v>0</v>
      </c>
      <c r="KF12" s="77">
        <f t="shared" si="3"/>
        <v>71.833557515366152</v>
      </c>
      <c r="KG12" s="77">
        <f t="shared" si="3"/>
        <v>73.536511913458426</v>
      </c>
      <c r="KH12" s="77">
        <f t="shared" si="3"/>
        <v>72.877663194092591</v>
      </c>
      <c r="KI12" s="77">
        <f t="shared" si="3"/>
        <v>116.55491419184126</v>
      </c>
      <c r="KJ12" s="77">
        <f t="shared" si="3"/>
        <v>-60.641734749162829</v>
      </c>
      <c r="KK12" s="77">
        <f t="shared" si="4"/>
        <v>-116.55491419184126</v>
      </c>
      <c r="KL12" s="77">
        <f t="shared" si="4"/>
        <v>-116.55491419184126</v>
      </c>
      <c r="KM12" s="77">
        <f t="shared" si="4"/>
        <v>-116.55491419184126</v>
      </c>
      <c r="KN12" s="77">
        <f t="shared" si="4"/>
        <v>-44.721356676475118</v>
      </c>
      <c r="KO12" s="77">
        <f t="shared" si="4"/>
        <v>-43.018402278382837</v>
      </c>
      <c r="KP12" s="77">
        <f t="shared" si="4"/>
        <v>-43.677250997748672</v>
      </c>
      <c r="KQ12" s="78"/>
      <c r="KR12" s="77">
        <f t="shared" si="162"/>
        <v>-35.84724017135985</v>
      </c>
      <c r="KS12" s="77">
        <f t="shared" si="163"/>
        <v>0.59113150901169975</v>
      </c>
      <c r="KT12" s="77">
        <f t="shared" si="5"/>
        <v>-74.712634014045946</v>
      </c>
      <c r="KU12" s="79">
        <f t="shared" si="164"/>
        <v>0.64100801353664216</v>
      </c>
      <c r="KV12" s="77">
        <f t="shared" si="6"/>
        <v>-74.712634014045946</v>
      </c>
      <c r="KW12" s="79">
        <f t="shared" si="165"/>
        <v>0.64100801353664216</v>
      </c>
      <c r="KX12" s="77">
        <f t="shared" si="7"/>
        <v>-74.712634014045946</v>
      </c>
      <c r="KY12" s="79">
        <f t="shared" si="166"/>
        <v>0.64100801353664216</v>
      </c>
      <c r="KZ12" s="77">
        <f t="shared" si="8"/>
        <v>-23.771396225185356</v>
      </c>
      <c r="LA12" s="79">
        <f t="shared" si="167"/>
        <v>0.53154461294976496</v>
      </c>
      <c r="LB12" s="77">
        <f t="shared" si="9"/>
        <v>-23.750650077858452</v>
      </c>
      <c r="LC12" s="79">
        <f t="shared" si="168"/>
        <v>0.55210442089787659</v>
      </c>
      <c r="LD12" s="77">
        <f t="shared" si="10"/>
        <v>-26.379579840737321</v>
      </c>
      <c r="LE12" s="79">
        <f t="shared" si="169"/>
        <v>0.60396612053485343</v>
      </c>
      <c r="LF12" s="77" t="str" cm="1">
        <f t="array" ref="LF12">IFERROR(_xlfn.IFS(KR12=EV12,"Material",KR12=FL12,"Direct Labor",KR12=GB12,"Variable Overhead",KR12=GR12,"Indirect Labor",KR12=HH12,"Fixed Overhead",KR12=HX12,"SG&amp;A",KR12=IN12,"Depreciation",KR12=JD12,"Corporate allocation",KR12=JT12,"Amortized Tooling"),"")</f>
        <v>Material</v>
      </c>
      <c r="LG12" s="77" t="str" cm="1">
        <f t="array" ref="LG12">IFERROR(_xlfn.IFS(KT12=EW12,"Material",KT12=FM12,"Direct Labor",KT12=GC12,"Variable Overhead",KT12=GS12,"Indirect Labor",KT12=HI12,"Fixed Overhead",KT12=HY12,"SG&amp;A",KT12=IO12,"Depreciation",KT12=JE12,"Corporate Allocation",KT12=JU12,"Amortized Tooling"),"")</f>
        <v>Material</v>
      </c>
      <c r="LH12" s="77" t="str" cm="1">
        <f t="array" ref="LH12">IFERROR(_xlfn.IFS(KV12=EX12,"Material",KV12=FN12,"Direct Labor",KV12=GD12,"Variable Overhead",KV12=GT12,"Indirect Labor",KV12=HJ12,"Fixed Overhead",KV12=HZ12,"SG&amp;A",KV12=IP12,"Depreciation",KV12=JF12,"Corporate Allocation",KV12=JV12,"Amortized Tooling"),"")</f>
        <v>Material</v>
      </c>
      <c r="LI12" s="77" t="str" cm="1">
        <f t="array" ref="LI12">IFERROR(_xlfn.IFS(KX12=EY12,"Material",KX12=FO12,"Direct Labor",KX12=GE12,"Variable Overhead",KX12=GU12,"Indirect Labor",KX12=HK12,"Fixed Overhead",KX12=IA12,"SG&amp;A",KX12=IQ12,"Depreciation",KX12=JG12,"Corporate Allocation",KX12=JW12,"Amortized Tooling"),"")</f>
        <v>Material</v>
      </c>
      <c r="LJ12" s="77" t="str" cm="1">
        <f t="array" ref="LJ12">IFERROR(_xlfn.IFS(KZ12=EZ12,"Material",KZ12=FP12,"Direct Labor",KZ12=GF12,"Variable Overhead",KZ12=GV12,"Indirect Labor",KZ12=HL12,"Fixed Overhead",KZ12=IB12,"SG&amp;A",KZ12=IR12,"Depreciation",KZ12=JH12,"Corporate Allocation",KZ12=JX12,"Amortized Tooling"),"")</f>
        <v>Material</v>
      </c>
      <c r="LK12" s="77" t="str" cm="1">
        <f t="array" ref="LK12">IFERROR(_xlfn.IFS(LB12=FA12,"Material",LB12=FQ12,"Direct Labor",LB12=GG12,"Variable Overhead",LB12=GW12,"Indirect Labor",LB12=HM12,"Fixed Overhead",LB12=IC12,"SG&amp;A",LB12=IS12,"Depreciation",LB12=JI12,"Corporate Allocation",LB12=JY12,"Amortized Tooling"),"")</f>
        <v>Material</v>
      </c>
      <c r="LL12" s="77" t="str" cm="1">
        <f t="array" ref="LL12">IFERROR(_xlfn.IFS(LD12=FB12,"Material",LD12=FR12,"Direct Labor",LD12=GH12,"Variable Overhead",LD12=GX12,"Indirect Labor",LD12=HN12,"Fixed Overhead",LD12=ID12,"SG&amp;A",LD12=IT12,"Depreciation",LD12=JJ12,"Corporate Allocation",LD12=JZ12,"Amortized Tooling"),"")</f>
        <v>Material</v>
      </c>
      <c r="LM12" s="77" cm="1">
        <f t="array" ref="LM12">_xlfn.IFS(DL12="","",LN12="0% EBIT target","",LN12="12% EBIT target","",LN12="At quote",KJ12,LN12="2019",KK12,LN12="2020",KL12,LN12="2021",KM12,LN12="2022",KN12,LN12="2023",KO12,LN12="2024",KP12)</f>
        <v>-60.641734749162829</v>
      </c>
      <c r="LN12" s="77" t="str">
        <f t="shared" si="170"/>
        <v>At quote</v>
      </c>
      <c r="LO12" s="77" cm="1">
        <f t="array" ref="LO12">IFERROR(_xlfn.IFS(MN12="0% EBIT target","",MN12="12% EBIT target","",LN12="At quote",KR12,LN12="2019",KT12,LN12="2020",KV12,LN12="2021",KX12,LN12="2022",KZ12,LN12="2023",LB12,LN12="2024",LD12),"")</f>
        <v>-35.84724017135985</v>
      </c>
      <c r="LP12" s="78" t="str" cm="1">
        <f t="array" ref="LP12">IFERROR(_xlfn.IFS(MN12="0% EBIT target","",MN12="12% EBIT target","",LN12="At quote",LF12,LN12="2019",LG12,LN12="2020",LH12,LN12="2021",LI12,LN12="2022",LJ12,LN12="2023",LK12,LN12="2024",LL12),"")</f>
        <v>Material</v>
      </c>
      <c r="LQ12" s="79">
        <f t="shared" si="11"/>
        <v>0.59113150901169975</v>
      </c>
      <c r="LR12" s="78"/>
      <c r="LS12" s="79">
        <f t="shared" si="12"/>
        <v>1.0387099279464309</v>
      </c>
      <c r="LT12" s="79" t="str">
        <f t="shared" si="12"/>
        <v/>
      </c>
      <c r="LU12" s="79" t="str">
        <f t="shared" si="12"/>
        <v/>
      </c>
      <c r="LV12" s="79" t="str">
        <f t="shared" si="12"/>
        <v/>
      </c>
      <c r="LW12" s="79">
        <f t="shared" si="12"/>
        <v>0.62256914767041327</v>
      </c>
      <c r="LX12" s="79">
        <f t="shared" si="12"/>
        <v>0.58499378280287651</v>
      </c>
      <c r="LY12" s="79">
        <f t="shared" si="12"/>
        <v>0.59932288006305223</v>
      </c>
      <c r="LZ12" s="79" t="str">
        <f t="shared" si="13"/>
        <v/>
      </c>
      <c r="MA12" s="79" t="str">
        <f t="shared" si="14"/>
        <v/>
      </c>
      <c r="MB12" s="79">
        <f t="shared" si="171"/>
        <v>1.0387099279464309</v>
      </c>
      <c r="MC12" s="80">
        <f t="shared" si="15"/>
        <v>145.43665865988169</v>
      </c>
      <c r="MD12" s="80">
        <f t="shared" si="172"/>
        <v>150.62207430435427</v>
      </c>
      <c r="ME12" s="80" t="str">
        <f t="shared" si="173"/>
        <v/>
      </c>
      <c r="MF12" s="80" t="str">
        <f t="shared" si="174"/>
        <v/>
      </c>
      <c r="MG12" s="80" t="str">
        <f t="shared" si="175"/>
        <v/>
      </c>
      <c r="MH12" s="80">
        <f t="shared" si="176"/>
        <v>148.10807539453154</v>
      </c>
      <c r="MI12" s="80">
        <f t="shared" si="177"/>
        <v>148.58416237404001</v>
      </c>
      <c r="MJ12" s="80">
        <f t="shared" si="178"/>
        <v>148.69760990736307</v>
      </c>
      <c r="MK12" s="80" t="str">
        <f t="shared" si="16"/>
        <v/>
      </c>
      <c r="ML12" s="80" t="str">
        <f t="shared" si="16"/>
        <v/>
      </c>
      <c r="MM12" s="80">
        <f t="shared" si="179"/>
        <v>150.62207430435427</v>
      </c>
      <c r="MN12" s="80" t="str" cm="1">
        <f t="array" ref="MN12">_xlfn.IFS(MC12="","",MM12=0,"",MM12=MD12,"At quote",MM12=ME12,"2019",MM12=MF12,"2020",MM12=MG12,"2021",MM12=MH12,"2022",MM12=MI12,"2023",MM12=MJ12,"2024",MM12=MK12,"0% EBIT target",MM12=ML12,"12% EBIT target")</f>
        <v>At quote</v>
      </c>
      <c r="MO12" s="81">
        <f t="shared" si="180"/>
        <v>305680.25224165886</v>
      </c>
      <c r="MP12" s="81">
        <f t="shared" si="181"/>
        <v>76420.063060414715</v>
      </c>
      <c r="MQ12" s="80" t="str">
        <f t="shared" si="17"/>
        <v/>
      </c>
      <c r="MR12" s="80" t="str">
        <f t="shared" si="182"/>
        <v/>
      </c>
      <c r="MS12" s="80" t="str">
        <f t="shared" si="18"/>
        <v/>
      </c>
      <c r="MT12" s="80" t="str">
        <f t="shared" si="183"/>
        <v/>
      </c>
      <c r="MU12" s="80" t="str">
        <f t="shared" si="19"/>
        <v/>
      </c>
      <c r="MV12" s="80" t="str">
        <f t="shared" si="184"/>
        <v/>
      </c>
      <c r="MW12" s="80">
        <f t="shared" si="20"/>
        <v>157480.01650760882</v>
      </c>
      <c r="MX12" s="80">
        <f t="shared" si="185"/>
        <v>39370.004126902204</v>
      </c>
      <c r="MY12" s="80">
        <f t="shared" si="21"/>
        <v>185545.34394963289</v>
      </c>
      <c r="MZ12" s="80">
        <f t="shared" si="186"/>
        <v>46386.335987408223</v>
      </c>
      <c r="NA12" s="80">
        <f t="shared" si="22"/>
        <v>192233.07603902774</v>
      </c>
      <c r="NB12" s="80">
        <f t="shared" si="187"/>
        <v>48058.269009756936</v>
      </c>
      <c r="NC12" s="80" t="str">
        <f t="shared" si="188"/>
        <v/>
      </c>
      <c r="ND12" s="80" t="str">
        <f t="shared" si="189"/>
        <v/>
      </c>
      <c r="NE12" s="80" t="str">
        <f t="shared" si="23"/>
        <v/>
      </c>
      <c r="NF12" s="80" t="str">
        <f t="shared" si="190"/>
        <v/>
      </c>
      <c r="NG12" s="80">
        <f t="shared" si="24"/>
        <v>5.1854156444725845</v>
      </c>
      <c r="NH12" s="80">
        <f t="shared" si="25"/>
        <v>305680.25224165886</v>
      </c>
      <c r="NI12" s="80">
        <f t="shared" si="191"/>
        <v>152840.12612082943</v>
      </c>
      <c r="NJ12" s="80">
        <f t="shared" si="192"/>
        <v>76420.063060414715</v>
      </c>
    </row>
    <row r="13" spans="1:374" x14ac:dyDescent="0.25">
      <c r="A13" s="82" t="s">
        <v>411</v>
      </c>
      <c r="B13" s="71"/>
      <c r="C13" s="71" t="s">
        <v>420</v>
      </c>
      <c r="D13" s="82" t="s">
        <v>398</v>
      </c>
      <c r="E13" s="82" t="s">
        <v>399</v>
      </c>
      <c r="F13" s="83" t="s">
        <v>399</v>
      </c>
      <c r="G13" s="82" t="s">
        <v>406</v>
      </c>
      <c r="H13" s="71" t="str">
        <f t="shared" si="26"/>
        <v>Sao Jose Dos Pinhais CBA HJF All</v>
      </c>
      <c r="I13" s="71" t="s">
        <v>401</v>
      </c>
      <c r="J13" s="71" t="s">
        <v>402</v>
      </c>
      <c r="K13" s="82" t="s">
        <v>403</v>
      </c>
      <c r="L13" s="72">
        <v>0</v>
      </c>
      <c r="M13" s="72">
        <v>2024</v>
      </c>
      <c r="N13" s="73">
        <f>DATE(2027,12,31)</f>
        <v>46752</v>
      </c>
      <c r="O13" s="84">
        <v>0</v>
      </c>
      <c r="P13" s="84">
        <v>0</v>
      </c>
      <c r="Q13" s="84">
        <v>0</v>
      </c>
      <c r="R13" s="84">
        <v>0</v>
      </c>
      <c r="S13" s="84">
        <v>0</v>
      </c>
      <c r="T13" s="84">
        <v>147.91880063320608</v>
      </c>
      <c r="U13" s="84">
        <v>147.65617205649701</v>
      </c>
      <c r="V13" s="84">
        <v>147.3853740575517</v>
      </c>
      <c r="W13" s="84">
        <v>147.24284879494891</v>
      </c>
      <c r="X13" s="84">
        <v>0</v>
      </c>
      <c r="Y13" s="84">
        <v>0</v>
      </c>
      <c r="Z13" s="84">
        <v>0</v>
      </c>
      <c r="AA13" s="84">
        <v>0</v>
      </c>
      <c r="AB13" s="84">
        <v>0</v>
      </c>
      <c r="AC13" s="84">
        <v>42956</v>
      </c>
      <c r="AD13" s="84">
        <v>70163</v>
      </c>
      <c r="AE13" s="84">
        <v>70163</v>
      </c>
      <c r="AF13" s="84">
        <v>70163</v>
      </c>
      <c r="AG13" s="84">
        <v>93.981158160283911</v>
      </c>
      <c r="AH13" s="84">
        <v>7.6963641805510026</v>
      </c>
      <c r="AI13" s="84">
        <v>12.978018693654649</v>
      </c>
      <c r="AJ13" s="84"/>
      <c r="AK13" s="84">
        <v>2.985723522786512</v>
      </c>
      <c r="AL13" s="84">
        <v>4.6819339609195723</v>
      </c>
      <c r="AM13" s="84">
        <v>0</v>
      </c>
      <c r="AN13" s="84">
        <v>5.5955079857331533</v>
      </c>
      <c r="AO13" s="84">
        <v>2.3688838846685574</v>
      </c>
      <c r="AP13" s="84">
        <v>0</v>
      </c>
      <c r="AQ13" s="84">
        <v>0</v>
      </c>
      <c r="AR13" s="84">
        <v>0</v>
      </c>
      <c r="AS13" s="84">
        <v>0</v>
      </c>
      <c r="AT13" s="84">
        <v>0</v>
      </c>
      <c r="AU13" s="84">
        <v>0</v>
      </c>
      <c r="AV13" s="84"/>
      <c r="AW13" s="84">
        <v>0</v>
      </c>
      <c r="AX13" s="84">
        <v>0</v>
      </c>
      <c r="AY13" s="84">
        <v>0</v>
      </c>
      <c r="AZ13" s="84">
        <v>0</v>
      </c>
      <c r="BA13" s="84">
        <v>0</v>
      </c>
      <c r="BB13" s="84">
        <v>0</v>
      </c>
      <c r="BC13" s="84">
        <v>0</v>
      </c>
      <c r="BD13" s="84">
        <v>0</v>
      </c>
      <c r="BE13" s="84">
        <v>0</v>
      </c>
      <c r="BF13" s="84">
        <v>0</v>
      </c>
      <c r="BG13" s="84">
        <v>0</v>
      </c>
      <c r="BH13" s="84"/>
      <c r="BI13" s="84">
        <v>0</v>
      </c>
      <c r="BJ13" s="84">
        <v>0</v>
      </c>
      <c r="BK13" s="84">
        <v>0</v>
      </c>
      <c r="BL13" s="84">
        <v>0</v>
      </c>
      <c r="BM13" s="84">
        <v>0</v>
      </c>
      <c r="BN13" s="84">
        <v>0</v>
      </c>
      <c r="BO13" s="84">
        <v>0</v>
      </c>
      <c r="BP13" s="84">
        <v>0</v>
      </c>
      <c r="BQ13" s="84">
        <v>0</v>
      </c>
      <c r="BR13" s="84">
        <v>0</v>
      </c>
      <c r="BS13" s="84">
        <v>0</v>
      </c>
      <c r="BT13" s="84"/>
      <c r="BU13" s="84">
        <v>0</v>
      </c>
      <c r="BV13" s="84">
        <v>0</v>
      </c>
      <c r="BW13" s="84">
        <v>0</v>
      </c>
      <c r="BX13" s="84">
        <v>0</v>
      </c>
      <c r="BY13" s="84">
        <v>0</v>
      </c>
      <c r="BZ13" s="84">
        <v>0</v>
      </c>
      <c r="CA13" s="84">
        <v>0</v>
      </c>
      <c r="CB13" s="84">
        <v>0</v>
      </c>
      <c r="CC13" s="84">
        <v>0</v>
      </c>
      <c r="CD13" s="84">
        <v>0</v>
      </c>
      <c r="CE13" s="84">
        <v>0</v>
      </c>
      <c r="CF13" s="84"/>
      <c r="CG13" s="84">
        <v>0</v>
      </c>
      <c r="CH13" s="84">
        <v>0</v>
      </c>
      <c r="CI13" s="84">
        <v>0</v>
      </c>
      <c r="CJ13" s="84">
        <v>0</v>
      </c>
      <c r="CK13" s="84">
        <v>0</v>
      </c>
      <c r="CL13" s="84">
        <v>393.62343467153289</v>
      </c>
      <c r="CM13" s="84">
        <v>393.62343467153289</v>
      </c>
      <c r="CN13" s="84">
        <v>274</v>
      </c>
      <c r="CO13" s="84">
        <v>234.43054763394159</v>
      </c>
      <c r="CP13" s="84">
        <v>26.17595840565696</v>
      </c>
      <c r="CQ13" s="84">
        <v>38.535734254343076</v>
      </c>
      <c r="CR13" s="84"/>
      <c r="CS13" s="84">
        <v>7.3607582283576569</v>
      </c>
      <c r="CT13" s="84">
        <v>8.5022661889051125</v>
      </c>
      <c r="CU13" s="84">
        <v>0</v>
      </c>
      <c r="CV13" s="84">
        <v>9.521061741798361</v>
      </c>
      <c r="CW13" s="84">
        <v>8.5416285323722629</v>
      </c>
      <c r="CX13" s="84">
        <v>142.72816952888672</v>
      </c>
      <c r="CY13" s="84">
        <v>142.72816952888672</v>
      </c>
      <c r="CZ13" s="84">
        <v>51580</v>
      </c>
      <c r="DA13" s="84">
        <v>84.356885047720141</v>
      </c>
      <c r="DB13" s="84">
        <v>9.4914232736710513</v>
      </c>
      <c r="DC13" s="84">
        <v>13.973087796878067</v>
      </c>
      <c r="DD13" s="84"/>
      <c r="DE13" s="84">
        <v>2.6690167701902103</v>
      </c>
      <c r="DF13" s="84">
        <v>3.0829284618239625</v>
      </c>
      <c r="DG13" s="84">
        <v>0</v>
      </c>
      <c r="DH13" s="84">
        <v>3.4798767771517882</v>
      </c>
      <c r="DI13" s="84">
        <v>3.0972012787768399</v>
      </c>
      <c r="DJ13" s="84">
        <v>127.98714902682983</v>
      </c>
      <c r="DK13" s="84">
        <v>127.98714902682983</v>
      </c>
      <c r="DL13" s="84">
        <v>59188</v>
      </c>
      <c r="DM13" s="75">
        <f t="shared" si="0"/>
        <v>7575303.3766000038</v>
      </c>
      <c r="DN13" s="85">
        <f t="shared" si="1"/>
        <v>896857.36892367154</v>
      </c>
      <c r="DO13" s="86">
        <f t="shared" si="2"/>
        <v>0.11839227082232115</v>
      </c>
      <c r="DP13" s="84">
        <v>81.886248154712376</v>
      </c>
      <c r="DQ13" s="84">
        <v>8.2517022376832365</v>
      </c>
      <c r="DR13" s="84">
        <v>12.14799472284488</v>
      </c>
      <c r="DS13" s="84"/>
      <c r="DT13" s="84">
        <v>2.3204034863861018</v>
      </c>
      <c r="DU13" s="84">
        <v>2.6802521553978624</v>
      </c>
      <c r="DV13" s="84">
        <v>0</v>
      </c>
      <c r="DW13" s="84">
        <v>2.8551983302528003</v>
      </c>
      <c r="DX13" s="84">
        <v>2.692660730191347</v>
      </c>
      <c r="DY13" s="84"/>
      <c r="DZ13" s="84">
        <v>170.3945588059714</v>
      </c>
      <c r="EA13" s="84">
        <v>41151</v>
      </c>
      <c r="EB13" s="84"/>
      <c r="EC13" s="84"/>
      <c r="ED13" s="84"/>
      <c r="EE13" s="84"/>
      <c r="EF13" s="84"/>
      <c r="EG13" s="84"/>
      <c r="EH13" s="84"/>
      <c r="EI13" s="84"/>
      <c r="EJ13" s="84"/>
      <c r="EK13" s="84">
        <v>174.18357967215766</v>
      </c>
      <c r="EL13" s="84">
        <v>48672</v>
      </c>
      <c r="EM13" s="84" t="s">
        <v>404</v>
      </c>
      <c r="EN13" s="77">
        <f t="shared" si="27"/>
        <v>93.981158160283911</v>
      </c>
      <c r="EO13" s="77">
        <f t="shared" si="28"/>
        <v>0</v>
      </c>
      <c r="EP13" s="77">
        <f t="shared" si="29"/>
        <v>0</v>
      </c>
      <c r="EQ13" s="77">
        <f t="shared" si="30"/>
        <v>0</v>
      </c>
      <c r="ER13" s="77">
        <f t="shared" si="31"/>
        <v>0</v>
      </c>
      <c r="ES13" s="77">
        <f t="shared" si="32"/>
        <v>234.43054763394159</v>
      </c>
      <c r="ET13" s="77">
        <f t="shared" si="33"/>
        <v>84.356885047720141</v>
      </c>
      <c r="EU13" s="77">
        <f t="shared" si="34"/>
        <v>81.886248154712376</v>
      </c>
      <c r="EV13" s="77">
        <f t="shared" si="35"/>
        <v>0</v>
      </c>
      <c r="EW13" s="77">
        <f t="shared" si="36"/>
        <v>-81.886248154712376</v>
      </c>
      <c r="EX13" s="77">
        <f t="shared" si="37"/>
        <v>-81.886248154712376</v>
      </c>
      <c r="EY13" s="77">
        <f t="shared" si="38"/>
        <v>-81.886248154712376</v>
      </c>
      <c r="EZ13" s="77">
        <f t="shared" si="39"/>
        <v>-81.886248154712376</v>
      </c>
      <c r="FA13" s="77">
        <f t="shared" si="40"/>
        <v>0</v>
      </c>
      <c r="FB13" s="77">
        <f t="shared" si="41"/>
        <v>0</v>
      </c>
      <c r="FC13" s="77"/>
      <c r="FD13" s="77">
        <f t="shared" si="42"/>
        <v>7.6963641805510026</v>
      </c>
      <c r="FE13" s="77">
        <f t="shared" si="43"/>
        <v>0</v>
      </c>
      <c r="FF13" s="77">
        <f t="shared" si="44"/>
        <v>0</v>
      </c>
      <c r="FG13" s="77">
        <f t="shared" si="45"/>
        <v>0</v>
      </c>
      <c r="FH13" s="77">
        <f t="shared" si="46"/>
        <v>0</v>
      </c>
      <c r="FI13" s="77">
        <f t="shared" si="47"/>
        <v>26.17595840565696</v>
      </c>
      <c r="FJ13" s="77">
        <f t="shared" si="48"/>
        <v>9.4914232736710513</v>
      </c>
      <c r="FK13" s="77">
        <f t="shared" si="49"/>
        <v>8.2517022376832365</v>
      </c>
      <c r="FL13" s="77">
        <f t="shared" si="50"/>
        <v>-0.55533805713223394</v>
      </c>
      <c r="FM13" s="77">
        <f t="shared" si="51"/>
        <v>-8.2517022376832365</v>
      </c>
      <c r="FN13" s="77">
        <f t="shared" si="52"/>
        <v>-8.2517022376832365</v>
      </c>
      <c r="FO13" s="77">
        <f t="shared" si="53"/>
        <v>-8.2517022376832365</v>
      </c>
      <c r="FP13" s="77">
        <f t="shared" si="54"/>
        <v>-8.2517022376832365</v>
      </c>
      <c r="FQ13" s="77">
        <f t="shared" si="55"/>
        <v>0</v>
      </c>
      <c r="FR13" s="77">
        <f t="shared" si="56"/>
        <v>0</v>
      </c>
      <c r="FS13" s="77"/>
      <c r="FT13" s="77">
        <f t="shared" si="57"/>
        <v>12.978018693654649</v>
      </c>
      <c r="FU13" s="77">
        <f t="shared" si="58"/>
        <v>0</v>
      </c>
      <c r="FV13" s="77">
        <f t="shared" si="59"/>
        <v>0</v>
      </c>
      <c r="FW13" s="77">
        <f t="shared" si="60"/>
        <v>0</v>
      </c>
      <c r="FX13" s="77">
        <f t="shared" si="61"/>
        <v>0</v>
      </c>
      <c r="FY13" s="77">
        <f t="shared" si="62"/>
        <v>38.535734254343076</v>
      </c>
      <c r="FZ13" s="77">
        <f t="shared" si="63"/>
        <v>13.973087796878067</v>
      </c>
      <c r="GA13" s="77">
        <f t="shared" si="64"/>
        <v>12.14799472284488</v>
      </c>
      <c r="GB13" s="77">
        <f t="shared" si="65"/>
        <v>0</v>
      </c>
      <c r="GC13" s="77">
        <f t="shared" si="66"/>
        <v>-12.14799472284488</v>
      </c>
      <c r="GD13" s="77">
        <f t="shared" si="67"/>
        <v>-12.14799472284488</v>
      </c>
      <c r="GE13" s="77">
        <f t="shared" si="68"/>
        <v>-12.14799472284488</v>
      </c>
      <c r="GF13" s="77">
        <f t="shared" si="69"/>
        <v>-12.14799472284488</v>
      </c>
      <c r="GG13" s="77">
        <f t="shared" si="70"/>
        <v>0</v>
      </c>
      <c r="GH13" s="77">
        <f t="shared" si="71"/>
        <v>0</v>
      </c>
      <c r="GI13" s="77"/>
      <c r="GJ13" s="77" t="str">
        <f t="shared" si="72"/>
        <v/>
      </c>
      <c r="GK13" s="77" t="str">
        <f t="shared" si="73"/>
        <v/>
      </c>
      <c r="GL13" s="77" t="str">
        <f t="shared" si="74"/>
        <v/>
      </c>
      <c r="GM13" s="77" t="str">
        <f t="shared" si="75"/>
        <v/>
      </c>
      <c r="GN13" s="77" t="str">
        <f t="shared" si="76"/>
        <v/>
      </c>
      <c r="GO13" s="77" t="str">
        <f t="shared" si="77"/>
        <v/>
      </c>
      <c r="GP13" s="77" t="str">
        <f t="shared" si="78"/>
        <v/>
      </c>
      <c r="GQ13" s="77" t="str">
        <f t="shared" si="79"/>
        <v/>
      </c>
      <c r="GR13" s="77" t="str">
        <f t="shared" si="80"/>
        <v/>
      </c>
      <c r="GS13" s="77" t="str">
        <f t="shared" si="81"/>
        <v/>
      </c>
      <c r="GT13" s="77" t="str">
        <f t="shared" si="82"/>
        <v/>
      </c>
      <c r="GU13" s="77" t="str">
        <f t="shared" si="83"/>
        <v/>
      </c>
      <c r="GV13" s="77" t="str">
        <f t="shared" si="84"/>
        <v/>
      </c>
      <c r="GW13" s="77" t="str">
        <f t="shared" si="85"/>
        <v/>
      </c>
      <c r="GX13" s="77" t="str">
        <f t="shared" si="86"/>
        <v/>
      </c>
      <c r="GY13" s="77"/>
      <c r="GZ13" s="77">
        <f t="shared" si="87"/>
        <v>2.985723522786512</v>
      </c>
      <c r="HA13" s="77">
        <f t="shared" si="88"/>
        <v>0</v>
      </c>
      <c r="HB13" s="77">
        <f t="shared" si="89"/>
        <v>0</v>
      </c>
      <c r="HC13" s="77">
        <f t="shared" si="90"/>
        <v>0</v>
      </c>
      <c r="HD13" s="77">
        <f t="shared" si="91"/>
        <v>0</v>
      </c>
      <c r="HE13" s="77">
        <f t="shared" si="92"/>
        <v>7.3607582283576569</v>
      </c>
      <c r="HF13" s="77">
        <f t="shared" si="93"/>
        <v>2.6690167701902103</v>
      </c>
      <c r="HG13" s="77">
        <f t="shared" si="94"/>
        <v>2.3204034863861018</v>
      </c>
      <c r="HH13" s="77">
        <f t="shared" si="95"/>
        <v>0</v>
      </c>
      <c r="HI13" s="77">
        <f t="shared" si="96"/>
        <v>-2.3204034863861018</v>
      </c>
      <c r="HJ13" s="77">
        <f t="shared" si="97"/>
        <v>-2.3204034863861018</v>
      </c>
      <c r="HK13" s="77">
        <f t="shared" si="98"/>
        <v>-2.3204034863861018</v>
      </c>
      <c r="HL13" s="77">
        <f t="shared" si="99"/>
        <v>-2.3204034863861018</v>
      </c>
      <c r="HM13" s="77">
        <f t="shared" si="100"/>
        <v>0</v>
      </c>
      <c r="HN13" s="77">
        <f t="shared" si="101"/>
        <v>0</v>
      </c>
      <c r="HO13" s="77"/>
      <c r="HP13" s="77">
        <f t="shared" si="102"/>
        <v>2.3688838846685574</v>
      </c>
      <c r="HQ13" s="77">
        <f t="shared" si="103"/>
        <v>0</v>
      </c>
      <c r="HR13" s="77">
        <f t="shared" si="104"/>
        <v>0</v>
      </c>
      <c r="HS13" s="77">
        <f t="shared" si="105"/>
        <v>0</v>
      </c>
      <c r="HT13" s="77">
        <f t="shared" si="106"/>
        <v>0</v>
      </c>
      <c r="HU13" s="77">
        <f t="shared" si="107"/>
        <v>8.5416285323722629</v>
      </c>
      <c r="HV13" s="77">
        <f t="shared" si="108"/>
        <v>3.0972012787768399</v>
      </c>
      <c r="HW13" s="77">
        <f t="shared" si="109"/>
        <v>2.692660730191347</v>
      </c>
      <c r="HX13" s="77">
        <f t="shared" si="110"/>
        <v>-0.32377684552278962</v>
      </c>
      <c r="HY13" s="77">
        <f t="shared" si="111"/>
        <v>-2.692660730191347</v>
      </c>
      <c r="HZ13" s="77">
        <f t="shared" si="112"/>
        <v>-2.692660730191347</v>
      </c>
      <c r="IA13" s="77">
        <f t="shared" si="113"/>
        <v>-2.692660730191347</v>
      </c>
      <c r="IB13" s="77">
        <f t="shared" si="114"/>
        <v>-2.692660730191347</v>
      </c>
      <c r="IC13" s="77">
        <f t="shared" si="115"/>
        <v>0</v>
      </c>
      <c r="ID13" s="77">
        <f t="shared" si="193"/>
        <v>0</v>
      </c>
      <c r="IE13" s="77"/>
      <c r="IF13" s="77">
        <f t="shared" si="116"/>
        <v>4.6819339609195723</v>
      </c>
      <c r="IG13" s="77">
        <f t="shared" si="117"/>
        <v>0</v>
      </c>
      <c r="IH13" s="77">
        <f t="shared" si="118"/>
        <v>0</v>
      </c>
      <c r="II13" s="77">
        <f t="shared" si="119"/>
        <v>0</v>
      </c>
      <c r="IJ13" s="77">
        <f t="shared" si="120"/>
        <v>0</v>
      </c>
      <c r="IK13" s="77">
        <f t="shared" si="121"/>
        <v>8.5022661889051125</v>
      </c>
      <c r="IL13" s="77">
        <f t="shared" si="122"/>
        <v>3.0829284618239625</v>
      </c>
      <c r="IM13" s="77">
        <f t="shared" si="123"/>
        <v>2.6802521553978624</v>
      </c>
      <c r="IN13" s="77">
        <f t="shared" si="124"/>
        <v>0</v>
      </c>
      <c r="IO13" s="77">
        <f t="shared" si="125"/>
        <v>-2.6802521553978624</v>
      </c>
      <c r="IP13" s="77">
        <f t="shared" si="126"/>
        <v>-2.6802521553978624</v>
      </c>
      <c r="IQ13" s="77">
        <f t="shared" si="127"/>
        <v>-2.6802521553978624</v>
      </c>
      <c r="IR13" s="77">
        <f t="shared" si="128"/>
        <v>-2.6802521553978624</v>
      </c>
      <c r="IS13" s="77">
        <f t="shared" si="129"/>
        <v>0</v>
      </c>
      <c r="IT13" s="77">
        <f t="shared" si="130"/>
        <v>0</v>
      </c>
      <c r="IU13" s="77"/>
      <c r="IV13" s="77">
        <f t="shared" si="131"/>
        <v>5.5955079857331533</v>
      </c>
      <c r="IW13" s="77">
        <f t="shared" si="132"/>
        <v>0</v>
      </c>
      <c r="IX13" s="77">
        <f t="shared" si="133"/>
        <v>0</v>
      </c>
      <c r="IY13" s="77">
        <f t="shared" si="134"/>
        <v>0</v>
      </c>
      <c r="IZ13" s="77">
        <f t="shared" si="135"/>
        <v>0</v>
      </c>
      <c r="JA13" s="77">
        <f t="shared" si="136"/>
        <v>9.521061741798361</v>
      </c>
      <c r="JB13" s="77">
        <f t="shared" si="137"/>
        <v>3.4798767771517882</v>
      </c>
      <c r="JC13" s="77">
        <f t="shared" si="138"/>
        <v>2.8551983302528003</v>
      </c>
      <c r="JD13" s="77">
        <f t="shared" si="139"/>
        <v>0</v>
      </c>
      <c r="JE13" s="77">
        <f t="shared" si="140"/>
        <v>-2.8551983302528003</v>
      </c>
      <c r="JF13" s="77">
        <f t="shared" si="141"/>
        <v>-2.8551983302528003</v>
      </c>
      <c r="JG13" s="77">
        <f t="shared" si="142"/>
        <v>-2.8551983302528003</v>
      </c>
      <c r="JH13" s="77">
        <f t="shared" si="143"/>
        <v>-2.8551983302528003</v>
      </c>
      <c r="JI13" s="77">
        <f t="shared" si="144"/>
        <v>0</v>
      </c>
      <c r="JJ13" s="77">
        <f t="shared" si="145"/>
        <v>0</v>
      </c>
      <c r="JK13" s="77"/>
      <c r="JL13" s="77">
        <f t="shared" si="146"/>
        <v>0</v>
      </c>
      <c r="JM13" s="77">
        <f t="shared" si="147"/>
        <v>0</v>
      </c>
      <c r="JN13" s="77">
        <f t="shared" si="148"/>
        <v>0</v>
      </c>
      <c r="JO13" s="77">
        <f t="shared" si="149"/>
        <v>0</v>
      </c>
      <c r="JP13" s="77">
        <f t="shared" si="150"/>
        <v>0</v>
      </c>
      <c r="JQ13" s="77">
        <f t="shared" si="151"/>
        <v>0</v>
      </c>
      <c r="JR13" s="77">
        <f t="shared" si="152"/>
        <v>0</v>
      </c>
      <c r="JS13" s="77">
        <f t="shared" si="153"/>
        <v>0</v>
      </c>
      <c r="JT13" s="77">
        <f t="shared" si="154"/>
        <v>0</v>
      </c>
      <c r="JU13" s="77">
        <f t="shared" si="155"/>
        <v>0</v>
      </c>
      <c r="JV13" s="77">
        <f t="shared" si="156"/>
        <v>0</v>
      </c>
      <c r="JW13" s="77">
        <f t="shared" si="157"/>
        <v>0</v>
      </c>
      <c r="JX13" s="77">
        <f t="shared" si="158"/>
        <v>0</v>
      </c>
      <c r="JY13" s="77">
        <f t="shared" si="159"/>
        <v>0</v>
      </c>
      <c r="JZ13" s="77">
        <f t="shared" si="160"/>
        <v>0</v>
      </c>
      <c r="KA13" s="77"/>
      <c r="KB13" s="77">
        <f t="shared" si="161"/>
        <v>130.28759038859735</v>
      </c>
      <c r="KC13" s="77">
        <f t="shared" si="3"/>
        <v>0</v>
      </c>
      <c r="KD13" s="77">
        <f t="shared" si="3"/>
        <v>0</v>
      </c>
      <c r="KE13" s="77">
        <f t="shared" si="3"/>
        <v>0</v>
      </c>
      <c r="KF13" s="77">
        <f t="shared" si="3"/>
        <v>0</v>
      </c>
      <c r="KG13" s="77">
        <f t="shared" si="3"/>
        <v>333.06795498537508</v>
      </c>
      <c r="KH13" s="77">
        <f t="shared" si="3"/>
        <v>120.15041940621205</v>
      </c>
      <c r="KI13" s="77">
        <f t="shared" si="3"/>
        <v>112.83445981746861</v>
      </c>
      <c r="KJ13" s="77">
        <f t="shared" si="3"/>
        <v>-0.87911490265502357</v>
      </c>
      <c r="KK13" s="77">
        <f t="shared" si="4"/>
        <v>-112.83445981746861</v>
      </c>
      <c r="KL13" s="77">
        <f t="shared" si="4"/>
        <v>-112.83445981746861</v>
      </c>
      <c r="KM13" s="77">
        <f t="shared" si="4"/>
        <v>-112.83445981746861</v>
      </c>
      <c r="KN13" s="77">
        <f t="shared" si="4"/>
        <v>-112.83445981746861</v>
      </c>
      <c r="KO13" s="77">
        <f t="shared" si="4"/>
        <v>0</v>
      </c>
      <c r="KP13" s="77">
        <f t="shared" si="4"/>
        <v>0</v>
      </c>
      <c r="KQ13" s="78"/>
      <c r="KR13" s="77">
        <f t="shared" si="162"/>
        <v>-0.55533805713223394</v>
      </c>
      <c r="KS13" s="77">
        <f t="shared" si="163"/>
        <v>0.63170133443882248</v>
      </c>
      <c r="KT13" s="77">
        <f t="shared" si="5"/>
        <v>-81.886248154712376</v>
      </c>
      <c r="KU13" s="79">
        <f t="shared" si="164"/>
        <v>0.72572021248809182</v>
      </c>
      <c r="KV13" s="77">
        <f t="shared" si="6"/>
        <v>-81.886248154712376</v>
      </c>
      <c r="KW13" s="79">
        <f t="shared" si="165"/>
        <v>0.72572021248809182</v>
      </c>
      <c r="KX13" s="77">
        <f t="shared" si="7"/>
        <v>-81.886248154712376</v>
      </c>
      <c r="KY13" s="79">
        <f t="shared" si="166"/>
        <v>0.72572021248809182</v>
      </c>
      <c r="KZ13" s="77">
        <f t="shared" si="8"/>
        <v>-81.886248154712376</v>
      </c>
      <c r="LA13" s="79">
        <f t="shared" si="167"/>
        <v>0.72572021248809182</v>
      </c>
      <c r="LB13" s="77">
        <f t="shared" si="9"/>
        <v>0</v>
      </c>
      <c r="LC13" s="79" t="str">
        <f t="shared" si="168"/>
        <v/>
      </c>
      <c r="LD13" s="77">
        <f t="shared" si="10"/>
        <v>0</v>
      </c>
      <c r="LE13" s="79" t="str">
        <f t="shared" si="169"/>
        <v/>
      </c>
      <c r="LF13" s="77" t="str" cm="1">
        <f t="array" ref="LF13">IFERROR(_xlfn.IFS(KR13=EV13,"Material",KR13=FL13,"Direct Labor",KR13=GB13,"Variable Overhead",KR13=GR13,"Indirect Labor",KR13=HH13,"Fixed Overhead",KR13=HX13,"SG&amp;A",KR13=IN13,"Depreciation",KR13=JD13,"Corporate allocation",KR13=JT13,"Amortized Tooling"),"")</f>
        <v>Direct Labor</v>
      </c>
      <c r="LG13" s="77" t="str" cm="1">
        <f t="array" ref="LG13">IFERROR(_xlfn.IFS(KT13=EW13,"Material",KT13=FM13,"Direct Labor",KT13=GC13,"Variable Overhead",KT13=GS13,"Indirect Labor",KT13=HI13,"Fixed Overhead",KT13=HY13,"SG&amp;A",KT13=IO13,"Depreciation",KT13=JE13,"Corporate Allocation",KT13=JU13,"Amortized Tooling"),"")</f>
        <v>Material</v>
      </c>
      <c r="LH13" s="77" t="str" cm="1">
        <f t="array" ref="LH13">IFERROR(_xlfn.IFS(KV13=EX13,"Material",KV13=FN13,"Direct Labor",KV13=GD13,"Variable Overhead",KV13=GT13,"Indirect Labor",KV13=HJ13,"Fixed Overhead",KV13=HZ13,"SG&amp;A",KV13=IP13,"Depreciation",KV13=JF13,"Corporate Allocation",KV13=JV13,"Amortized Tooling"),"")</f>
        <v>Material</v>
      </c>
      <c r="LI13" s="77" t="str" cm="1">
        <f t="array" ref="LI13">IFERROR(_xlfn.IFS(KX13=EY13,"Material",KX13=FO13,"Direct Labor",KX13=GE13,"Variable Overhead",KX13=GU13,"Indirect Labor",KX13=HK13,"Fixed Overhead",KX13=IA13,"SG&amp;A",KX13=IQ13,"Depreciation",KX13=JG13,"Corporate Allocation",KX13=JW13,"Amortized Tooling"),"")</f>
        <v>Material</v>
      </c>
      <c r="LJ13" s="77" t="str" cm="1">
        <f t="array" ref="LJ13">IFERROR(_xlfn.IFS(KZ13=EZ13,"Material",KZ13=FP13,"Direct Labor",KZ13=GF13,"Variable Overhead",KZ13=GV13,"Indirect Labor",KZ13=HL13,"Fixed Overhead",KZ13=IB13,"SG&amp;A",KZ13=IR13,"Depreciation",KZ13=JH13,"Corporate Allocation",KZ13=JX13,"Amortized Tooling"),"")</f>
        <v>Material</v>
      </c>
      <c r="LK13" s="77" t="str" cm="1">
        <f t="array" ref="LK13">IFERROR(_xlfn.IFS(LB13=FA13,"Material",LB13=FQ13,"Direct Labor",LB13=GG13,"Variable Overhead",LB13=GW13,"Indirect Labor",LB13=HM13,"Fixed Overhead",LB13=IC13,"SG&amp;A",LB13=IS13,"Depreciation",LB13=JI13,"Corporate Allocation",LB13=JY13,"Amortized Tooling"),"")</f>
        <v>Material</v>
      </c>
      <c r="LL13" s="77" t="str" cm="1">
        <f t="array" ref="LL13">IFERROR(_xlfn.IFS(LD13=FB13,"Material",LD13=FR13,"Direct Labor",LD13=GH13,"Variable Overhead",LD13=GX13,"Indirect Labor",LD13=HN13,"Fixed Overhead",LD13=ID13,"SG&amp;A",LD13=IT13,"Depreciation",LD13=JJ13,"Corporate Allocation",LD13=JZ13,"Amortized Tooling"),"")</f>
        <v>Material</v>
      </c>
      <c r="LM13" s="77" cm="1">
        <f t="array" ref="LM13">_xlfn.IFS(DL13="","",LN13="0% EBIT target","",LN13="12% EBIT target","",LN13="At quote",KJ13,LN13="2019",KK13,LN13="2020",KL13,LN13="2021",KM13,LN13="2022",KN13,LN13="2023",KO13,LN13="2024",KP13)</f>
        <v>0</v>
      </c>
      <c r="LN13" s="77" t="str">
        <f t="shared" si="170"/>
        <v>2023</v>
      </c>
      <c r="LO13" s="77" cm="1">
        <f t="array" ref="LO13">IFERROR(_xlfn.IFS(MN13="0% EBIT target","",MN13="12% EBIT target","",LN13="At quote",KR13,LN13="2019",KT13,LN13="2020",KV13,LN13="2021",KX13,LN13="2022",KZ13,LN13="2023",LB13,LN13="2024",LD13),"")</f>
        <v>0</v>
      </c>
      <c r="LP13" s="78" t="str" cm="1">
        <f t="array" ref="LP13">IFERROR(_xlfn.IFS(MN13="0% EBIT target","",MN13="12% EBIT target","",LN13="At quote",LF13,LN13="2019",LG13,LN13="2020",LH13,LN13="2021",LI13,LN13="2022",LJ13,LN13="2023",LK13,LN13="2024",LL13),"")</f>
        <v>Material</v>
      </c>
      <c r="LQ13" s="79" t="str">
        <f t="shared" si="11"/>
        <v/>
      </c>
      <c r="LR13" s="78"/>
      <c r="LS13" s="79">
        <f t="shared" si="12"/>
        <v>6.7474952912473457E-3</v>
      </c>
      <c r="LT13" s="79" t="str">
        <f t="shared" si="12"/>
        <v/>
      </c>
      <c r="LU13" s="79" t="str">
        <f t="shared" si="12"/>
        <v/>
      </c>
      <c r="LV13" s="79" t="str">
        <f t="shared" si="12"/>
        <v/>
      </c>
      <c r="LW13" s="79" t="str">
        <f t="shared" si="12"/>
        <v/>
      </c>
      <c r="LX13" s="79">
        <f t="shared" si="12"/>
        <v>0</v>
      </c>
      <c r="LY13" s="79">
        <f t="shared" si="12"/>
        <v>0</v>
      </c>
      <c r="LZ13" s="79" t="str">
        <f t="shared" si="13"/>
        <v/>
      </c>
      <c r="MA13" s="79">
        <f t="shared" si="14"/>
        <v>1.8269649746349703E-3</v>
      </c>
      <c r="MB13" s="79">
        <f t="shared" si="171"/>
        <v>6.7474952912473457E-3</v>
      </c>
      <c r="MC13" s="80">
        <f t="shared" si="15"/>
        <v>127.98714902682983</v>
      </c>
      <c r="MD13" s="80">
        <f t="shared" si="172"/>
        <v>148.65248138217186</v>
      </c>
      <c r="ME13" s="80" t="str">
        <f t="shared" si="173"/>
        <v/>
      </c>
      <c r="MF13" s="80" t="str">
        <f t="shared" si="174"/>
        <v/>
      </c>
      <c r="MG13" s="80" t="str">
        <f t="shared" si="175"/>
        <v/>
      </c>
      <c r="MH13" s="80" t="str">
        <f t="shared" si="176"/>
        <v/>
      </c>
      <c r="MI13" s="80">
        <f t="shared" si="177"/>
        <v>393.62343467153289</v>
      </c>
      <c r="MJ13" s="80">
        <f t="shared" si="178"/>
        <v>142.72816952888672</v>
      </c>
      <c r="MK13" s="80" t="str">
        <f t="shared" si="16"/>
        <v/>
      </c>
      <c r="ML13" s="80">
        <f t="shared" si="16"/>
        <v>128.22097706530522</v>
      </c>
      <c r="MM13" s="80">
        <f t="shared" si="179"/>
        <v>393.62343467153289</v>
      </c>
      <c r="MN13" s="80" t="str" cm="1">
        <f t="array" ref="MN13">_xlfn.IFS(MC13="","",MM13=0,"",MM13=MD13,"At quote",MM13=ME13,"2019",MM13=MF13,"2020",MM13=MG13,"2021",MM13=MH13,"2022",MM13=MI13,"2023",MM13=MJ13,"2024",MM13=MK13,"0% EBIT target",MM13=ML13,"12% EBIT target")</f>
        <v>2023</v>
      </c>
      <c r="MO13" s="81">
        <f t="shared" si="180"/>
        <v>1223139.6914479842</v>
      </c>
      <c r="MP13" s="81">
        <f t="shared" si="181"/>
        <v>305784.92286199605</v>
      </c>
      <c r="MQ13" s="80" t="str">
        <f t="shared" si="17"/>
        <v/>
      </c>
      <c r="MR13" s="80" t="str">
        <f t="shared" si="182"/>
        <v/>
      </c>
      <c r="MS13" s="80" t="str">
        <f t="shared" si="18"/>
        <v/>
      </c>
      <c r="MT13" s="80" t="str">
        <f t="shared" si="183"/>
        <v/>
      </c>
      <c r="MU13" s="80" t="str">
        <f t="shared" si="19"/>
        <v/>
      </c>
      <c r="MV13" s="80" t="str">
        <f t="shared" si="184"/>
        <v/>
      </c>
      <c r="MW13" s="80" t="str">
        <f t="shared" si="20"/>
        <v/>
      </c>
      <c r="MX13" s="80" t="str">
        <f t="shared" si="185"/>
        <v/>
      </c>
      <c r="MY13" s="80">
        <f t="shared" si="21"/>
        <v>15722480.474738687</v>
      </c>
      <c r="MZ13" s="80">
        <f t="shared" si="186"/>
        <v>3930620.1186846718</v>
      </c>
      <c r="NA13" s="80">
        <f t="shared" si="22"/>
        <v>872491.52147574374</v>
      </c>
      <c r="NB13" s="80">
        <f t="shared" si="187"/>
        <v>218122.88036893593</v>
      </c>
      <c r="NC13" s="80" t="str">
        <f t="shared" si="188"/>
        <v/>
      </c>
      <c r="ND13" s="80" t="str">
        <f t="shared" si="189"/>
        <v/>
      </c>
      <c r="NE13" s="80">
        <f t="shared" si="23"/>
        <v>13839.813941281642</v>
      </c>
      <c r="NF13" s="80">
        <f t="shared" si="190"/>
        <v>3459.9534853204104</v>
      </c>
      <c r="NG13" s="80">
        <f t="shared" si="24"/>
        <v>265.63628564470309</v>
      </c>
      <c r="NH13" s="80">
        <f t="shared" si="25"/>
        <v>15722480.474738687</v>
      </c>
      <c r="NI13" s="80">
        <f t="shared" si="191"/>
        <v>7861240.2373693436</v>
      </c>
      <c r="NJ13" s="80">
        <f t="shared" si="192"/>
        <v>3930620.1186846718</v>
      </c>
    </row>
    <row r="14" spans="1:374" x14ac:dyDescent="0.25">
      <c r="A14" s="82" t="s">
        <v>421</v>
      </c>
      <c r="B14" s="71"/>
      <c r="C14" s="71" t="s">
        <v>422</v>
      </c>
      <c r="D14" s="82" t="s">
        <v>398</v>
      </c>
      <c r="E14" s="83" t="s">
        <v>399</v>
      </c>
      <c r="F14" s="83" t="s">
        <v>399</v>
      </c>
      <c r="G14" s="82" t="s">
        <v>423</v>
      </c>
      <c r="H14" s="71" t="str">
        <f t="shared" si="26"/>
        <v>Joinville CBA G20 All</v>
      </c>
      <c r="I14" s="71" t="s">
        <v>401</v>
      </c>
      <c r="J14" s="71" t="s">
        <v>402</v>
      </c>
      <c r="K14" s="82" t="s">
        <v>403</v>
      </c>
      <c r="L14" s="72">
        <v>0</v>
      </c>
      <c r="M14" s="72">
        <v>2019</v>
      </c>
      <c r="N14" s="73">
        <f>DATE(2027,12,31)</f>
        <v>46752</v>
      </c>
      <c r="O14" s="84">
        <v>8400.1883239171366</v>
      </c>
      <c r="P14" s="84">
        <v>8360.0393545848092</v>
      </c>
      <c r="Q14" s="84">
        <v>8319.966627732354</v>
      </c>
      <c r="R14" s="84">
        <v>8279.9693157410238</v>
      </c>
      <c r="S14" s="84">
        <v>8279.9694796276508</v>
      </c>
      <c r="T14" s="84">
        <v>8279.9357016556824</v>
      </c>
      <c r="U14" s="84">
        <v>8280.0325097529258</v>
      </c>
      <c r="V14" s="84">
        <v>8280</v>
      </c>
      <c r="W14" s="84">
        <v>0</v>
      </c>
      <c r="X14" s="84">
        <v>1062</v>
      </c>
      <c r="Y14" s="84">
        <v>5082</v>
      </c>
      <c r="Z14" s="84">
        <v>5993</v>
      </c>
      <c r="AA14" s="84">
        <v>6518</v>
      </c>
      <c r="AB14" s="84">
        <v>6553</v>
      </c>
      <c r="AC14" s="84">
        <v>6221</v>
      </c>
      <c r="AD14" s="84">
        <v>6152</v>
      </c>
      <c r="AE14" s="84">
        <v>590</v>
      </c>
      <c r="AF14" s="84">
        <v>0</v>
      </c>
      <c r="AG14" s="84">
        <v>4152.2950000000001</v>
      </c>
      <c r="AH14" s="84">
        <v>358.68839401820549</v>
      </c>
      <c r="AI14" s="84">
        <v>1215.728420444618</v>
      </c>
      <c r="AJ14" s="84"/>
      <c r="AK14" s="84">
        <v>555.28584521259563</v>
      </c>
      <c r="AL14" s="84">
        <v>396.07182449377689</v>
      </c>
      <c r="AM14" s="84">
        <v>0</v>
      </c>
      <c r="AN14" s="84">
        <v>241.66910424252276</v>
      </c>
      <c r="AO14" s="84">
        <v>338.07968953185957</v>
      </c>
      <c r="AP14" s="84">
        <v>9361.6828959603972</v>
      </c>
      <c r="AQ14" s="84">
        <v>9361.6828959603972</v>
      </c>
      <c r="AR14" s="84">
        <v>2352</v>
      </c>
      <c r="AS14" s="84">
        <v>4217.1364238609522</v>
      </c>
      <c r="AT14" s="84">
        <v>966.98134704968948</v>
      </c>
      <c r="AU14" s="84">
        <v>2207.5771491531546</v>
      </c>
      <c r="AV14" s="84"/>
      <c r="AW14" s="84">
        <v>0</v>
      </c>
      <c r="AX14" s="84">
        <v>660.10116608076703</v>
      </c>
      <c r="AY14" s="84">
        <v>0</v>
      </c>
      <c r="AZ14" s="84">
        <v>312.26006228275889</v>
      </c>
      <c r="BA14" s="84">
        <v>942.40378151260506</v>
      </c>
      <c r="BB14" s="84">
        <v>13251.977774412377</v>
      </c>
      <c r="BC14" s="84">
        <v>13251.977774412377</v>
      </c>
      <c r="BD14" s="84">
        <v>4401.833333333333</v>
      </c>
      <c r="BE14" s="84">
        <v>6617.8503250146414</v>
      </c>
      <c r="BF14" s="84">
        <v>498.5198500809438</v>
      </c>
      <c r="BG14" s="84">
        <v>1953.9627900487221</v>
      </c>
      <c r="BH14" s="84"/>
      <c r="BI14" s="84">
        <v>0</v>
      </c>
      <c r="BJ14" s="84">
        <v>780.28607955473183</v>
      </c>
      <c r="BK14" s="84">
        <v>0</v>
      </c>
      <c r="BL14" s="84">
        <v>414.47019434352757</v>
      </c>
      <c r="BM14" s="84">
        <v>505.16469198440035</v>
      </c>
      <c r="BN14" s="84">
        <v>12367.955694831011</v>
      </c>
      <c r="BO14" s="84">
        <v>12367.955694831011</v>
      </c>
      <c r="BP14" s="84">
        <v>5933.4166666666661</v>
      </c>
      <c r="BQ14" s="84">
        <v>7224.4178749092025</v>
      </c>
      <c r="BR14" s="84">
        <v>575.19828684128242</v>
      </c>
      <c r="BS14" s="84">
        <v>1539.9908171831871</v>
      </c>
      <c r="BT14" s="84"/>
      <c r="BU14" s="84">
        <v>0</v>
      </c>
      <c r="BV14" s="84">
        <v>494.19209112198138</v>
      </c>
      <c r="BW14" s="84">
        <v>0</v>
      </c>
      <c r="BX14" s="84">
        <v>305.17604721049389</v>
      </c>
      <c r="BY14" s="84">
        <v>369.65075970194908</v>
      </c>
      <c r="BZ14" s="84">
        <v>15438.866713499508</v>
      </c>
      <c r="CA14" s="84">
        <v>15438.866713499508</v>
      </c>
      <c r="CB14" s="84">
        <v>4388.5727478577273</v>
      </c>
      <c r="CC14" s="84">
        <v>7665.7658327782183</v>
      </c>
      <c r="CD14" s="84">
        <v>488.38127028899657</v>
      </c>
      <c r="CE14" s="84">
        <v>2628.7609667397041</v>
      </c>
      <c r="CF14" s="84"/>
      <c r="CG14" s="84">
        <v>0</v>
      </c>
      <c r="CH14" s="84">
        <v>510.98251782397301</v>
      </c>
      <c r="CI14" s="84">
        <v>0</v>
      </c>
      <c r="CJ14" s="84">
        <v>438.42885442515131</v>
      </c>
      <c r="CK14" s="84">
        <v>499.07422466851307</v>
      </c>
      <c r="CL14" s="84">
        <v>15399.458920455592</v>
      </c>
      <c r="CM14" s="84">
        <v>15399.458920455592</v>
      </c>
      <c r="CN14" s="84">
        <v>4488.1249102821021</v>
      </c>
      <c r="CO14" s="84">
        <v>7083.7511034097297</v>
      </c>
      <c r="CP14" s="84">
        <v>842.12503037542126</v>
      </c>
      <c r="CQ14" s="84">
        <v>2386.2590331814454</v>
      </c>
      <c r="CR14" s="84"/>
      <c r="CS14" s="84">
        <v>1092.7846368009671</v>
      </c>
      <c r="CT14" s="84">
        <v>530.83033338397649</v>
      </c>
      <c r="CU14" s="84">
        <v>0</v>
      </c>
      <c r="CV14" s="84">
        <v>461.21379466763824</v>
      </c>
      <c r="CW14" s="84">
        <v>551.08252114439699</v>
      </c>
      <c r="CX14" s="84">
        <v>16954.166230109186</v>
      </c>
      <c r="CY14" s="84">
        <v>16954.166230109186</v>
      </c>
      <c r="CZ14" s="84">
        <v>4431.3827349935527</v>
      </c>
      <c r="DA14" s="84">
        <v>8754.6329495284845</v>
      </c>
      <c r="DB14" s="84">
        <v>1096.448160012254</v>
      </c>
      <c r="DC14" s="84">
        <v>2183.500661601066</v>
      </c>
      <c r="DD14" s="84"/>
      <c r="DE14" s="84">
        <v>919.34641930808698</v>
      </c>
      <c r="DF14" s="84">
        <v>534.77187198556396</v>
      </c>
      <c r="DG14" s="84">
        <v>0</v>
      </c>
      <c r="DH14" s="84">
        <v>467.15932803544416</v>
      </c>
      <c r="DI14" s="84">
        <v>65.916643718544009</v>
      </c>
      <c r="DJ14" s="84">
        <v>18056.294825295357</v>
      </c>
      <c r="DK14" s="84">
        <v>18056.294825295357</v>
      </c>
      <c r="DL14" s="84">
        <v>4133.2827415175598</v>
      </c>
      <c r="DM14" s="75">
        <f t="shared" si="0"/>
        <v>74631771.777146116</v>
      </c>
      <c r="DN14" s="85">
        <f t="shared" si="1"/>
        <v>16893942.268647835</v>
      </c>
      <c r="DO14" s="86">
        <f t="shared" si="2"/>
        <v>0.22636394482357886</v>
      </c>
      <c r="DP14" s="84">
        <v>8578.0373237167278</v>
      </c>
      <c r="DQ14" s="84">
        <v>1162.8090845378192</v>
      </c>
      <c r="DR14" s="84">
        <v>1675.6726655044615</v>
      </c>
      <c r="DS14" s="84"/>
      <c r="DT14" s="84">
        <v>1208.3874035111858</v>
      </c>
      <c r="DU14" s="84">
        <v>731.05226843122</v>
      </c>
      <c r="DV14" s="84">
        <v>0</v>
      </c>
      <c r="DW14" s="84">
        <v>529.22000759415914</v>
      </c>
      <c r="DX14" s="84">
        <v>83.82194644835252</v>
      </c>
      <c r="DY14" s="84"/>
      <c r="DZ14" s="84">
        <v>17476.770946611021</v>
      </c>
      <c r="EA14" s="84">
        <v>4332.0631732482107</v>
      </c>
      <c r="EB14" s="84"/>
      <c r="EC14" s="84"/>
      <c r="ED14" s="84"/>
      <c r="EE14" s="84"/>
      <c r="EF14" s="84"/>
      <c r="EG14" s="84"/>
      <c r="EH14" s="84"/>
      <c r="EI14" s="84"/>
      <c r="EJ14" s="84"/>
      <c r="EK14" s="84">
        <v>0</v>
      </c>
      <c r="EL14" s="84">
        <v>0</v>
      </c>
      <c r="EM14" s="84" t="s">
        <v>404</v>
      </c>
      <c r="EN14" s="77">
        <f t="shared" si="27"/>
        <v>4152.2950000000001</v>
      </c>
      <c r="EO14" s="77">
        <f t="shared" si="28"/>
        <v>4217.1364238609522</v>
      </c>
      <c r="EP14" s="77">
        <f t="shared" si="29"/>
        <v>6617.8503250146414</v>
      </c>
      <c r="EQ14" s="77">
        <f t="shared" si="30"/>
        <v>7224.4178749092025</v>
      </c>
      <c r="ER14" s="77">
        <f t="shared" si="31"/>
        <v>7665.7658327782183</v>
      </c>
      <c r="ES14" s="77">
        <f t="shared" si="32"/>
        <v>7083.7511034097297</v>
      </c>
      <c r="ET14" s="77">
        <f t="shared" si="33"/>
        <v>8754.6329495284845</v>
      </c>
      <c r="EU14" s="77">
        <f t="shared" si="34"/>
        <v>8578.0373237167278</v>
      </c>
      <c r="EV14" s="77">
        <f t="shared" si="35"/>
        <v>-4425.7423237167277</v>
      </c>
      <c r="EW14" s="77">
        <f t="shared" si="36"/>
        <v>-4360.9008998557756</v>
      </c>
      <c r="EX14" s="77">
        <f t="shared" si="37"/>
        <v>-1960.1869987020864</v>
      </c>
      <c r="EY14" s="77">
        <f t="shared" si="38"/>
        <v>-1353.6194488075253</v>
      </c>
      <c r="EZ14" s="77">
        <f t="shared" si="39"/>
        <v>-912.27149093850949</v>
      </c>
      <c r="FA14" s="77">
        <f t="shared" si="40"/>
        <v>-1494.2862203069981</v>
      </c>
      <c r="FB14" s="77">
        <f t="shared" si="41"/>
        <v>0</v>
      </c>
      <c r="FC14" s="77"/>
      <c r="FD14" s="77">
        <f t="shared" si="42"/>
        <v>358.68839401820549</v>
      </c>
      <c r="FE14" s="77">
        <f t="shared" si="43"/>
        <v>966.98134704968948</v>
      </c>
      <c r="FF14" s="77">
        <f t="shared" si="44"/>
        <v>498.5198500809438</v>
      </c>
      <c r="FG14" s="77">
        <f t="shared" si="45"/>
        <v>575.19828684128242</v>
      </c>
      <c r="FH14" s="77">
        <f t="shared" si="46"/>
        <v>488.38127028899657</v>
      </c>
      <c r="FI14" s="77">
        <f t="shared" si="47"/>
        <v>842.12503037542126</v>
      </c>
      <c r="FJ14" s="77">
        <f t="shared" si="48"/>
        <v>1096.448160012254</v>
      </c>
      <c r="FK14" s="77">
        <f t="shared" si="49"/>
        <v>1162.8090845378192</v>
      </c>
      <c r="FL14" s="77">
        <f t="shared" si="50"/>
        <v>-804.12069051961373</v>
      </c>
      <c r="FM14" s="77">
        <f t="shared" si="51"/>
        <v>-195.82773748812974</v>
      </c>
      <c r="FN14" s="77">
        <f t="shared" si="52"/>
        <v>-664.28923445687542</v>
      </c>
      <c r="FO14" s="77">
        <f t="shared" si="53"/>
        <v>-587.61079769653679</v>
      </c>
      <c r="FP14" s="77">
        <f t="shared" si="54"/>
        <v>-674.42781424882264</v>
      </c>
      <c r="FQ14" s="77">
        <f t="shared" si="55"/>
        <v>-320.68405416239796</v>
      </c>
      <c r="FR14" s="77">
        <f t="shared" si="56"/>
        <v>-66.360924525565224</v>
      </c>
      <c r="FS14" s="77"/>
      <c r="FT14" s="77">
        <f t="shared" si="57"/>
        <v>1215.728420444618</v>
      </c>
      <c r="FU14" s="77">
        <f t="shared" si="58"/>
        <v>2207.5771491531546</v>
      </c>
      <c r="FV14" s="77">
        <f t="shared" si="59"/>
        <v>1953.9627900487221</v>
      </c>
      <c r="FW14" s="77">
        <f t="shared" si="60"/>
        <v>1539.9908171831871</v>
      </c>
      <c r="FX14" s="77">
        <f t="shared" si="61"/>
        <v>2628.7609667397041</v>
      </c>
      <c r="FY14" s="77">
        <f t="shared" si="62"/>
        <v>2386.2590331814454</v>
      </c>
      <c r="FZ14" s="77">
        <f t="shared" si="63"/>
        <v>2183.500661601066</v>
      </c>
      <c r="GA14" s="77">
        <f t="shared" si="64"/>
        <v>1675.6726655044615</v>
      </c>
      <c r="GB14" s="77">
        <f t="shared" si="65"/>
        <v>-459.94424505984352</v>
      </c>
      <c r="GC14" s="77">
        <f t="shared" si="66"/>
        <v>0</v>
      </c>
      <c r="GD14" s="77">
        <f t="shared" si="67"/>
        <v>0</v>
      </c>
      <c r="GE14" s="77">
        <f t="shared" si="68"/>
        <v>-135.6818483212744</v>
      </c>
      <c r="GF14" s="77">
        <f t="shared" si="69"/>
        <v>0</v>
      </c>
      <c r="GG14" s="77">
        <f t="shared" si="70"/>
        <v>0</v>
      </c>
      <c r="GH14" s="77">
        <f t="shared" si="71"/>
        <v>0</v>
      </c>
      <c r="GI14" s="77"/>
      <c r="GJ14" s="77" t="str">
        <f t="shared" si="72"/>
        <v/>
      </c>
      <c r="GK14" s="77" t="str">
        <f t="shared" si="73"/>
        <v/>
      </c>
      <c r="GL14" s="77" t="str">
        <f t="shared" si="74"/>
        <v/>
      </c>
      <c r="GM14" s="77" t="str">
        <f t="shared" si="75"/>
        <v/>
      </c>
      <c r="GN14" s="77" t="str">
        <f t="shared" si="76"/>
        <v/>
      </c>
      <c r="GO14" s="77" t="str">
        <f t="shared" si="77"/>
        <v/>
      </c>
      <c r="GP14" s="77" t="str">
        <f t="shared" si="78"/>
        <v/>
      </c>
      <c r="GQ14" s="77" t="str">
        <f t="shared" si="79"/>
        <v/>
      </c>
      <c r="GR14" s="77" t="str">
        <f t="shared" si="80"/>
        <v/>
      </c>
      <c r="GS14" s="77" t="str">
        <f t="shared" si="81"/>
        <v/>
      </c>
      <c r="GT14" s="77" t="str">
        <f t="shared" si="82"/>
        <v/>
      </c>
      <c r="GU14" s="77" t="str">
        <f t="shared" si="83"/>
        <v/>
      </c>
      <c r="GV14" s="77" t="str">
        <f t="shared" si="84"/>
        <v/>
      </c>
      <c r="GW14" s="77" t="str">
        <f t="shared" si="85"/>
        <v/>
      </c>
      <c r="GX14" s="77" t="str">
        <f t="shared" si="86"/>
        <v/>
      </c>
      <c r="GY14" s="77"/>
      <c r="GZ14" s="77">
        <f t="shared" si="87"/>
        <v>555.28584521259563</v>
      </c>
      <c r="HA14" s="77">
        <f t="shared" si="88"/>
        <v>0</v>
      </c>
      <c r="HB14" s="77">
        <f t="shared" si="89"/>
        <v>0</v>
      </c>
      <c r="HC14" s="77">
        <f t="shared" si="90"/>
        <v>0</v>
      </c>
      <c r="HD14" s="77">
        <f t="shared" si="91"/>
        <v>0</v>
      </c>
      <c r="HE14" s="77">
        <f t="shared" si="92"/>
        <v>1092.7846368009671</v>
      </c>
      <c r="HF14" s="77">
        <f t="shared" si="93"/>
        <v>919.34641930808698</v>
      </c>
      <c r="HG14" s="77">
        <f t="shared" si="94"/>
        <v>1208.3874035111858</v>
      </c>
      <c r="HH14" s="77">
        <f t="shared" si="95"/>
        <v>-653.10155829859013</v>
      </c>
      <c r="HI14" s="77">
        <f t="shared" si="96"/>
        <v>-1208.3874035111858</v>
      </c>
      <c r="HJ14" s="77">
        <f t="shared" si="97"/>
        <v>-1208.3874035111858</v>
      </c>
      <c r="HK14" s="77">
        <f t="shared" si="98"/>
        <v>-1208.3874035111858</v>
      </c>
      <c r="HL14" s="77">
        <f t="shared" si="99"/>
        <v>-1208.3874035111858</v>
      </c>
      <c r="HM14" s="77">
        <f t="shared" si="100"/>
        <v>-115.6027667102187</v>
      </c>
      <c r="HN14" s="77">
        <f t="shared" si="101"/>
        <v>-289.04098420309879</v>
      </c>
      <c r="HO14" s="77"/>
      <c r="HP14" s="77">
        <f t="shared" si="102"/>
        <v>338.07968953185957</v>
      </c>
      <c r="HQ14" s="77">
        <f t="shared" si="103"/>
        <v>942.40378151260506</v>
      </c>
      <c r="HR14" s="77">
        <f t="shared" si="104"/>
        <v>505.16469198440035</v>
      </c>
      <c r="HS14" s="77">
        <f t="shared" si="105"/>
        <v>369.65075970194908</v>
      </c>
      <c r="HT14" s="77">
        <f t="shared" si="106"/>
        <v>499.07422466851307</v>
      </c>
      <c r="HU14" s="77">
        <f t="shared" si="107"/>
        <v>551.08252114439699</v>
      </c>
      <c r="HV14" s="77">
        <f t="shared" si="108"/>
        <v>65.916643718544009</v>
      </c>
      <c r="HW14" s="77">
        <f t="shared" si="109"/>
        <v>83.82194644835252</v>
      </c>
      <c r="HX14" s="77">
        <f t="shared" si="110"/>
        <v>0</v>
      </c>
      <c r="HY14" s="77">
        <f t="shared" si="111"/>
        <v>0</v>
      </c>
      <c r="HZ14" s="77">
        <f t="shared" si="112"/>
        <v>0</v>
      </c>
      <c r="IA14" s="77">
        <f t="shared" si="113"/>
        <v>0</v>
      </c>
      <c r="IB14" s="77">
        <f t="shared" si="114"/>
        <v>0</v>
      </c>
      <c r="IC14" s="77">
        <f t="shared" si="115"/>
        <v>0</v>
      </c>
      <c r="ID14" s="77">
        <f t="shared" si="193"/>
        <v>-17.905302729808511</v>
      </c>
      <c r="IE14" s="77"/>
      <c r="IF14" s="77">
        <f t="shared" si="116"/>
        <v>396.07182449377689</v>
      </c>
      <c r="IG14" s="77">
        <f t="shared" si="117"/>
        <v>660.10116608076703</v>
      </c>
      <c r="IH14" s="77">
        <f t="shared" si="118"/>
        <v>780.28607955473183</v>
      </c>
      <c r="II14" s="77">
        <f t="shared" si="119"/>
        <v>494.19209112198138</v>
      </c>
      <c r="IJ14" s="77">
        <f t="shared" si="120"/>
        <v>510.98251782397301</v>
      </c>
      <c r="IK14" s="77">
        <f t="shared" si="121"/>
        <v>530.83033338397649</v>
      </c>
      <c r="IL14" s="77">
        <f t="shared" si="122"/>
        <v>534.77187198556396</v>
      </c>
      <c r="IM14" s="77">
        <f t="shared" si="123"/>
        <v>731.05226843122</v>
      </c>
      <c r="IN14" s="77">
        <f t="shared" si="124"/>
        <v>-334.98044393744311</v>
      </c>
      <c r="IO14" s="77">
        <f t="shared" si="125"/>
        <v>-70.95110235045297</v>
      </c>
      <c r="IP14" s="77">
        <f t="shared" si="126"/>
        <v>0</v>
      </c>
      <c r="IQ14" s="77">
        <f t="shared" si="127"/>
        <v>-236.86017730923862</v>
      </c>
      <c r="IR14" s="77">
        <f t="shared" si="128"/>
        <v>-220.06975060724699</v>
      </c>
      <c r="IS14" s="77">
        <f t="shared" si="129"/>
        <v>-200.22193504724351</v>
      </c>
      <c r="IT14" s="77">
        <f t="shared" si="130"/>
        <v>-196.28039644565604</v>
      </c>
      <c r="IU14" s="77"/>
      <c r="IV14" s="77">
        <f t="shared" si="131"/>
        <v>241.66910424252276</v>
      </c>
      <c r="IW14" s="77">
        <f t="shared" si="132"/>
        <v>312.26006228275889</v>
      </c>
      <c r="IX14" s="77">
        <f t="shared" si="133"/>
        <v>414.47019434352757</v>
      </c>
      <c r="IY14" s="77">
        <f t="shared" si="134"/>
        <v>305.17604721049389</v>
      </c>
      <c r="IZ14" s="77">
        <f t="shared" si="135"/>
        <v>438.42885442515131</v>
      </c>
      <c r="JA14" s="77">
        <f t="shared" si="136"/>
        <v>461.21379466763824</v>
      </c>
      <c r="JB14" s="77">
        <f t="shared" si="137"/>
        <v>467.15932803544416</v>
      </c>
      <c r="JC14" s="77">
        <f t="shared" si="138"/>
        <v>529.22000759415914</v>
      </c>
      <c r="JD14" s="77">
        <f t="shared" si="139"/>
        <v>-287.55090335163641</v>
      </c>
      <c r="JE14" s="77">
        <f t="shared" si="140"/>
        <v>-216.95994531140025</v>
      </c>
      <c r="JF14" s="77">
        <f t="shared" si="141"/>
        <v>-114.74981325063158</v>
      </c>
      <c r="JG14" s="77">
        <f t="shared" si="142"/>
        <v>-224.04396038366525</v>
      </c>
      <c r="JH14" s="77">
        <f t="shared" si="143"/>
        <v>-90.791153169007828</v>
      </c>
      <c r="JI14" s="77">
        <f t="shared" si="144"/>
        <v>-68.006212926520902</v>
      </c>
      <c r="JJ14" s="77">
        <f t="shared" si="145"/>
        <v>-62.06067955871498</v>
      </c>
      <c r="JK14" s="77"/>
      <c r="JL14" s="77">
        <f t="shared" si="146"/>
        <v>0</v>
      </c>
      <c r="JM14" s="77">
        <f t="shared" si="147"/>
        <v>0</v>
      </c>
      <c r="JN14" s="77">
        <f t="shared" si="148"/>
        <v>0</v>
      </c>
      <c r="JO14" s="77">
        <f t="shared" si="149"/>
        <v>0</v>
      </c>
      <c r="JP14" s="77">
        <f t="shared" si="150"/>
        <v>0</v>
      </c>
      <c r="JQ14" s="77">
        <f t="shared" si="151"/>
        <v>0</v>
      </c>
      <c r="JR14" s="77">
        <f t="shared" si="152"/>
        <v>0</v>
      </c>
      <c r="JS14" s="77">
        <f t="shared" si="153"/>
        <v>0</v>
      </c>
      <c r="JT14" s="77">
        <f t="shared" si="154"/>
        <v>0</v>
      </c>
      <c r="JU14" s="77">
        <f t="shared" si="155"/>
        <v>0</v>
      </c>
      <c r="JV14" s="77">
        <f t="shared" si="156"/>
        <v>0</v>
      </c>
      <c r="JW14" s="77">
        <f t="shared" si="157"/>
        <v>0</v>
      </c>
      <c r="JX14" s="77">
        <f t="shared" si="158"/>
        <v>0</v>
      </c>
      <c r="JY14" s="77">
        <f t="shared" si="159"/>
        <v>0</v>
      </c>
      <c r="JZ14" s="77">
        <f t="shared" si="160"/>
        <v>0</v>
      </c>
      <c r="KA14" s="77"/>
      <c r="KB14" s="77">
        <f t="shared" si="161"/>
        <v>7257.8182779435783</v>
      </c>
      <c r="KC14" s="77">
        <f t="shared" si="3"/>
        <v>9306.459929939927</v>
      </c>
      <c r="KD14" s="77">
        <f t="shared" si="3"/>
        <v>10770.253931026968</v>
      </c>
      <c r="KE14" s="77">
        <f t="shared" si="3"/>
        <v>10508.625876968099</v>
      </c>
      <c r="KF14" s="77">
        <f t="shared" si="3"/>
        <v>12231.393666724558</v>
      </c>
      <c r="KG14" s="77">
        <f t="shared" si="3"/>
        <v>12948.046452963574</v>
      </c>
      <c r="KH14" s="77">
        <f t="shared" si="3"/>
        <v>14021.776034189445</v>
      </c>
      <c r="KI14" s="77">
        <f t="shared" si="3"/>
        <v>13969.000699743927</v>
      </c>
      <c r="KJ14" s="77">
        <f t="shared" si="3"/>
        <v>-6965.4401648838548</v>
      </c>
      <c r="KK14" s="77">
        <f t="shared" si="4"/>
        <v>-6053.0270885169448</v>
      </c>
      <c r="KL14" s="77">
        <f t="shared" si="4"/>
        <v>-3947.6134499207792</v>
      </c>
      <c r="KM14" s="77">
        <f t="shared" si="4"/>
        <v>-3746.2036360294264</v>
      </c>
      <c r="KN14" s="77">
        <f t="shared" si="4"/>
        <v>-3105.947612474773</v>
      </c>
      <c r="KO14" s="77">
        <f t="shared" si="4"/>
        <v>-2198.8011891533788</v>
      </c>
      <c r="KP14" s="77">
        <f t="shared" si="4"/>
        <v>-631.64828746284365</v>
      </c>
      <c r="KQ14" s="78"/>
      <c r="KR14" s="77">
        <f t="shared" si="162"/>
        <v>-4425.7423237167277</v>
      </c>
      <c r="KS14" s="77">
        <f t="shared" si="163"/>
        <v>0.63538587927709589</v>
      </c>
      <c r="KT14" s="77">
        <f t="shared" si="5"/>
        <v>-4360.9008998557756</v>
      </c>
      <c r="KU14" s="79">
        <f t="shared" si="164"/>
        <v>0.72044959258958841</v>
      </c>
      <c r="KV14" s="77">
        <f t="shared" si="6"/>
        <v>-1960.1869987020864</v>
      </c>
      <c r="KW14" s="79">
        <f t="shared" si="165"/>
        <v>0.49654988351035828</v>
      </c>
      <c r="KX14" s="77">
        <f t="shared" si="7"/>
        <v>-1353.6194488075253</v>
      </c>
      <c r="KY14" s="79">
        <f t="shared" si="166"/>
        <v>0.36133098473050879</v>
      </c>
      <c r="KZ14" s="77">
        <f t="shared" si="8"/>
        <v>-1208.3874035111858</v>
      </c>
      <c r="LA14" s="79">
        <f t="shared" si="167"/>
        <v>0.38905595144547872</v>
      </c>
      <c r="LB14" s="77">
        <f t="shared" si="9"/>
        <v>-1494.2862203069981</v>
      </c>
      <c r="LC14" s="79">
        <f t="shared" si="168"/>
        <v>0.67959132807380118</v>
      </c>
      <c r="LD14" s="77">
        <f t="shared" si="10"/>
        <v>-289.04098420309879</v>
      </c>
      <c r="LE14" s="79">
        <f t="shared" si="169"/>
        <v>0.45759798599960816</v>
      </c>
      <c r="LF14" s="77" t="str" cm="1">
        <f t="array" ref="LF14">IFERROR(_xlfn.IFS(KR14=EV14,"Material",KR14=FL14,"Direct Labor",KR14=GB14,"Variable Overhead",KR14=GR14,"Indirect Labor",KR14=HH14,"Fixed Overhead",KR14=HX14,"SG&amp;A",KR14=IN14,"Depreciation",KR14=JD14,"Corporate allocation",KR14=JT14,"Amortized Tooling"),"")</f>
        <v>Material</v>
      </c>
      <c r="LG14" s="77" t="str" cm="1">
        <f t="array" ref="LG14">IFERROR(_xlfn.IFS(KT14=EW14,"Material",KT14=FM14,"Direct Labor",KT14=GC14,"Variable Overhead",KT14=GS14,"Indirect Labor",KT14=HI14,"Fixed Overhead",KT14=HY14,"SG&amp;A",KT14=IO14,"Depreciation",KT14=JE14,"Corporate Allocation",KT14=JU14,"Amortized Tooling"),"")</f>
        <v>Material</v>
      </c>
      <c r="LH14" s="77" t="str" cm="1">
        <f t="array" ref="LH14">IFERROR(_xlfn.IFS(KV14=EX14,"Material",KV14=FN14,"Direct Labor",KV14=GD14,"Variable Overhead",KV14=GT14,"Indirect Labor",KV14=HJ14,"Fixed Overhead",KV14=HZ14,"SG&amp;A",KV14=IP14,"Depreciation",KV14=JF14,"Corporate Allocation",KV14=JV14,"Amortized Tooling"),"")</f>
        <v>Material</v>
      </c>
      <c r="LI14" s="77" t="str" cm="1">
        <f t="array" ref="LI14">IFERROR(_xlfn.IFS(KX14=EY14,"Material",KX14=FO14,"Direct Labor",KX14=GE14,"Variable Overhead",KX14=GU14,"Indirect Labor",KX14=HK14,"Fixed Overhead",KX14=IA14,"SG&amp;A",KX14=IQ14,"Depreciation",KX14=JG14,"Corporate Allocation",KX14=JW14,"Amortized Tooling"),"")</f>
        <v>Material</v>
      </c>
      <c r="LJ14" s="77" t="str" cm="1">
        <f t="array" ref="LJ14">IFERROR(_xlfn.IFS(KZ14=EZ14,"Material",KZ14=FP14,"Direct Labor",KZ14=GF14,"Variable Overhead",KZ14=GV14,"Indirect Labor",KZ14=HL14,"Fixed Overhead",KZ14=IB14,"SG&amp;A",KZ14=IR14,"Depreciation",KZ14=JH14,"Corporate Allocation",KZ14=JX14,"Amortized Tooling"),"")</f>
        <v>Fixed Overhead</v>
      </c>
      <c r="LK14" s="77" t="str" cm="1">
        <f t="array" ref="LK14">IFERROR(_xlfn.IFS(LB14=FA14,"Material",LB14=FQ14,"Direct Labor",LB14=GG14,"Variable Overhead",LB14=GW14,"Indirect Labor",LB14=HM14,"Fixed Overhead",LB14=IC14,"SG&amp;A",LB14=IS14,"Depreciation",LB14=JI14,"Corporate Allocation",LB14=JY14,"Amortized Tooling"),"")</f>
        <v>Material</v>
      </c>
      <c r="LL14" s="77" t="str" cm="1">
        <f t="array" ref="LL14">IFERROR(_xlfn.IFS(LD14=FB14,"Material",LD14=FR14,"Direct Labor",LD14=GH14,"Variable Overhead",LD14=GX14,"Indirect Labor",LD14=HN14,"Fixed Overhead",LD14=ID14,"SG&amp;A",LD14=IT14,"Depreciation",LD14=JJ14,"Corporate Allocation",LD14=JZ14,"Amortized Tooling"),"")</f>
        <v>Fixed Overhead</v>
      </c>
      <c r="LM14" s="77" cm="1">
        <f t="array" ref="LM14">_xlfn.IFS(DL14="","",LN14="0% EBIT target","",LN14="12% EBIT target","",LN14="At quote",KJ14,LN14="2019",KK14,LN14="2020",KL14,LN14="2021",KM14,LN14="2022",KN14,LN14="2023",KO14,LN14="2024",KP14)</f>
        <v>-3105.947612474773</v>
      </c>
      <c r="LN14" s="77" t="str">
        <f t="shared" si="170"/>
        <v>2022</v>
      </c>
      <c r="LO14" s="77" cm="1">
        <f t="array" ref="LO14">IFERROR(_xlfn.IFS(MN14="0% EBIT target","",MN14="12% EBIT target","",LN14="At quote",KR14,LN14="2019",KT14,LN14="2020",KV14,LN14="2021",KX14,LN14="2022",KZ14,LN14="2023",LB14,LN14="2024",LD14),"")</f>
        <v>-1208.3874035111858</v>
      </c>
      <c r="LP14" s="78" t="str" cm="1">
        <f t="array" ref="LP14">IFERROR(_xlfn.IFS(MN14="0% EBIT target","",MN14="12% EBIT target","",LN14="At quote",LF14,LN14="2019",LG14,LN14="2020",LH14,LN14="2021",LI14,LN14="2022",LJ14,LN14="2023",LK14,LN14="2024",LL14),"")</f>
        <v>Fixed Overhead</v>
      </c>
      <c r="LQ14" s="79">
        <f t="shared" si="11"/>
        <v>0.38905595144547872</v>
      </c>
      <c r="LR14" s="78"/>
      <c r="LS14" s="79">
        <f t="shared" si="12"/>
        <v>0.95971542661129217</v>
      </c>
      <c r="LT14" s="79">
        <f t="shared" si="12"/>
        <v>0.65041134159334602</v>
      </c>
      <c r="LU14" s="79">
        <f t="shared" si="12"/>
        <v>0.36652928289355247</v>
      </c>
      <c r="LV14" s="79">
        <f t="shared" si="12"/>
        <v>0.35648843910601413</v>
      </c>
      <c r="LW14" s="79">
        <f t="shared" si="12"/>
        <v>0.25393243788109665</v>
      </c>
      <c r="LX14" s="79">
        <f t="shared" si="12"/>
        <v>0.16981721506336681</v>
      </c>
      <c r="LY14" s="79">
        <f t="shared" si="12"/>
        <v>4.5047666281552989E-2</v>
      </c>
      <c r="LZ14" s="79" t="str">
        <f t="shared" si="13"/>
        <v/>
      </c>
      <c r="MA14" s="79" t="str">
        <f t="shared" si="14"/>
        <v/>
      </c>
      <c r="MB14" s="79">
        <f t="shared" si="171"/>
        <v>0.95971542661129217</v>
      </c>
      <c r="MC14" s="80">
        <f t="shared" si="15"/>
        <v>18056.294825295357</v>
      </c>
      <c r="MD14" s="80">
        <f t="shared" si="172"/>
        <v>16226.507442205822</v>
      </c>
      <c r="ME14" s="80">
        <f t="shared" si="173"/>
        <v>15450.62762789348</v>
      </c>
      <c r="MF14" s="80">
        <f t="shared" si="174"/>
        <v>18109.215684989042</v>
      </c>
      <c r="MG14" s="80">
        <f t="shared" si="175"/>
        <v>16776.988915413658</v>
      </c>
      <c r="MH14" s="80">
        <f t="shared" si="176"/>
        <v>19359.295776179752</v>
      </c>
      <c r="MI14" s="80">
        <f t="shared" si="177"/>
        <v>18014.552147810082</v>
      </c>
      <c r="MJ14" s="80">
        <f t="shared" si="178"/>
        <v>17717.911852525118</v>
      </c>
      <c r="MK14" s="80" t="str">
        <f t="shared" si="16"/>
        <v/>
      </c>
      <c r="ML14" s="80" t="str">
        <f t="shared" si="16"/>
        <v/>
      </c>
      <c r="MM14" s="80">
        <f t="shared" si="179"/>
        <v>19359.295776179752</v>
      </c>
      <c r="MN14" s="80" t="str" cm="1">
        <f t="array" ref="MN14">_xlfn.IFS(MC14="","",MM14=0,"",MM14=MD14,"At quote",MM14=ME14,"2019",MM14=MF14,"2020",MM14=MG14,"2021",MM14=MH14,"2022",MM14=MI14,"2023",MM14=MJ14,"2024",MM14=MK14,"0% EBIT target",MM14=ML14,"12% EBIT target")</f>
        <v>2022</v>
      </c>
      <c r="MO14" s="81" t="str">
        <f t="shared" si="180"/>
        <v/>
      </c>
      <c r="MP14" s="81" t="str">
        <f t="shared" si="181"/>
        <v/>
      </c>
      <c r="MQ14" s="80" t="str">
        <f t="shared" si="17"/>
        <v/>
      </c>
      <c r="MR14" s="80" t="str">
        <f t="shared" si="182"/>
        <v/>
      </c>
      <c r="MS14" s="80">
        <f t="shared" si="18"/>
        <v>218736.87603817708</v>
      </c>
      <c r="MT14" s="80">
        <f t="shared" si="183"/>
        <v>54684.219009544271</v>
      </c>
      <c r="MU14" s="80" t="str">
        <f t="shared" si="19"/>
        <v/>
      </c>
      <c r="MV14" s="80" t="str">
        <f t="shared" si="184"/>
        <v/>
      </c>
      <c r="MW14" s="80">
        <f t="shared" si="20"/>
        <v>5385671.3424714357</v>
      </c>
      <c r="MX14" s="80">
        <f t="shared" si="185"/>
        <v>1346417.8356178589</v>
      </c>
      <c r="MY14" s="80" t="str">
        <f t="shared" si="21"/>
        <v/>
      </c>
      <c r="MZ14" s="80" t="str">
        <f t="shared" si="186"/>
        <v/>
      </c>
      <c r="NA14" s="80" t="str">
        <f t="shared" si="22"/>
        <v/>
      </c>
      <c r="NB14" s="80" t="str">
        <f t="shared" si="187"/>
        <v/>
      </c>
      <c r="NC14" s="80" t="str">
        <f t="shared" si="188"/>
        <v/>
      </c>
      <c r="ND14" s="80" t="str">
        <f t="shared" si="189"/>
        <v/>
      </c>
      <c r="NE14" s="80" t="str">
        <f t="shared" si="23"/>
        <v/>
      </c>
      <c r="NF14" s="80" t="str">
        <f t="shared" si="190"/>
        <v/>
      </c>
      <c r="NG14" s="80">
        <f t="shared" si="24"/>
        <v>1303.0009508843941</v>
      </c>
      <c r="NH14" s="80">
        <f t="shared" si="25"/>
        <v>5385671.3424714357</v>
      </c>
      <c r="NI14" s="80">
        <f t="shared" si="191"/>
        <v>2692835.6712357178</v>
      </c>
      <c r="NJ14" s="80">
        <f t="shared" si="192"/>
        <v>1346417.8356178589</v>
      </c>
    </row>
    <row r="15" spans="1:374" x14ac:dyDescent="0.25">
      <c r="A15" s="71" t="s">
        <v>421</v>
      </c>
      <c r="B15" s="71"/>
      <c r="C15" s="71" t="s">
        <v>424</v>
      </c>
      <c r="D15" s="71" t="s">
        <v>398</v>
      </c>
      <c r="E15" s="71" t="s">
        <v>399</v>
      </c>
      <c r="F15" s="87" t="s">
        <v>399</v>
      </c>
      <c r="G15" s="71" t="s">
        <v>423</v>
      </c>
      <c r="H15" s="71" t="str">
        <f t="shared" si="26"/>
        <v>Joinville CBA U11 All</v>
      </c>
      <c r="I15" s="71" t="s">
        <v>401</v>
      </c>
      <c r="J15" s="71" t="s">
        <v>402</v>
      </c>
      <c r="K15" s="71" t="s">
        <v>403</v>
      </c>
      <c r="L15" s="72">
        <v>0</v>
      </c>
      <c r="M15" s="72">
        <v>2023</v>
      </c>
      <c r="N15" s="73">
        <f>DATE(2029,12,31)</f>
        <v>47483</v>
      </c>
      <c r="O15" s="74">
        <v>0</v>
      </c>
      <c r="P15" s="74">
        <v>0</v>
      </c>
      <c r="Q15" s="74">
        <v>0</v>
      </c>
      <c r="R15" s="74">
        <v>0</v>
      </c>
      <c r="S15" s="74">
        <v>3836.0190649114843</v>
      </c>
      <c r="T15" s="74">
        <v>4695.4646482630124</v>
      </c>
      <c r="U15" s="74">
        <v>4794.212203057491</v>
      </c>
      <c r="V15" s="74">
        <v>4767.9778180864532</v>
      </c>
      <c r="W15" s="74">
        <v>5307.5161762416928</v>
      </c>
      <c r="X15" s="74">
        <v>0</v>
      </c>
      <c r="Y15" s="74">
        <v>0</v>
      </c>
      <c r="Z15" s="74">
        <v>0</v>
      </c>
      <c r="AA15" s="74">
        <v>0</v>
      </c>
      <c r="AB15" s="74">
        <v>8812</v>
      </c>
      <c r="AC15" s="74">
        <v>9565</v>
      </c>
      <c r="AD15" s="74">
        <v>9426</v>
      </c>
      <c r="AE15" s="74">
        <v>9145</v>
      </c>
      <c r="AF15" s="74">
        <v>7899</v>
      </c>
      <c r="AG15" s="74">
        <v>2059.2206687527532</v>
      </c>
      <c r="AH15" s="74">
        <v>365.66836409929982</v>
      </c>
      <c r="AI15" s="74">
        <v>741.18200838243615</v>
      </c>
      <c r="AJ15" s="74"/>
      <c r="AK15" s="74">
        <v>52.893080290627694</v>
      </c>
      <c r="AL15" s="74">
        <v>119.77475984367894</v>
      </c>
      <c r="AM15" s="74">
        <v>0</v>
      </c>
      <c r="AN15" s="74">
        <v>266.03376583730522</v>
      </c>
      <c r="AO15" s="74">
        <v>223.82694744348879</v>
      </c>
      <c r="AP15" s="74">
        <v>0</v>
      </c>
      <c r="AQ15" s="74">
        <v>0</v>
      </c>
      <c r="AR15" s="74">
        <v>0</v>
      </c>
      <c r="AS15" s="74">
        <v>0</v>
      </c>
      <c r="AT15" s="74">
        <v>0</v>
      </c>
      <c r="AU15" s="74">
        <v>0</v>
      </c>
      <c r="AV15" s="74"/>
      <c r="AW15" s="74">
        <v>0</v>
      </c>
      <c r="AX15" s="74">
        <v>0</v>
      </c>
      <c r="AY15" s="74">
        <v>0</v>
      </c>
      <c r="AZ15" s="74">
        <v>0</v>
      </c>
      <c r="BA15" s="74">
        <v>0</v>
      </c>
      <c r="BB15" s="74">
        <v>0</v>
      </c>
      <c r="BC15" s="74">
        <v>0</v>
      </c>
      <c r="BD15" s="74">
        <v>0</v>
      </c>
      <c r="BE15" s="74">
        <v>0</v>
      </c>
      <c r="BF15" s="74">
        <v>0</v>
      </c>
      <c r="BG15" s="74">
        <v>0</v>
      </c>
      <c r="BH15" s="74"/>
      <c r="BI15" s="74">
        <v>0</v>
      </c>
      <c r="BJ15" s="74">
        <v>0</v>
      </c>
      <c r="BK15" s="74">
        <v>0</v>
      </c>
      <c r="BL15" s="74">
        <v>0</v>
      </c>
      <c r="BM15" s="74">
        <v>0</v>
      </c>
      <c r="BN15" s="74">
        <v>0</v>
      </c>
      <c r="BO15" s="74">
        <v>0</v>
      </c>
      <c r="BP15" s="74">
        <v>0</v>
      </c>
      <c r="BQ15" s="74">
        <v>0</v>
      </c>
      <c r="BR15" s="74">
        <v>0</v>
      </c>
      <c r="BS15" s="74">
        <v>0</v>
      </c>
      <c r="BT15" s="74"/>
      <c r="BU15" s="74">
        <v>0</v>
      </c>
      <c r="BV15" s="74">
        <v>0</v>
      </c>
      <c r="BW15" s="74">
        <v>0</v>
      </c>
      <c r="BX15" s="74">
        <v>0</v>
      </c>
      <c r="BY15" s="74">
        <v>0</v>
      </c>
      <c r="BZ15" s="74">
        <v>0</v>
      </c>
      <c r="CA15" s="74">
        <v>0</v>
      </c>
      <c r="CB15" s="74">
        <v>0</v>
      </c>
      <c r="CC15" s="74">
        <v>0</v>
      </c>
      <c r="CD15" s="74">
        <v>0</v>
      </c>
      <c r="CE15" s="74">
        <v>0</v>
      </c>
      <c r="CF15" s="74"/>
      <c r="CG15" s="74">
        <v>0</v>
      </c>
      <c r="CH15" s="74">
        <v>0</v>
      </c>
      <c r="CI15" s="74">
        <v>0</v>
      </c>
      <c r="CJ15" s="74">
        <v>0</v>
      </c>
      <c r="CK15" s="74">
        <v>0</v>
      </c>
      <c r="CL15" s="74">
        <v>14307.468529658399</v>
      </c>
      <c r="CM15" s="74">
        <v>14307.468529658399</v>
      </c>
      <c r="CN15" s="74">
        <v>3879.0283430775312</v>
      </c>
      <c r="CO15" s="74">
        <v>7859.4155814962096</v>
      </c>
      <c r="CP15" s="74">
        <v>765.56700569090049</v>
      </c>
      <c r="CQ15" s="74">
        <v>1562.7229137819038</v>
      </c>
      <c r="CR15" s="74"/>
      <c r="CS15" s="74">
        <v>0</v>
      </c>
      <c r="CT15" s="74">
        <v>188.80099675296012</v>
      </c>
      <c r="CU15" s="74">
        <v>0</v>
      </c>
      <c r="CV15" s="74">
        <v>616.8892381147034</v>
      </c>
      <c r="CW15" s="74">
        <v>743.88432721309869</v>
      </c>
      <c r="CX15" s="74">
        <v>15548.444257115172</v>
      </c>
      <c r="CY15" s="74">
        <v>15548.444257115172</v>
      </c>
      <c r="CZ15" s="74">
        <v>5282.5434598771353</v>
      </c>
      <c r="DA15" s="74">
        <v>7427.9628959584252</v>
      </c>
      <c r="DB15" s="74">
        <v>762.10399677428984</v>
      </c>
      <c r="DC15" s="74">
        <v>1558.4924438133294</v>
      </c>
      <c r="DD15" s="74"/>
      <c r="DE15" s="74">
        <v>0</v>
      </c>
      <c r="DF15" s="74">
        <v>255.09818888538442</v>
      </c>
      <c r="DG15" s="74">
        <v>0</v>
      </c>
      <c r="DH15" s="74">
        <v>693.99734372233843</v>
      </c>
      <c r="DI15" s="74">
        <v>64.51163642387705</v>
      </c>
      <c r="DJ15" s="74">
        <v>16046.961329410244</v>
      </c>
      <c r="DK15" s="74">
        <v>16046.961329410244</v>
      </c>
      <c r="DL15" s="74">
        <v>5424.1298268408063</v>
      </c>
      <c r="DM15" s="75">
        <f t="shared" si="0"/>
        <v>87040801.577015102</v>
      </c>
      <c r="DN15" s="75">
        <f t="shared" si="1"/>
        <v>21813273.071259372</v>
      </c>
      <c r="DO15" s="76">
        <f t="shared" si="2"/>
        <v>0.2506097448098365</v>
      </c>
      <c r="DP15" s="74">
        <v>8029.0520865267517</v>
      </c>
      <c r="DQ15" s="74">
        <v>707.55049965964542</v>
      </c>
      <c r="DR15" s="74">
        <v>2349.2437474822386</v>
      </c>
      <c r="DS15" s="74"/>
      <c r="DT15" s="74">
        <v>0</v>
      </c>
      <c r="DU15" s="74">
        <v>176.98691414971827</v>
      </c>
      <c r="DV15" s="74">
        <v>0</v>
      </c>
      <c r="DW15" s="74">
        <v>688.08376003032731</v>
      </c>
      <c r="DX15" s="74">
        <v>74.519437824746291</v>
      </c>
      <c r="DY15" s="74"/>
      <c r="DZ15" s="74">
        <v>13978.693592329933</v>
      </c>
      <c r="EA15" s="74">
        <v>5772.3959893940219</v>
      </c>
      <c r="EB15" s="74"/>
      <c r="EC15" s="74"/>
      <c r="ED15" s="74"/>
      <c r="EE15" s="74"/>
      <c r="EF15" s="74"/>
      <c r="EG15" s="74"/>
      <c r="EH15" s="74"/>
      <c r="EI15" s="74"/>
      <c r="EJ15" s="74"/>
      <c r="EK15" s="74">
        <v>14152.733197766684</v>
      </c>
      <c r="EL15" s="74">
        <v>6336.5</v>
      </c>
      <c r="EM15" s="74" t="s">
        <v>404</v>
      </c>
      <c r="EN15" s="77">
        <f t="shared" si="27"/>
        <v>2059.2206687527532</v>
      </c>
      <c r="EO15" s="77">
        <f t="shared" si="28"/>
        <v>0</v>
      </c>
      <c r="EP15" s="77">
        <f t="shared" si="29"/>
        <v>0</v>
      </c>
      <c r="EQ15" s="77">
        <f t="shared" si="30"/>
        <v>0</v>
      </c>
      <c r="ER15" s="77">
        <f t="shared" si="31"/>
        <v>0</v>
      </c>
      <c r="ES15" s="77">
        <f t="shared" si="32"/>
        <v>7859.4155814962096</v>
      </c>
      <c r="ET15" s="77">
        <f t="shared" si="33"/>
        <v>7427.9628959584252</v>
      </c>
      <c r="EU15" s="77">
        <f t="shared" si="34"/>
        <v>8029.0520865267517</v>
      </c>
      <c r="EV15" s="77">
        <f t="shared" si="35"/>
        <v>-5969.8314177739985</v>
      </c>
      <c r="EW15" s="77">
        <f t="shared" si="36"/>
        <v>-8029.0520865267517</v>
      </c>
      <c r="EX15" s="77">
        <f t="shared" si="37"/>
        <v>-8029.0520865267517</v>
      </c>
      <c r="EY15" s="77">
        <f t="shared" si="38"/>
        <v>-8029.0520865267517</v>
      </c>
      <c r="EZ15" s="77">
        <f t="shared" si="39"/>
        <v>-8029.0520865267517</v>
      </c>
      <c r="FA15" s="77">
        <f t="shared" si="40"/>
        <v>-169.63650503054214</v>
      </c>
      <c r="FB15" s="77">
        <f t="shared" si="41"/>
        <v>-601.08919056832656</v>
      </c>
      <c r="FC15" s="77"/>
      <c r="FD15" s="77">
        <f t="shared" si="42"/>
        <v>365.66836409929982</v>
      </c>
      <c r="FE15" s="77">
        <f t="shared" si="43"/>
        <v>0</v>
      </c>
      <c r="FF15" s="77">
        <f t="shared" si="44"/>
        <v>0</v>
      </c>
      <c r="FG15" s="77">
        <f t="shared" si="45"/>
        <v>0</v>
      </c>
      <c r="FH15" s="77">
        <f t="shared" si="46"/>
        <v>0</v>
      </c>
      <c r="FI15" s="77">
        <f t="shared" si="47"/>
        <v>765.56700569090049</v>
      </c>
      <c r="FJ15" s="77">
        <f t="shared" si="48"/>
        <v>762.10399677428984</v>
      </c>
      <c r="FK15" s="77">
        <f t="shared" si="49"/>
        <v>707.55049965964542</v>
      </c>
      <c r="FL15" s="77">
        <f t="shared" si="50"/>
        <v>-341.8821355603456</v>
      </c>
      <c r="FM15" s="77">
        <f t="shared" si="51"/>
        <v>-707.55049965964542</v>
      </c>
      <c r="FN15" s="77">
        <f t="shared" si="52"/>
        <v>-707.55049965964542</v>
      </c>
      <c r="FO15" s="77">
        <f t="shared" si="53"/>
        <v>-707.55049965964542</v>
      </c>
      <c r="FP15" s="77">
        <f t="shared" si="54"/>
        <v>-707.55049965964542</v>
      </c>
      <c r="FQ15" s="77">
        <f t="shared" si="55"/>
        <v>0</v>
      </c>
      <c r="FR15" s="77">
        <f t="shared" si="56"/>
        <v>0</v>
      </c>
      <c r="FS15" s="77"/>
      <c r="FT15" s="77">
        <f t="shared" si="57"/>
        <v>741.18200838243615</v>
      </c>
      <c r="FU15" s="77">
        <f t="shared" si="58"/>
        <v>0</v>
      </c>
      <c r="FV15" s="77">
        <f t="shared" si="59"/>
        <v>0</v>
      </c>
      <c r="FW15" s="77">
        <f t="shared" si="60"/>
        <v>0</v>
      </c>
      <c r="FX15" s="77">
        <f t="shared" si="61"/>
        <v>0</v>
      </c>
      <c r="FY15" s="77">
        <f t="shared" si="62"/>
        <v>1562.7229137819038</v>
      </c>
      <c r="FZ15" s="77">
        <f t="shared" si="63"/>
        <v>1558.4924438133294</v>
      </c>
      <c r="GA15" s="77">
        <f t="shared" si="64"/>
        <v>2349.2437474822386</v>
      </c>
      <c r="GB15" s="77">
        <f t="shared" si="65"/>
        <v>-1608.0617390998025</v>
      </c>
      <c r="GC15" s="77">
        <f t="shared" si="66"/>
        <v>-2349.2437474822386</v>
      </c>
      <c r="GD15" s="77">
        <f t="shared" si="67"/>
        <v>-2349.2437474822386</v>
      </c>
      <c r="GE15" s="77">
        <f t="shared" si="68"/>
        <v>-2349.2437474822386</v>
      </c>
      <c r="GF15" s="77">
        <f t="shared" si="69"/>
        <v>-2349.2437474822386</v>
      </c>
      <c r="GG15" s="77">
        <f t="shared" si="70"/>
        <v>-786.52083370033483</v>
      </c>
      <c r="GH15" s="77">
        <f t="shared" si="71"/>
        <v>-790.75130366890926</v>
      </c>
      <c r="GI15" s="77"/>
      <c r="GJ15" s="77" t="str">
        <f t="shared" si="72"/>
        <v/>
      </c>
      <c r="GK15" s="77" t="str">
        <f t="shared" si="73"/>
        <v/>
      </c>
      <c r="GL15" s="77" t="str">
        <f t="shared" si="74"/>
        <v/>
      </c>
      <c r="GM15" s="77" t="str">
        <f t="shared" si="75"/>
        <v/>
      </c>
      <c r="GN15" s="77" t="str">
        <f t="shared" si="76"/>
        <v/>
      </c>
      <c r="GO15" s="77" t="str">
        <f t="shared" si="77"/>
        <v/>
      </c>
      <c r="GP15" s="77" t="str">
        <f t="shared" si="78"/>
        <v/>
      </c>
      <c r="GQ15" s="77" t="str">
        <f t="shared" si="79"/>
        <v/>
      </c>
      <c r="GR15" s="77" t="str">
        <f t="shared" si="80"/>
        <v/>
      </c>
      <c r="GS15" s="77" t="str">
        <f t="shared" si="81"/>
        <v/>
      </c>
      <c r="GT15" s="77" t="str">
        <f t="shared" si="82"/>
        <v/>
      </c>
      <c r="GU15" s="77" t="str">
        <f t="shared" si="83"/>
        <v/>
      </c>
      <c r="GV15" s="77" t="str">
        <f t="shared" si="84"/>
        <v/>
      </c>
      <c r="GW15" s="77" t="str">
        <f t="shared" si="85"/>
        <v/>
      </c>
      <c r="GX15" s="77" t="str">
        <f t="shared" si="86"/>
        <v/>
      </c>
      <c r="GY15" s="77"/>
      <c r="GZ15" s="77">
        <f t="shared" si="87"/>
        <v>52.893080290627694</v>
      </c>
      <c r="HA15" s="77">
        <f t="shared" si="88"/>
        <v>0</v>
      </c>
      <c r="HB15" s="77">
        <f t="shared" si="89"/>
        <v>0</v>
      </c>
      <c r="HC15" s="77">
        <f t="shared" si="90"/>
        <v>0</v>
      </c>
      <c r="HD15" s="77">
        <f t="shared" si="91"/>
        <v>0</v>
      </c>
      <c r="HE15" s="77">
        <f t="shared" si="92"/>
        <v>0</v>
      </c>
      <c r="HF15" s="77">
        <f t="shared" si="93"/>
        <v>0</v>
      </c>
      <c r="HG15" s="77">
        <f t="shared" si="94"/>
        <v>0</v>
      </c>
      <c r="HH15" s="77">
        <f t="shared" si="95"/>
        <v>0</v>
      </c>
      <c r="HI15" s="77">
        <f t="shared" si="96"/>
        <v>0</v>
      </c>
      <c r="HJ15" s="77">
        <f t="shared" si="97"/>
        <v>0</v>
      </c>
      <c r="HK15" s="77">
        <f t="shared" si="98"/>
        <v>0</v>
      </c>
      <c r="HL15" s="77">
        <f t="shared" si="99"/>
        <v>0</v>
      </c>
      <c r="HM15" s="77">
        <f t="shared" si="100"/>
        <v>0</v>
      </c>
      <c r="HN15" s="77">
        <f t="shared" si="101"/>
        <v>0</v>
      </c>
      <c r="HO15" s="77"/>
      <c r="HP15" s="77">
        <f t="shared" si="102"/>
        <v>223.82694744348879</v>
      </c>
      <c r="HQ15" s="77">
        <f t="shared" si="103"/>
        <v>0</v>
      </c>
      <c r="HR15" s="77">
        <f t="shared" si="104"/>
        <v>0</v>
      </c>
      <c r="HS15" s="77">
        <f t="shared" si="105"/>
        <v>0</v>
      </c>
      <c r="HT15" s="77">
        <f t="shared" si="106"/>
        <v>0</v>
      </c>
      <c r="HU15" s="77">
        <f t="shared" si="107"/>
        <v>743.88432721309869</v>
      </c>
      <c r="HV15" s="77">
        <f t="shared" si="108"/>
        <v>64.51163642387705</v>
      </c>
      <c r="HW15" s="77">
        <f t="shared" si="109"/>
        <v>74.519437824746291</v>
      </c>
      <c r="HX15" s="77">
        <f t="shared" si="110"/>
        <v>0</v>
      </c>
      <c r="HY15" s="77">
        <f t="shared" si="111"/>
        <v>-74.519437824746291</v>
      </c>
      <c r="HZ15" s="77">
        <f t="shared" si="112"/>
        <v>-74.519437824746291</v>
      </c>
      <c r="IA15" s="77">
        <f t="shared" si="113"/>
        <v>-74.519437824746291</v>
      </c>
      <c r="IB15" s="77">
        <f t="shared" si="114"/>
        <v>-74.519437824746291</v>
      </c>
      <c r="IC15" s="77">
        <f t="shared" si="115"/>
        <v>0</v>
      </c>
      <c r="ID15" s="77">
        <f t="shared" si="193"/>
        <v>-10.007801400869241</v>
      </c>
      <c r="IE15" s="77"/>
      <c r="IF15" s="77">
        <f t="shared" si="116"/>
        <v>119.77475984367894</v>
      </c>
      <c r="IG15" s="77">
        <f t="shared" si="117"/>
        <v>0</v>
      </c>
      <c r="IH15" s="77">
        <f t="shared" si="118"/>
        <v>0</v>
      </c>
      <c r="II15" s="77">
        <f t="shared" si="119"/>
        <v>0</v>
      </c>
      <c r="IJ15" s="77">
        <f t="shared" si="120"/>
        <v>0</v>
      </c>
      <c r="IK15" s="77">
        <f t="shared" si="121"/>
        <v>188.80099675296012</v>
      </c>
      <c r="IL15" s="77">
        <f t="shared" si="122"/>
        <v>255.09818888538442</v>
      </c>
      <c r="IM15" s="77">
        <f t="shared" si="123"/>
        <v>176.98691414971827</v>
      </c>
      <c r="IN15" s="77">
        <f t="shared" si="124"/>
        <v>-57.212154306039338</v>
      </c>
      <c r="IO15" s="77">
        <f t="shared" si="125"/>
        <v>-176.98691414971827</v>
      </c>
      <c r="IP15" s="77">
        <f t="shared" si="126"/>
        <v>-176.98691414971827</v>
      </c>
      <c r="IQ15" s="77">
        <f t="shared" si="127"/>
        <v>-176.98691414971827</v>
      </c>
      <c r="IR15" s="77">
        <f t="shared" si="128"/>
        <v>-176.98691414971827</v>
      </c>
      <c r="IS15" s="77">
        <f t="shared" si="129"/>
        <v>0</v>
      </c>
      <c r="IT15" s="77">
        <f t="shared" si="130"/>
        <v>0</v>
      </c>
      <c r="IU15" s="77"/>
      <c r="IV15" s="77">
        <f t="shared" si="131"/>
        <v>266.03376583730522</v>
      </c>
      <c r="IW15" s="77">
        <f t="shared" si="132"/>
        <v>0</v>
      </c>
      <c r="IX15" s="77">
        <f t="shared" si="133"/>
        <v>0</v>
      </c>
      <c r="IY15" s="77">
        <f t="shared" si="134"/>
        <v>0</v>
      </c>
      <c r="IZ15" s="77">
        <f t="shared" si="135"/>
        <v>0</v>
      </c>
      <c r="JA15" s="77">
        <f t="shared" si="136"/>
        <v>616.8892381147034</v>
      </c>
      <c r="JB15" s="77">
        <f t="shared" si="137"/>
        <v>693.99734372233843</v>
      </c>
      <c r="JC15" s="77">
        <f t="shared" si="138"/>
        <v>688.08376003032731</v>
      </c>
      <c r="JD15" s="77">
        <f t="shared" si="139"/>
        <v>-422.04999419302209</v>
      </c>
      <c r="JE15" s="77">
        <f t="shared" si="140"/>
        <v>-688.08376003032731</v>
      </c>
      <c r="JF15" s="77">
        <f t="shared" si="141"/>
        <v>-688.08376003032731</v>
      </c>
      <c r="JG15" s="77">
        <f t="shared" si="142"/>
        <v>-688.08376003032731</v>
      </c>
      <c r="JH15" s="77">
        <f t="shared" si="143"/>
        <v>-688.08376003032731</v>
      </c>
      <c r="JI15" s="77">
        <f t="shared" si="144"/>
        <v>-71.194521915623909</v>
      </c>
      <c r="JJ15" s="77">
        <f t="shared" si="145"/>
        <v>0</v>
      </c>
      <c r="JK15" s="77"/>
      <c r="JL15" s="77">
        <f t="shared" si="146"/>
        <v>0</v>
      </c>
      <c r="JM15" s="77">
        <f t="shared" si="147"/>
        <v>0</v>
      </c>
      <c r="JN15" s="77">
        <f t="shared" si="148"/>
        <v>0</v>
      </c>
      <c r="JO15" s="77">
        <f t="shared" si="149"/>
        <v>0</v>
      </c>
      <c r="JP15" s="77">
        <f t="shared" si="150"/>
        <v>0</v>
      </c>
      <c r="JQ15" s="77">
        <f t="shared" si="151"/>
        <v>0</v>
      </c>
      <c r="JR15" s="77">
        <f t="shared" si="152"/>
        <v>0</v>
      </c>
      <c r="JS15" s="77">
        <f t="shared" si="153"/>
        <v>0</v>
      </c>
      <c r="JT15" s="77">
        <f t="shared" si="154"/>
        <v>0</v>
      </c>
      <c r="JU15" s="77">
        <f t="shared" si="155"/>
        <v>0</v>
      </c>
      <c r="JV15" s="77">
        <f t="shared" si="156"/>
        <v>0</v>
      </c>
      <c r="JW15" s="77">
        <f t="shared" si="157"/>
        <v>0</v>
      </c>
      <c r="JX15" s="77">
        <f t="shared" si="158"/>
        <v>0</v>
      </c>
      <c r="JY15" s="77">
        <f t="shared" si="159"/>
        <v>0</v>
      </c>
      <c r="JZ15" s="77">
        <f t="shared" si="160"/>
        <v>0</v>
      </c>
      <c r="KA15" s="77"/>
      <c r="KB15" s="77">
        <f t="shared" si="161"/>
        <v>3828.5995946495891</v>
      </c>
      <c r="KC15" s="77">
        <f t="shared" si="3"/>
        <v>0</v>
      </c>
      <c r="KD15" s="77">
        <f t="shared" si="3"/>
        <v>0</v>
      </c>
      <c r="KE15" s="77">
        <f t="shared" si="3"/>
        <v>0</v>
      </c>
      <c r="KF15" s="77">
        <f t="shared" si="3"/>
        <v>0</v>
      </c>
      <c r="KG15" s="77">
        <f t="shared" si="3"/>
        <v>11737.280063049775</v>
      </c>
      <c r="KH15" s="77">
        <f t="shared" si="3"/>
        <v>10762.166505577643</v>
      </c>
      <c r="KI15" s="77">
        <f t="shared" si="3"/>
        <v>12025.436445673427</v>
      </c>
      <c r="KJ15" s="77">
        <f t="shared" si="3"/>
        <v>-8399.0374409332089</v>
      </c>
      <c r="KK15" s="77">
        <f t="shared" si="4"/>
        <v>-12025.436445673427</v>
      </c>
      <c r="KL15" s="77">
        <f t="shared" si="4"/>
        <v>-12025.436445673427</v>
      </c>
      <c r="KM15" s="77">
        <f t="shared" si="4"/>
        <v>-12025.436445673427</v>
      </c>
      <c r="KN15" s="77">
        <f t="shared" si="4"/>
        <v>-12025.436445673427</v>
      </c>
      <c r="KO15" s="77">
        <f t="shared" si="4"/>
        <v>-1027.3518606465009</v>
      </c>
      <c r="KP15" s="77">
        <f t="shared" si="4"/>
        <v>-1401.8482956381051</v>
      </c>
      <c r="KQ15" s="78"/>
      <c r="KR15" s="77">
        <f t="shared" si="162"/>
        <v>-5969.8314177739985</v>
      </c>
      <c r="KS15" s="77">
        <f t="shared" si="163"/>
        <v>0.7107756644445552</v>
      </c>
      <c r="KT15" s="77">
        <f t="shared" si="5"/>
        <v>-8029.0520865267517</v>
      </c>
      <c r="KU15" s="79">
        <f t="shared" si="164"/>
        <v>0.66767240613670076</v>
      </c>
      <c r="KV15" s="77">
        <f t="shared" si="6"/>
        <v>-8029.0520865267517</v>
      </c>
      <c r="KW15" s="79">
        <f t="shared" si="165"/>
        <v>0.66767240613670076</v>
      </c>
      <c r="KX15" s="77">
        <f t="shared" si="7"/>
        <v>-8029.0520865267517</v>
      </c>
      <c r="KY15" s="79">
        <f t="shared" si="166"/>
        <v>0.66767240613670076</v>
      </c>
      <c r="KZ15" s="77">
        <f t="shared" si="8"/>
        <v>-8029.0520865267517</v>
      </c>
      <c r="LA15" s="79">
        <f t="shared" si="167"/>
        <v>0.66767240613670076</v>
      </c>
      <c r="LB15" s="77">
        <f t="shared" si="9"/>
        <v>-786.52083370033483</v>
      </c>
      <c r="LC15" s="79">
        <f t="shared" si="168"/>
        <v>0.76558077502812538</v>
      </c>
      <c r="LD15" s="77">
        <f t="shared" si="10"/>
        <v>-790.75130366890926</v>
      </c>
      <c r="LE15" s="79">
        <f t="shared" si="169"/>
        <v>0.56407765813844246</v>
      </c>
      <c r="LF15" s="77" t="str" cm="1">
        <f t="array" ref="LF15">IFERROR(_xlfn.IFS(KR15=EV15,"Material",KR15=FL15,"Direct Labor",KR15=GB15,"Variable Overhead",KR15=GR15,"Indirect Labor",KR15=HH15,"Fixed Overhead",KR15=HX15,"SG&amp;A",KR15=IN15,"Depreciation",KR15=JD15,"Corporate allocation",KR15=JT15,"Amortized Tooling"),"")</f>
        <v>Material</v>
      </c>
      <c r="LG15" s="77" t="str" cm="1">
        <f t="array" ref="LG15">IFERROR(_xlfn.IFS(KT15=EW15,"Material",KT15=FM15,"Direct Labor",KT15=GC15,"Variable Overhead",KT15=GS15,"Indirect Labor",KT15=HI15,"Fixed Overhead",KT15=HY15,"SG&amp;A",KT15=IO15,"Depreciation",KT15=JE15,"Corporate Allocation",KT15=JU15,"Amortized Tooling"),"")</f>
        <v>Material</v>
      </c>
      <c r="LH15" s="77" t="str" cm="1">
        <f t="array" ref="LH15">IFERROR(_xlfn.IFS(KV15=EX15,"Material",KV15=FN15,"Direct Labor",KV15=GD15,"Variable Overhead",KV15=GT15,"Indirect Labor",KV15=HJ15,"Fixed Overhead",KV15=HZ15,"SG&amp;A",KV15=IP15,"Depreciation",KV15=JF15,"Corporate Allocation",KV15=JV15,"Amortized Tooling"),"")</f>
        <v>Material</v>
      </c>
      <c r="LI15" s="77" t="str" cm="1">
        <f t="array" ref="LI15">IFERROR(_xlfn.IFS(KX15=EY15,"Material",KX15=FO15,"Direct Labor",KX15=GE15,"Variable Overhead",KX15=GU15,"Indirect Labor",KX15=HK15,"Fixed Overhead",KX15=IA15,"SG&amp;A",KX15=IQ15,"Depreciation",KX15=JG15,"Corporate Allocation",KX15=JW15,"Amortized Tooling"),"")</f>
        <v>Material</v>
      </c>
      <c r="LJ15" s="77" t="str" cm="1">
        <f t="array" ref="LJ15">IFERROR(_xlfn.IFS(KZ15=EZ15,"Material",KZ15=FP15,"Direct Labor",KZ15=GF15,"Variable Overhead",KZ15=GV15,"Indirect Labor",KZ15=HL15,"Fixed Overhead",KZ15=IB15,"SG&amp;A",KZ15=IR15,"Depreciation",KZ15=JH15,"Corporate Allocation",KZ15=JX15,"Amortized Tooling"),"")</f>
        <v>Material</v>
      </c>
      <c r="LK15" s="77" t="str" cm="1">
        <f t="array" ref="LK15">IFERROR(_xlfn.IFS(LB15=FA15,"Material",LB15=FQ15,"Direct Labor",LB15=GG15,"Variable Overhead",LB15=GW15,"Indirect Labor",LB15=HM15,"Fixed Overhead",LB15=IC15,"SG&amp;A",LB15=IS15,"Depreciation",LB15=JI15,"Corporate Allocation",LB15=JY15,"Amortized Tooling"),"")</f>
        <v>Variable Overhead</v>
      </c>
      <c r="LL15" s="77" t="str" cm="1">
        <f t="array" ref="LL15">IFERROR(_xlfn.IFS(LD15=FB15,"Material",LD15=FR15,"Direct Labor",LD15=GH15,"Variable Overhead",LD15=GX15,"Indirect Labor",LD15=HN15,"Fixed Overhead",LD15=ID15,"SG&amp;A",LD15=IT15,"Depreciation",LD15=JJ15,"Corporate Allocation",LD15=JZ15,"Amortized Tooling"),"")</f>
        <v>Variable Overhead</v>
      </c>
      <c r="LM15" s="77" cm="1">
        <f t="array" ref="LM15">_xlfn.IFS(DL15="","",LN15="0% EBIT target","",LN15="12% EBIT target","",LN15="At quote",KJ15,LN15="2019",KK15,LN15="2020",KL15,LN15="2021",KM15,LN15="2022",KN15,LN15="2023",KO15,LN15="2024",KP15)</f>
        <v>-1401.8482956381051</v>
      </c>
      <c r="LN15" s="77" t="str">
        <f t="shared" si="170"/>
        <v>2024</v>
      </c>
      <c r="LO15" s="77" cm="1">
        <f t="array" ref="LO15">IFERROR(_xlfn.IFS(MN15="0% EBIT target","",MN15="12% EBIT target","",LN15="At quote",KR15,LN15="2019",KT15,LN15="2020",KV15,LN15="2021",KX15,LN15="2022",KZ15,LN15="2023",LB15,LN15="2024",LD15),"")</f>
        <v>-790.75130366890926</v>
      </c>
      <c r="LP15" s="78" t="str" cm="1">
        <f t="array" ref="LP15">IFERROR(_xlfn.IFS(MN15="0% EBIT target","",MN15="12% EBIT target","",LN15="At quote",LF15,LN15="2019",LG15,LN15="2020",LH15,LN15="2021",LI15,LN15="2022",LJ15,LN15="2023",LK15,LN15="2024",LL15),"")</f>
        <v>Variable Overhead</v>
      </c>
      <c r="LQ15" s="79">
        <f t="shared" si="11"/>
        <v>0.56407765813844246</v>
      </c>
      <c r="LR15" s="78"/>
      <c r="LS15" s="79">
        <f t="shared" si="12"/>
        <v>2.1937622969690378</v>
      </c>
      <c r="LT15" s="79" t="str">
        <f t="shared" si="12"/>
        <v/>
      </c>
      <c r="LU15" s="79" t="str">
        <f t="shared" si="12"/>
        <v/>
      </c>
      <c r="LV15" s="79" t="str">
        <f t="shared" si="12"/>
        <v/>
      </c>
      <c r="LW15" s="79" t="str">
        <f t="shared" si="12"/>
        <v/>
      </c>
      <c r="LX15" s="79">
        <f t="shared" si="12"/>
        <v>8.752895518619476E-2</v>
      </c>
      <c r="LY15" s="79">
        <f t="shared" si="12"/>
        <v>0.13025707183693708</v>
      </c>
      <c r="LZ15" s="79" t="str">
        <f t="shared" si="13"/>
        <v/>
      </c>
      <c r="MA15" s="79" t="str">
        <f t="shared" si="14"/>
        <v/>
      </c>
      <c r="MB15" s="79">
        <f t="shared" si="171"/>
        <v>2.1937622969690378</v>
      </c>
      <c r="MC15" s="80">
        <f t="shared" si="15"/>
        <v>16046.961329410244</v>
      </c>
      <c r="MD15" s="80">
        <f t="shared" si="172"/>
        <v>15311.574177793884</v>
      </c>
      <c r="ME15" s="80" t="str">
        <f t="shared" si="173"/>
        <v/>
      </c>
      <c r="MF15" s="80" t="str">
        <f t="shared" si="174"/>
        <v/>
      </c>
      <c r="MG15" s="80" t="str">
        <f t="shared" si="175"/>
        <v/>
      </c>
      <c r="MH15" s="80" t="str">
        <f t="shared" si="176"/>
        <v/>
      </c>
      <c r="MI15" s="80">
        <f t="shared" si="177"/>
        <v>15559.786301418762</v>
      </c>
      <c r="MJ15" s="80">
        <f t="shared" si="178"/>
        <v>17573.739077666836</v>
      </c>
      <c r="MK15" s="80" t="str">
        <f t="shared" si="16"/>
        <v/>
      </c>
      <c r="ML15" s="80" t="str">
        <f t="shared" si="16"/>
        <v/>
      </c>
      <c r="MM15" s="80">
        <f t="shared" si="179"/>
        <v>17573.739077666836</v>
      </c>
      <c r="MN15" s="80" t="str" cm="1">
        <f t="array" ref="MN15">_xlfn.IFS(MC15="","",MM15=0,"",MM15=MD15,"At quote",MM15=ME15,"2019",MM15=MF15,"2020",MM15=MG15,"2021",MM15=MH15,"2022",MM15=MI15,"2023",MM15=MJ15,"2024",MM15=MK15,"0% EBIT target",MM15=ML15,"12% EBIT target")</f>
        <v>2024</v>
      </c>
      <c r="MO15" s="81" t="str">
        <f t="shared" si="180"/>
        <v/>
      </c>
      <c r="MP15" s="81" t="str">
        <f t="shared" si="181"/>
        <v/>
      </c>
      <c r="MQ15" s="80" t="str">
        <f t="shared" si="17"/>
        <v/>
      </c>
      <c r="MR15" s="80" t="str">
        <f t="shared" si="182"/>
        <v/>
      </c>
      <c r="MS15" s="80" t="str">
        <f t="shared" si="18"/>
        <v/>
      </c>
      <c r="MT15" s="80" t="str">
        <f t="shared" si="183"/>
        <v/>
      </c>
      <c r="MU15" s="80" t="str">
        <f t="shared" si="19"/>
        <v/>
      </c>
      <c r="MV15" s="80" t="str">
        <f t="shared" si="184"/>
        <v/>
      </c>
      <c r="MW15" s="80" t="str">
        <f t="shared" si="20"/>
        <v/>
      </c>
      <c r="MX15" s="80" t="str">
        <f t="shared" si="185"/>
        <v/>
      </c>
      <c r="MY15" s="80" t="str">
        <f t="shared" si="21"/>
        <v/>
      </c>
      <c r="MZ15" s="80" t="str">
        <f t="shared" si="186"/>
        <v/>
      </c>
      <c r="NA15" s="80">
        <f t="shared" si="22"/>
        <v>8281440.7232754277</v>
      </c>
      <c r="NB15" s="80">
        <f t="shared" si="187"/>
        <v>2070360.1808188569</v>
      </c>
      <c r="NC15" s="80" t="str">
        <f t="shared" si="188"/>
        <v/>
      </c>
      <c r="ND15" s="80" t="str">
        <f t="shared" si="189"/>
        <v/>
      </c>
      <c r="NE15" s="80" t="str">
        <f t="shared" si="23"/>
        <v/>
      </c>
      <c r="NF15" s="80" t="str">
        <f t="shared" si="190"/>
        <v/>
      </c>
      <c r="NG15" s="80">
        <f t="shared" si="24"/>
        <v>1526.7777482565925</v>
      </c>
      <c r="NH15" s="80">
        <f t="shared" si="25"/>
        <v>8281440.7232754277</v>
      </c>
      <c r="NI15" s="80">
        <f t="shared" si="191"/>
        <v>4140720.3616377139</v>
      </c>
      <c r="NJ15" s="80">
        <f t="shared" si="192"/>
        <v>2070360.1808188569</v>
      </c>
    </row>
    <row r="16" spans="1:374" x14ac:dyDescent="0.25">
      <c r="A16" s="71" t="s">
        <v>408</v>
      </c>
      <c r="B16" s="87"/>
      <c r="C16" s="87">
        <v>281</v>
      </c>
      <c r="D16" s="71" t="s">
        <v>425</v>
      </c>
      <c r="E16" s="71" t="s">
        <v>399</v>
      </c>
      <c r="F16" s="87" t="s">
        <v>399</v>
      </c>
      <c r="G16" s="71" t="s">
        <v>417</v>
      </c>
      <c r="H16" s="71" t="str">
        <f t="shared" si="26"/>
        <v>Ibirite CBA 281 All</v>
      </c>
      <c r="I16" s="71" t="s">
        <v>401</v>
      </c>
      <c r="J16" s="71" t="s">
        <v>402</v>
      </c>
      <c r="K16" s="71" t="s">
        <v>403</v>
      </c>
      <c r="L16" s="72">
        <v>0</v>
      </c>
      <c r="M16" s="72">
        <v>2020</v>
      </c>
      <c r="N16" s="73">
        <f>DATE(2027,12,31)</f>
        <v>46752</v>
      </c>
      <c r="O16" s="74">
        <v>0</v>
      </c>
      <c r="P16" s="74">
        <v>246.8224595537697</v>
      </c>
      <c r="Q16" s="74">
        <v>304.3018374134453</v>
      </c>
      <c r="R16" s="74">
        <v>311.48007175044842</v>
      </c>
      <c r="S16" s="74">
        <v>320.63970489000855</v>
      </c>
      <c r="T16" s="74">
        <v>299.46586903108641</v>
      </c>
      <c r="U16" s="74">
        <v>290.81427574097188</v>
      </c>
      <c r="V16" s="74">
        <v>635.68627450980387</v>
      </c>
      <c r="W16" s="74">
        <v>635.6867779204108</v>
      </c>
      <c r="X16" s="74">
        <v>0</v>
      </c>
      <c r="Y16" s="74">
        <v>94570</v>
      </c>
      <c r="Z16" s="74">
        <v>91705</v>
      </c>
      <c r="AA16" s="74">
        <v>91428</v>
      </c>
      <c r="AB16" s="74">
        <v>88916</v>
      </c>
      <c r="AC16" s="74">
        <v>93610</v>
      </c>
      <c r="AD16" s="74">
        <v>94538</v>
      </c>
      <c r="AE16" s="74">
        <v>43350</v>
      </c>
      <c r="AF16" s="74">
        <v>38950</v>
      </c>
      <c r="AG16" s="74">
        <v>186.20423241130544</v>
      </c>
      <c r="AH16" s="74">
        <v>4.0652178788458766</v>
      </c>
      <c r="AI16" s="74">
        <v>30.253497313846204</v>
      </c>
      <c r="AJ16" s="74"/>
      <c r="AK16" s="74">
        <v>5.6868497247193632</v>
      </c>
      <c r="AL16" s="74">
        <v>1.1999150364328175</v>
      </c>
      <c r="AM16" s="74">
        <v>0</v>
      </c>
      <c r="AN16" s="74">
        <v>11.218367888949423</v>
      </c>
      <c r="AO16" s="74">
        <v>5.8162855148194375</v>
      </c>
      <c r="AP16" s="74">
        <v>326.31648644132031</v>
      </c>
      <c r="AQ16" s="74">
        <v>326.31648644132031</v>
      </c>
      <c r="AR16" s="74">
        <v>320</v>
      </c>
      <c r="AS16" s="74">
        <v>233.47711197377399</v>
      </c>
      <c r="AT16" s="74">
        <v>9.2442968241234418</v>
      </c>
      <c r="AU16" s="74">
        <v>65.883223449644461</v>
      </c>
      <c r="AV16" s="74"/>
      <c r="AW16" s="74">
        <v>4.5377627576812802</v>
      </c>
      <c r="AX16" s="74">
        <v>12.808664321609395</v>
      </c>
      <c r="AY16" s="74">
        <v>0</v>
      </c>
      <c r="AZ16" s="74">
        <v>7.7507633399594082</v>
      </c>
      <c r="BA16" s="74">
        <v>22.493231579062154</v>
      </c>
      <c r="BB16" s="74">
        <v>326.11483325750771</v>
      </c>
      <c r="BC16" s="74">
        <v>326.11483325750771</v>
      </c>
      <c r="BD16" s="74">
        <v>76992</v>
      </c>
      <c r="BE16" s="74">
        <v>167.55320302885568</v>
      </c>
      <c r="BF16" s="74">
        <v>9.166298503063075</v>
      </c>
      <c r="BG16" s="74">
        <v>47.571452506093777</v>
      </c>
      <c r="BH16" s="74"/>
      <c r="BI16" s="74">
        <v>4.3419882238110832</v>
      </c>
      <c r="BJ16" s="74">
        <v>12.01497162297918</v>
      </c>
      <c r="BK16" s="74">
        <v>0</v>
      </c>
      <c r="BL16" s="74">
        <v>6.4952055529585504</v>
      </c>
      <c r="BM16" s="74">
        <v>12.971595506697497</v>
      </c>
      <c r="BN16" s="74">
        <v>477.18221496915532</v>
      </c>
      <c r="BO16" s="74">
        <v>477.18221496915532</v>
      </c>
      <c r="BP16" s="74">
        <v>124825.73550996631</v>
      </c>
      <c r="BQ16" s="74">
        <v>312.83201489750201</v>
      </c>
      <c r="BR16" s="74">
        <v>17.812024434857296</v>
      </c>
      <c r="BS16" s="74">
        <v>76.158256311756162</v>
      </c>
      <c r="BT16" s="74"/>
      <c r="BU16" s="74">
        <v>5.4781990769524969</v>
      </c>
      <c r="BV16" s="74">
        <v>14.481876094464821</v>
      </c>
      <c r="BW16" s="74">
        <v>0</v>
      </c>
      <c r="BX16" s="74">
        <v>11.751250878211856</v>
      </c>
      <c r="BY16" s="74">
        <v>15.123862045204906</v>
      </c>
      <c r="BZ16" s="74">
        <v>633.15944836533572</v>
      </c>
      <c r="CA16" s="74">
        <v>633.15944836533572</v>
      </c>
      <c r="CB16" s="74">
        <v>134568</v>
      </c>
      <c r="CC16" s="74">
        <v>430.24708215350421</v>
      </c>
      <c r="CD16" s="74">
        <v>11.913994089439424</v>
      </c>
      <c r="CE16" s="74">
        <v>82.177441833605002</v>
      </c>
      <c r="CF16" s="74"/>
      <c r="CG16" s="74">
        <v>7.4553217553839568</v>
      </c>
      <c r="CH16" s="74">
        <v>12.100933999566838</v>
      </c>
      <c r="CI16" s="74">
        <v>0</v>
      </c>
      <c r="CJ16" s="74">
        <v>13.639291558866136</v>
      </c>
      <c r="CK16" s="74">
        <v>15.710177630974513</v>
      </c>
      <c r="CL16" s="74">
        <v>658.64145629188454</v>
      </c>
      <c r="CM16" s="74">
        <v>658.64145629188454</v>
      </c>
      <c r="CN16" s="74">
        <v>149989.04603525207</v>
      </c>
      <c r="CO16" s="74">
        <v>437.44502226027765</v>
      </c>
      <c r="CP16" s="74">
        <v>13.119252514349402</v>
      </c>
      <c r="CQ16" s="74">
        <v>79.216183405203651</v>
      </c>
      <c r="CR16" s="74"/>
      <c r="CS16" s="74">
        <v>6.0874057007389908</v>
      </c>
      <c r="CT16" s="74">
        <v>10.605614856257816</v>
      </c>
      <c r="CU16" s="74">
        <v>0</v>
      </c>
      <c r="CV16" s="74">
        <v>15.119833294904076</v>
      </c>
      <c r="CW16" s="74">
        <v>15.864759277547856</v>
      </c>
      <c r="CX16" s="74">
        <v>605.41882718939257</v>
      </c>
      <c r="CY16" s="74">
        <v>605.41882718939257</v>
      </c>
      <c r="CZ16" s="74">
        <v>186139.00190874789</v>
      </c>
      <c r="DA16" s="74">
        <v>396.69920452490146</v>
      </c>
      <c r="DB16" s="74">
        <v>10.005842675632522</v>
      </c>
      <c r="DC16" s="74">
        <v>77.073189850824335</v>
      </c>
      <c r="DD16" s="74"/>
      <c r="DE16" s="74">
        <v>6.0187034935059449</v>
      </c>
      <c r="DF16" s="74">
        <v>9.9585412280077268</v>
      </c>
      <c r="DG16" s="74">
        <v>0</v>
      </c>
      <c r="DH16" s="74">
        <v>15.900040744086532</v>
      </c>
      <c r="DI16" s="74">
        <v>14.101258436688601</v>
      </c>
      <c r="DJ16" s="74">
        <v>660.74300491914835</v>
      </c>
      <c r="DK16" s="74">
        <v>660.74300491914835</v>
      </c>
      <c r="DL16" s="74">
        <v>186139.00190874789</v>
      </c>
      <c r="DM16" s="75">
        <f t="shared" si="0"/>
        <v>122990043.45383717</v>
      </c>
      <c r="DN16" s="75">
        <f t="shared" si="1"/>
        <v>16433358.117535401</v>
      </c>
      <c r="DO16" s="76">
        <f t="shared" si="2"/>
        <v>0.1336153533737344</v>
      </c>
      <c r="DP16" s="74">
        <v>430.09923575043484</v>
      </c>
      <c r="DQ16" s="74">
        <v>13.231028525897775</v>
      </c>
      <c r="DR16" s="74">
        <v>84.501461703086036</v>
      </c>
      <c r="DS16" s="74"/>
      <c r="DT16" s="74">
        <v>6.3058555950568804</v>
      </c>
      <c r="DU16" s="74">
        <v>10.411208194473277</v>
      </c>
      <c r="DV16" s="74">
        <v>0</v>
      </c>
      <c r="DW16" s="74">
        <v>16.956881892589621</v>
      </c>
      <c r="DX16" s="74">
        <v>10.951923166114701</v>
      </c>
      <c r="DY16" s="74"/>
      <c r="DZ16" s="74">
        <v>655.37877853004557</v>
      </c>
      <c r="EA16" s="74">
        <v>193238.6747686686</v>
      </c>
      <c r="EB16" s="74"/>
      <c r="EC16" s="74"/>
      <c r="ED16" s="74"/>
      <c r="EE16" s="74"/>
      <c r="EF16" s="74"/>
      <c r="EG16" s="74"/>
      <c r="EH16" s="74"/>
      <c r="EI16" s="74"/>
      <c r="EJ16" s="74"/>
      <c r="EK16" s="74">
        <v>619.4790821229235</v>
      </c>
      <c r="EL16" s="74">
        <v>195372</v>
      </c>
      <c r="EM16" s="74" t="s">
        <v>404</v>
      </c>
      <c r="EN16" s="77">
        <f t="shared" si="27"/>
        <v>186.20423241130544</v>
      </c>
      <c r="EO16" s="77">
        <f t="shared" si="28"/>
        <v>233.47711197377399</v>
      </c>
      <c r="EP16" s="77">
        <f t="shared" si="29"/>
        <v>167.55320302885568</v>
      </c>
      <c r="EQ16" s="77">
        <f t="shared" si="30"/>
        <v>312.83201489750201</v>
      </c>
      <c r="ER16" s="77">
        <f t="shared" si="31"/>
        <v>430.24708215350421</v>
      </c>
      <c r="ES16" s="77">
        <f t="shared" si="32"/>
        <v>437.44502226027765</v>
      </c>
      <c r="ET16" s="77">
        <f t="shared" si="33"/>
        <v>396.69920452490146</v>
      </c>
      <c r="EU16" s="77">
        <f t="shared" si="34"/>
        <v>430.09923575043484</v>
      </c>
      <c r="EV16" s="77">
        <f t="shared" si="35"/>
        <v>-243.8950033391294</v>
      </c>
      <c r="EW16" s="77">
        <f t="shared" si="36"/>
        <v>-196.62212377666086</v>
      </c>
      <c r="EX16" s="77">
        <f t="shared" si="37"/>
        <v>-262.54603272157919</v>
      </c>
      <c r="EY16" s="77">
        <f t="shared" si="38"/>
        <v>-117.26722085293284</v>
      </c>
      <c r="EZ16" s="77">
        <f t="shared" si="39"/>
        <v>0</v>
      </c>
      <c r="FA16" s="77">
        <f t="shared" si="40"/>
        <v>0</v>
      </c>
      <c r="FB16" s="77">
        <f t="shared" si="41"/>
        <v>-33.400031225533382</v>
      </c>
      <c r="FC16" s="77"/>
      <c r="FD16" s="77">
        <f t="shared" si="42"/>
        <v>4.0652178788458766</v>
      </c>
      <c r="FE16" s="77">
        <f t="shared" si="43"/>
        <v>9.2442968241234418</v>
      </c>
      <c r="FF16" s="77">
        <f t="shared" si="44"/>
        <v>9.166298503063075</v>
      </c>
      <c r="FG16" s="77">
        <f t="shared" si="45"/>
        <v>17.812024434857296</v>
      </c>
      <c r="FH16" s="77">
        <f t="shared" si="46"/>
        <v>11.913994089439424</v>
      </c>
      <c r="FI16" s="77">
        <f t="shared" si="47"/>
        <v>13.119252514349402</v>
      </c>
      <c r="FJ16" s="77">
        <f t="shared" si="48"/>
        <v>10.005842675632522</v>
      </c>
      <c r="FK16" s="77">
        <f t="shared" si="49"/>
        <v>13.231028525897775</v>
      </c>
      <c r="FL16" s="77">
        <f t="shared" si="50"/>
        <v>-9.1658106470518987</v>
      </c>
      <c r="FM16" s="77">
        <f t="shared" si="51"/>
        <v>-3.9867317017743336</v>
      </c>
      <c r="FN16" s="77">
        <f t="shared" si="52"/>
        <v>-4.0647300228347003</v>
      </c>
      <c r="FO16" s="77">
        <f t="shared" si="53"/>
        <v>0</v>
      </c>
      <c r="FP16" s="77">
        <f t="shared" si="54"/>
        <v>-1.3170344364583517</v>
      </c>
      <c r="FQ16" s="77">
        <f t="shared" si="55"/>
        <v>-0.11177601154837369</v>
      </c>
      <c r="FR16" s="77">
        <f t="shared" si="56"/>
        <v>-3.2251858502652535</v>
      </c>
      <c r="FS16" s="77"/>
      <c r="FT16" s="77">
        <f t="shared" si="57"/>
        <v>30.253497313846204</v>
      </c>
      <c r="FU16" s="77">
        <f t="shared" si="58"/>
        <v>65.883223449644461</v>
      </c>
      <c r="FV16" s="77">
        <f t="shared" si="59"/>
        <v>47.571452506093777</v>
      </c>
      <c r="FW16" s="77">
        <f t="shared" si="60"/>
        <v>76.158256311756162</v>
      </c>
      <c r="FX16" s="77">
        <f t="shared" si="61"/>
        <v>82.177441833605002</v>
      </c>
      <c r="FY16" s="77">
        <f t="shared" si="62"/>
        <v>79.216183405203651</v>
      </c>
      <c r="FZ16" s="77">
        <f t="shared" si="63"/>
        <v>77.073189850824335</v>
      </c>
      <c r="GA16" s="77">
        <f t="shared" si="64"/>
        <v>84.501461703086036</v>
      </c>
      <c r="GB16" s="77">
        <f t="shared" si="65"/>
        <v>-54.247964389239833</v>
      </c>
      <c r="GC16" s="77">
        <f t="shared" si="66"/>
        <v>-18.618238253441575</v>
      </c>
      <c r="GD16" s="77">
        <f t="shared" si="67"/>
        <v>-36.930009196992259</v>
      </c>
      <c r="GE16" s="77">
        <f t="shared" si="68"/>
        <v>-8.3432053913298745</v>
      </c>
      <c r="GF16" s="77">
        <f t="shared" si="69"/>
        <v>-2.3240198694810346</v>
      </c>
      <c r="GG16" s="77">
        <f t="shared" si="70"/>
        <v>-5.2852782978823853</v>
      </c>
      <c r="GH16" s="77">
        <f t="shared" si="71"/>
        <v>-7.4282718522617017</v>
      </c>
      <c r="GI16" s="77"/>
      <c r="GJ16" s="77" t="str">
        <f t="shared" si="72"/>
        <v/>
      </c>
      <c r="GK16" s="77" t="str">
        <f t="shared" si="73"/>
        <v/>
      </c>
      <c r="GL16" s="77" t="str">
        <f t="shared" si="74"/>
        <v/>
      </c>
      <c r="GM16" s="77" t="str">
        <f t="shared" si="75"/>
        <v/>
      </c>
      <c r="GN16" s="77" t="str">
        <f t="shared" si="76"/>
        <v/>
      </c>
      <c r="GO16" s="77" t="str">
        <f t="shared" si="77"/>
        <v/>
      </c>
      <c r="GP16" s="77" t="str">
        <f t="shared" si="78"/>
        <v/>
      </c>
      <c r="GQ16" s="77" t="str">
        <f t="shared" si="79"/>
        <v/>
      </c>
      <c r="GR16" s="77" t="str">
        <f t="shared" si="80"/>
        <v/>
      </c>
      <c r="GS16" s="77" t="str">
        <f t="shared" si="81"/>
        <v/>
      </c>
      <c r="GT16" s="77" t="str">
        <f t="shared" si="82"/>
        <v/>
      </c>
      <c r="GU16" s="77" t="str">
        <f t="shared" si="83"/>
        <v/>
      </c>
      <c r="GV16" s="77" t="str">
        <f t="shared" si="84"/>
        <v/>
      </c>
      <c r="GW16" s="77" t="str">
        <f t="shared" si="85"/>
        <v/>
      </c>
      <c r="GX16" s="77" t="str">
        <f t="shared" si="86"/>
        <v/>
      </c>
      <c r="GY16" s="77"/>
      <c r="GZ16" s="77">
        <f t="shared" si="87"/>
        <v>5.6868497247193632</v>
      </c>
      <c r="HA16" s="77">
        <f t="shared" si="88"/>
        <v>4.5377627576812802</v>
      </c>
      <c r="HB16" s="77">
        <f t="shared" si="89"/>
        <v>4.3419882238110832</v>
      </c>
      <c r="HC16" s="77">
        <f t="shared" si="90"/>
        <v>5.4781990769524969</v>
      </c>
      <c r="HD16" s="77">
        <f t="shared" si="91"/>
        <v>7.4553217553839568</v>
      </c>
      <c r="HE16" s="77">
        <f t="shared" si="92"/>
        <v>6.0874057007389908</v>
      </c>
      <c r="HF16" s="77">
        <f t="shared" si="93"/>
        <v>6.0187034935059449</v>
      </c>
      <c r="HG16" s="77">
        <f t="shared" si="94"/>
        <v>6.3058555950568804</v>
      </c>
      <c r="HH16" s="77">
        <f t="shared" si="95"/>
        <v>-0.61900587033751719</v>
      </c>
      <c r="HI16" s="77">
        <f t="shared" si="96"/>
        <v>-1.7680928373756002</v>
      </c>
      <c r="HJ16" s="77">
        <f t="shared" si="97"/>
        <v>-1.9638673712457972</v>
      </c>
      <c r="HK16" s="77">
        <f t="shared" si="98"/>
        <v>-0.82765651810438357</v>
      </c>
      <c r="HL16" s="77">
        <f t="shared" si="99"/>
        <v>0</v>
      </c>
      <c r="HM16" s="77">
        <f t="shared" si="100"/>
        <v>-0.21844989431788964</v>
      </c>
      <c r="HN16" s="77">
        <f t="shared" si="101"/>
        <v>-0.28715210155093551</v>
      </c>
      <c r="HO16" s="77"/>
      <c r="HP16" s="77">
        <f t="shared" si="102"/>
        <v>5.8162855148194375</v>
      </c>
      <c r="HQ16" s="77">
        <f t="shared" si="103"/>
        <v>22.493231579062154</v>
      </c>
      <c r="HR16" s="77">
        <f t="shared" si="104"/>
        <v>12.971595506697497</v>
      </c>
      <c r="HS16" s="77">
        <f t="shared" si="105"/>
        <v>15.123862045204906</v>
      </c>
      <c r="HT16" s="77">
        <f t="shared" si="106"/>
        <v>15.710177630974513</v>
      </c>
      <c r="HU16" s="77">
        <f t="shared" si="107"/>
        <v>15.864759277547856</v>
      </c>
      <c r="HV16" s="77">
        <f t="shared" si="108"/>
        <v>14.101258436688601</v>
      </c>
      <c r="HW16" s="77">
        <f t="shared" si="109"/>
        <v>10.951923166114701</v>
      </c>
      <c r="HX16" s="77">
        <f t="shared" si="110"/>
        <v>-5.135637651295264</v>
      </c>
      <c r="HY16" s="77">
        <f t="shared" si="111"/>
        <v>0</v>
      </c>
      <c r="HZ16" s="77">
        <f t="shared" si="112"/>
        <v>0</v>
      </c>
      <c r="IA16" s="77">
        <f t="shared" si="113"/>
        <v>0</v>
      </c>
      <c r="IB16" s="77">
        <f t="shared" si="114"/>
        <v>0</v>
      </c>
      <c r="IC16" s="77">
        <f t="shared" si="115"/>
        <v>0</v>
      </c>
      <c r="ID16" s="77">
        <f t="shared" si="193"/>
        <v>0</v>
      </c>
      <c r="IE16" s="77"/>
      <c r="IF16" s="77">
        <f t="shared" si="116"/>
        <v>1.1999150364328175</v>
      </c>
      <c r="IG16" s="77">
        <f t="shared" si="117"/>
        <v>12.808664321609395</v>
      </c>
      <c r="IH16" s="77">
        <f t="shared" si="118"/>
        <v>12.01497162297918</v>
      </c>
      <c r="II16" s="77">
        <f t="shared" si="119"/>
        <v>14.481876094464821</v>
      </c>
      <c r="IJ16" s="77">
        <f t="shared" si="120"/>
        <v>12.100933999566838</v>
      </c>
      <c r="IK16" s="77">
        <f t="shared" si="121"/>
        <v>10.605614856257816</v>
      </c>
      <c r="IL16" s="77">
        <f t="shared" si="122"/>
        <v>9.9585412280077268</v>
      </c>
      <c r="IM16" s="77">
        <f t="shared" si="123"/>
        <v>10.411208194473277</v>
      </c>
      <c r="IN16" s="77">
        <f t="shared" si="124"/>
        <v>-9.2112931580404585</v>
      </c>
      <c r="IO16" s="77">
        <f t="shared" si="125"/>
        <v>0</v>
      </c>
      <c r="IP16" s="77">
        <f t="shared" si="126"/>
        <v>0</v>
      </c>
      <c r="IQ16" s="77">
        <f t="shared" si="127"/>
        <v>0</v>
      </c>
      <c r="IR16" s="77">
        <f t="shared" si="128"/>
        <v>0</v>
      </c>
      <c r="IS16" s="77">
        <f t="shared" si="129"/>
        <v>0</v>
      </c>
      <c r="IT16" s="77">
        <f t="shared" si="130"/>
        <v>-0.45266696646555005</v>
      </c>
      <c r="IU16" s="77"/>
      <c r="IV16" s="77">
        <f t="shared" si="131"/>
        <v>11.218367888949423</v>
      </c>
      <c r="IW16" s="77">
        <f t="shared" si="132"/>
        <v>7.7507633399594082</v>
      </c>
      <c r="IX16" s="77">
        <f t="shared" si="133"/>
        <v>6.4952055529585504</v>
      </c>
      <c r="IY16" s="77">
        <f t="shared" si="134"/>
        <v>11.751250878211856</v>
      </c>
      <c r="IZ16" s="77">
        <f t="shared" si="135"/>
        <v>13.639291558866136</v>
      </c>
      <c r="JA16" s="77">
        <f t="shared" si="136"/>
        <v>15.119833294904076</v>
      </c>
      <c r="JB16" s="77">
        <f t="shared" si="137"/>
        <v>15.900040744086532</v>
      </c>
      <c r="JC16" s="77">
        <f t="shared" si="138"/>
        <v>16.956881892589621</v>
      </c>
      <c r="JD16" s="77">
        <f t="shared" si="139"/>
        <v>-5.7385140036401978</v>
      </c>
      <c r="JE16" s="77">
        <f t="shared" si="140"/>
        <v>-9.2061185526302118</v>
      </c>
      <c r="JF16" s="77">
        <f t="shared" si="141"/>
        <v>-10.461676339631071</v>
      </c>
      <c r="JG16" s="77">
        <f t="shared" si="142"/>
        <v>-5.2056310143777651</v>
      </c>
      <c r="JH16" s="77">
        <f t="shared" si="143"/>
        <v>-3.3175903337234853</v>
      </c>
      <c r="JI16" s="77">
        <f t="shared" si="144"/>
        <v>-1.8370485976855448</v>
      </c>
      <c r="JJ16" s="77">
        <f t="shared" si="145"/>
        <v>-1.0568411485030893</v>
      </c>
      <c r="JK16" s="77"/>
      <c r="JL16" s="77">
        <f t="shared" si="146"/>
        <v>0</v>
      </c>
      <c r="JM16" s="77">
        <f t="shared" si="147"/>
        <v>0</v>
      </c>
      <c r="JN16" s="77">
        <f t="shared" si="148"/>
        <v>0</v>
      </c>
      <c r="JO16" s="77">
        <f t="shared" si="149"/>
        <v>0</v>
      </c>
      <c r="JP16" s="77">
        <f t="shared" si="150"/>
        <v>0</v>
      </c>
      <c r="JQ16" s="77">
        <f t="shared" si="151"/>
        <v>0</v>
      </c>
      <c r="JR16" s="77">
        <f t="shared" si="152"/>
        <v>0</v>
      </c>
      <c r="JS16" s="77">
        <f t="shared" si="153"/>
        <v>0</v>
      </c>
      <c r="JT16" s="77">
        <f t="shared" si="154"/>
        <v>0</v>
      </c>
      <c r="JU16" s="77">
        <f t="shared" si="155"/>
        <v>0</v>
      </c>
      <c r="JV16" s="77">
        <f t="shared" si="156"/>
        <v>0</v>
      </c>
      <c r="JW16" s="77">
        <f t="shared" si="157"/>
        <v>0</v>
      </c>
      <c r="JX16" s="77">
        <f t="shared" si="158"/>
        <v>0</v>
      </c>
      <c r="JY16" s="77">
        <f t="shared" si="159"/>
        <v>0</v>
      </c>
      <c r="JZ16" s="77">
        <f t="shared" si="160"/>
        <v>0</v>
      </c>
      <c r="KA16" s="77"/>
      <c r="KB16" s="77">
        <f t="shared" si="161"/>
        <v>244.44436576891857</v>
      </c>
      <c r="KC16" s="77">
        <f t="shared" si="3"/>
        <v>356.19505424585412</v>
      </c>
      <c r="KD16" s="77">
        <f t="shared" si="3"/>
        <v>260.11471494445885</v>
      </c>
      <c r="KE16" s="77">
        <f t="shared" si="3"/>
        <v>453.63748373894958</v>
      </c>
      <c r="KF16" s="77">
        <f t="shared" si="3"/>
        <v>573.24424302134003</v>
      </c>
      <c r="KG16" s="77">
        <f t="shared" si="3"/>
        <v>577.45807130927938</v>
      </c>
      <c r="KH16" s="77">
        <f t="shared" si="3"/>
        <v>529.75678095364708</v>
      </c>
      <c r="KI16" s="77">
        <f t="shared" si="3"/>
        <v>572.45759482765322</v>
      </c>
      <c r="KJ16" s="77">
        <f t="shared" si="3"/>
        <v>-328.01322905873457</v>
      </c>
      <c r="KK16" s="77">
        <f t="shared" si="4"/>
        <v>-230.2013051218826</v>
      </c>
      <c r="KL16" s="77">
        <f t="shared" si="4"/>
        <v>-315.96631565228301</v>
      </c>
      <c r="KM16" s="77">
        <f t="shared" si="4"/>
        <v>-131.64371377674485</v>
      </c>
      <c r="KN16" s="77">
        <f t="shared" si="4"/>
        <v>-6.9586446396628716</v>
      </c>
      <c r="KO16" s="77">
        <f t="shared" si="4"/>
        <v>-7.4525528014341935</v>
      </c>
      <c r="KP16" s="77">
        <f t="shared" si="4"/>
        <v>-45.850149144579916</v>
      </c>
      <c r="KQ16" s="78"/>
      <c r="KR16" s="77">
        <f t="shared" si="162"/>
        <v>-243.8950033391294</v>
      </c>
      <c r="KS16" s="77">
        <f t="shared" si="163"/>
        <v>0.74355233793164233</v>
      </c>
      <c r="KT16" s="77">
        <f t="shared" si="5"/>
        <v>-196.62212377666086</v>
      </c>
      <c r="KU16" s="79">
        <f t="shared" si="164"/>
        <v>0.85413122950174902</v>
      </c>
      <c r="KV16" s="77">
        <f t="shared" si="6"/>
        <v>-262.54603272157919</v>
      </c>
      <c r="KW16" s="79">
        <f t="shared" si="165"/>
        <v>0.83093044959421503</v>
      </c>
      <c r="KX16" s="77">
        <f t="shared" si="7"/>
        <v>-117.26722085293284</v>
      </c>
      <c r="KY16" s="79">
        <f t="shared" si="166"/>
        <v>0.8907924084533716</v>
      </c>
      <c r="KZ16" s="77">
        <f t="shared" si="8"/>
        <v>-3.3175903337234853</v>
      </c>
      <c r="LA16" s="79">
        <f t="shared" si="167"/>
        <v>0.47675811965075632</v>
      </c>
      <c r="LB16" s="77">
        <f t="shared" si="9"/>
        <v>-5.2852782978823853</v>
      </c>
      <c r="LC16" s="79">
        <f t="shared" si="168"/>
        <v>0.70919031890190287</v>
      </c>
      <c r="LD16" s="77">
        <f t="shared" si="10"/>
        <v>-33.400031225533382</v>
      </c>
      <c r="LE16" s="79">
        <f t="shared" si="169"/>
        <v>0.7284606887583418</v>
      </c>
      <c r="LF16" s="77" t="str" cm="1">
        <f t="array" ref="LF16">IFERROR(_xlfn.IFS(KR16=EV16,"Material",KR16=FL16,"Direct Labor",KR16=GB16,"Variable Overhead",KR16=GR16,"Indirect Labor",KR16=HH16,"Fixed Overhead",KR16=HX16,"SG&amp;A",KR16=IN16,"Depreciation",KR16=JD16,"Corporate allocation",KR16=JT16,"Amortized Tooling"),"")</f>
        <v>Material</v>
      </c>
      <c r="LG16" s="77" t="str" cm="1">
        <f t="array" ref="LG16">IFERROR(_xlfn.IFS(KT16=EW16,"Material",KT16=FM16,"Direct Labor",KT16=GC16,"Variable Overhead",KT16=GS16,"Indirect Labor",KT16=HI16,"Fixed Overhead",KT16=HY16,"SG&amp;A",KT16=IO16,"Depreciation",KT16=JE16,"Corporate Allocation",KT16=JU16,"Amortized Tooling"),"")</f>
        <v>Material</v>
      </c>
      <c r="LH16" s="77" t="str" cm="1">
        <f t="array" ref="LH16">IFERROR(_xlfn.IFS(KV16=EX16,"Material",KV16=FN16,"Direct Labor",KV16=GD16,"Variable Overhead",KV16=GT16,"Indirect Labor",KV16=HJ16,"Fixed Overhead",KV16=HZ16,"SG&amp;A",KV16=IP16,"Depreciation",KV16=JF16,"Corporate Allocation",KV16=JV16,"Amortized Tooling"),"")</f>
        <v>Material</v>
      </c>
      <c r="LI16" s="77" t="str" cm="1">
        <f t="array" ref="LI16">IFERROR(_xlfn.IFS(KX16=EY16,"Material",KX16=FO16,"Direct Labor",KX16=GE16,"Variable Overhead",KX16=GU16,"Indirect Labor",KX16=HK16,"Fixed Overhead",KX16=IA16,"SG&amp;A",KX16=IQ16,"Depreciation",KX16=JG16,"Corporate Allocation",KX16=JW16,"Amortized Tooling"),"")</f>
        <v>Material</v>
      </c>
      <c r="LJ16" s="77" t="str" cm="1">
        <f t="array" ref="LJ16">IFERROR(_xlfn.IFS(KZ16=EZ16,"Material",KZ16=FP16,"Direct Labor",KZ16=GF16,"Variable Overhead",KZ16=GV16,"Indirect Labor",KZ16=HL16,"Fixed Overhead",KZ16=IB16,"SG&amp;A",KZ16=IR16,"Depreciation",KZ16=JH16,"Corporate Allocation",KZ16=JX16,"Amortized Tooling"),"")</f>
        <v>Corporate Allocation</v>
      </c>
      <c r="LK16" s="77" t="str" cm="1">
        <f t="array" ref="LK16">IFERROR(_xlfn.IFS(LB16=FA16,"Material",LB16=FQ16,"Direct Labor",LB16=GG16,"Variable Overhead",LB16=GW16,"Indirect Labor",LB16=HM16,"Fixed Overhead",LB16=IC16,"SG&amp;A",LB16=IS16,"Depreciation",LB16=JI16,"Corporate Allocation",LB16=JY16,"Amortized Tooling"),"")</f>
        <v>Variable Overhead</v>
      </c>
      <c r="LL16" s="77" t="str" cm="1">
        <f t="array" ref="LL16">IFERROR(_xlfn.IFS(LD16=FB16,"Material",LD16=FR16,"Direct Labor",LD16=GH16,"Variable Overhead",LD16=GX16,"Indirect Labor",LD16=HN16,"Fixed Overhead",LD16=ID16,"SG&amp;A",LD16=IT16,"Depreciation",LD16=JJ16,"Corporate Allocation",LD16=JZ16,"Amortized Tooling"),"")</f>
        <v>Material</v>
      </c>
      <c r="LM16" s="77" cm="1">
        <f t="array" ref="LM16">_xlfn.IFS(DL16="","",LN16="0% EBIT target","",LN16="12% EBIT target","",LN16="At quote",KJ16,LN16="2019",KK16,LN16="2020",KL16,LN16="2021",KM16,LN16="2022",KN16,LN16="2023",KO16,LN16="2024",KP16)</f>
        <v>-315.96631565228301</v>
      </c>
      <c r="LN16" s="77" t="str">
        <f t="shared" si="170"/>
        <v>2020</v>
      </c>
      <c r="LO16" s="77" cm="1">
        <f t="array" ref="LO16">IFERROR(_xlfn.IFS(MN16="0% EBIT target","",MN16="12% EBIT target","",LN16="At quote",KR16,LN16="2019",KT16,LN16="2020",KV16,LN16="2021",KX16,LN16="2022",KZ16,LN16="2023",LB16,LN16="2024",LD16),"")</f>
        <v>-262.54603272157919</v>
      </c>
      <c r="LP16" s="78" t="str" cm="1">
        <f t="array" ref="LP16">IFERROR(_xlfn.IFS(MN16="0% EBIT target","",MN16="12% EBIT target","",LN16="At quote",LF16,LN16="2019",LG16,LN16="2020",LH16,LN16="2021",LI16,LN16="2022",LJ16,LN16="2023",LK16,LN16="2024",LL16),"")</f>
        <v>Material</v>
      </c>
      <c r="LQ16" s="79">
        <f t="shared" si="11"/>
        <v>0.83093044959421503</v>
      </c>
      <c r="LR16" s="78"/>
      <c r="LS16" s="79">
        <f t="shared" si="12"/>
        <v>1.3418727325824986</v>
      </c>
      <c r="LT16" s="79">
        <f t="shared" si="12"/>
        <v>0.64627878006130957</v>
      </c>
      <c r="LU16" s="79">
        <f t="shared" si="12"/>
        <v>1.2147191123722081</v>
      </c>
      <c r="LV16" s="79">
        <f t="shared" si="12"/>
        <v>0.29019584689456701</v>
      </c>
      <c r="LW16" s="79">
        <f t="shared" si="12"/>
        <v>1.2139057172186593E-2</v>
      </c>
      <c r="LX16" s="79">
        <f t="shared" si="12"/>
        <v>1.2905790345153387E-2</v>
      </c>
      <c r="LY16" s="79">
        <f t="shared" si="12"/>
        <v>8.6549433236215126E-2</v>
      </c>
      <c r="LZ16" s="79" t="str">
        <f t="shared" si="13"/>
        <v/>
      </c>
      <c r="MA16" s="79" t="str">
        <f t="shared" si="14"/>
        <v/>
      </c>
      <c r="MB16" s="79">
        <f t="shared" si="171"/>
        <v>1.3418727325824986</v>
      </c>
      <c r="MC16" s="80">
        <f t="shared" si="15"/>
        <v>660.74300491914835</v>
      </c>
      <c r="MD16" s="80">
        <f t="shared" si="172"/>
        <v>681.05002260351</v>
      </c>
      <c r="ME16" s="80">
        <f t="shared" si="173"/>
        <v>537.20790721250967</v>
      </c>
      <c r="MF16" s="80">
        <f t="shared" si="174"/>
        <v>722.25275404347815</v>
      </c>
      <c r="MG16" s="80">
        <f t="shared" si="175"/>
        <v>615.65851196515473</v>
      </c>
      <c r="MH16" s="80">
        <f t="shared" si="176"/>
        <v>640.8454071081527</v>
      </c>
      <c r="MI16" s="80">
        <f t="shared" si="177"/>
        <v>667.14174483941417</v>
      </c>
      <c r="MJ16" s="80">
        <f t="shared" si="178"/>
        <v>657.81748355316859</v>
      </c>
      <c r="MK16" s="80" t="str">
        <f t="shared" si="16"/>
        <v/>
      </c>
      <c r="ML16" s="80" t="str">
        <f t="shared" si="16"/>
        <v/>
      </c>
      <c r="MM16" s="80">
        <f t="shared" si="179"/>
        <v>722.25275404347815</v>
      </c>
      <c r="MN16" s="80" t="str" cm="1">
        <f t="array" ref="MN16">_xlfn.IFS(MC16="","",MM16=0,"",MM16=MD16,"At quote",MM16=ME16,"2019",MM16=MF16,"2020",MM16=MG16,"2021",MM16=MH16,"2022",MM16=MI16,"2023",MM16=MJ16,"2024",MM16=MK16,"0% EBIT target",MM16=ML16,"12% EBIT target")</f>
        <v>2020</v>
      </c>
      <c r="MO16" s="81">
        <f t="shared" si="180"/>
        <v>3779928.0035103709</v>
      </c>
      <c r="MP16" s="81">
        <f t="shared" si="181"/>
        <v>944982.00087759271</v>
      </c>
      <c r="MQ16" s="80" t="str">
        <f t="shared" si="17"/>
        <v/>
      </c>
      <c r="MR16" s="80" t="str">
        <f t="shared" si="182"/>
        <v/>
      </c>
      <c r="MS16" s="80">
        <f t="shared" si="18"/>
        <v>11449363.309660228</v>
      </c>
      <c r="MT16" s="80">
        <f t="shared" si="183"/>
        <v>2862340.827415057</v>
      </c>
      <c r="MU16" s="80" t="str">
        <f t="shared" si="19"/>
        <v/>
      </c>
      <c r="MV16" s="80" t="str">
        <f t="shared" si="184"/>
        <v/>
      </c>
      <c r="MW16" s="80" t="str">
        <f t="shared" si="20"/>
        <v/>
      </c>
      <c r="MX16" s="80" t="str">
        <f t="shared" si="185"/>
        <v/>
      </c>
      <c r="MY16" s="80">
        <f t="shared" si="21"/>
        <v>1191055.0622319418</v>
      </c>
      <c r="MZ16" s="80">
        <f t="shared" si="186"/>
        <v>297763.76555798546</v>
      </c>
      <c r="NA16" s="80" t="str">
        <f t="shared" si="22"/>
        <v/>
      </c>
      <c r="NB16" s="80" t="str">
        <f t="shared" si="187"/>
        <v/>
      </c>
      <c r="NC16" s="80" t="str">
        <f t="shared" si="188"/>
        <v/>
      </c>
      <c r="ND16" s="80" t="str">
        <f t="shared" si="189"/>
        <v/>
      </c>
      <c r="NE16" s="80" t="str">
        <f t="shared" si="23"/>
        <v/>
      </c>
      <c r="NF16" s="80" t="str">
        <f t="shared" si="190"/>
        <v/>
      </c>
      <c r="NG16" s="80">
        <f t="shared" si="24"/>
        <v>61.509749124329801</v>
      </c>
      <c r="NH16" s="80">
        <f t="shared" si="25"/>
        <v>11449363.309660228</v>
      </c>
      <c r="NI16" s="80">
        <f t="shared" si="191"/>
        <v>5724681.654830114</v>
      </c>
      <c r="NJ16" s="80">
        <f t="shared" si="192"/>
        <v>2862340.827415057</v>
      </c>
    </row>
    <row r="17" spans="1:374" x14ac:dyDescent="0.25">
      <c r="A17" s="88"/>
      <c r="B17" s="88"/>
      <c r="C17" s="88"/>
      <c r="D17" s="88"/>
      <c r="E17" s="89"/>
      <c r="F17" s="88"/>
      <c r="G17" s="88"/>
      <c r="H17" s="88" t="str">
        <f t="shared" si="26"/>
        <v xml:space="preserve">  </v>
      </c>
      <c r="I17" s="88"/>
      <c r="J17" s="88"/>
      <c r="K17" s="88"/>
      <c r="L17" s="88"/>
      <c r="M17" s="88"/>
      <c r="N17" s="88"/>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1"/>
      <c r="AR17" s="75"/>
      <c r="AS17" s="91"/>
      <c r="AT17" s="91"/>
      <c r="AU17" s="90"/>
      <c r="AV17" s="91"/>
      <c r="AW17" s="91"/>
      <c r="AX17" s="91"/>
      <c r="AY17" s="91"/>
      <c r="AZ17" s="91"/>
      <c r="BA17" s="91"/>
      <c r="BB17" s="90"/>
      <c r="BC17" s="91"/>
      <c r="BD17" s="75"/>
      <c r="BE17" s="91"/>
      <c r="BF17" s="91"/>
      <c r="BG17" s="90"/>
      <c r="BH17" s="91"/>
      <c r="BI17" s="91"/>
      <c r="BJ17" s="91"/>
      <c r="BK17" s="91"/>
      <c r="BL17" s="91"/>
      <c r="BM17" s="91"/>
      <c r="BN17" s="90"/>
      <c r="BO17" s="91"/>
      <c r="BP17" s="75"/>
      <c r="BQ17" s="91"/>
      <c r="BR17" s="91"/>
      <c r="BS17" s="90"/>
      <c r="BT17" s="91"/>
      <c r="BU17" s="91"/>
      <c r="BV17" s="91"/>
      <c r="BW17" s="91"/>
      <c r="BX17" s="91"/>
      <c r="BY17" s="91"/>
      <c r="BZ17" s="90"/>
      <c r="CA17" s="91"/>
      <c r="CB17" s="75"/>
      <c r="CC17" s="91"/>
      <c r="CD17" s="91"/>
      <c r="CE17" s="90"/>
      <c r="CF17" s="91"/>
      <c r="CG17" s="91"/>
      <c r="CH17" s="91"/>
      <c r="CI17" s="91"/>
      <c r="CJ17" s="91"/>
      <c r="CK17" s="91"/>
      <c r="CL17" s="90"/>
      <c r="CM17" s="91"/>
      <c r="CN17" s="75"/>
      <c r="CO17" s="91"/>
      <c r="CP17" s="91"/>
      <c r="CQ17" s="90"/>
      <c r="CR17" s="91"/>
      <c r="CS17" s="91"/>
      <c r="CT17" s="91"/>
      <c r="CU17" s="91"/>
      <c r="CV17" s="91"/>
      <c r="CW17" s="91"/>
      <c r="CX17" s="90"/>
      <c r="CY17" s="91"/>
      <c r="CZ17" s="75"/>
      <c r="DA17" s="91"/>
      <c r="DB17" s="91"/>
      <c r="DC17" s="90"/>
      <c r="DD17" s="91"/>
      <c r="DE17" s="91"/>
      <c r="DF17" s="91"/>
      <c r="DG17" s="91"/>
      <c r="DH17" s="91"/>
      <c r="DI17" s="91"/>
      <c r="DJ17" s="90"/>
      <c r="DK17" s="91"/>
      <c r="DL17" s="75"/>
      <c r="DM17" s="75"/>
      <c r="DN17" s="75">
        <f t="shared" si="1"/>
        <v>0</v>
      </c>
      <c r="DO17" s="75" t="str">
        <f t="shared" si="2"/>
        <v/>
      </c>
      <c r="DP17" s="91"/>
      <c r="DQ17" s="91"/>
      <c r="DR17" s="90"/>
      <c r="DS17" s="91"/>
      <c r="DT17" s="91"/>
      <c r="DU17" s="91"/>
      <c r="DV17" s="91"/>
      <c r="DW17" s="91"/>
      <c r="DX17" s="91"/>
      <c r="DY17" s="90"/>
      <c r="DZ17" s="91"/>
      <c r="EA17" s="75"/>
      <c r="EB17" s="91"/>
      <c r="EC17" s="91"/>
      <c r="ED17" s="90"/>
      <c r="EE17" s="91"/>
      <c r="EF17" s="91"/>
      <c r="EG17" s="91"/>
      <c r="EH17" s="91"/>
      <c r="EI17" s="91"/>
      <c r="EJ17" s="91"/>
      <c r="EK17" s="90"/>
      <c r="EL17" s="90"/>
      <c r="EM17" s="88"/>
      <c r="EN17" s="92"/>
      <c r="EO17" s="92"/>
      <c r="EP17" s="92"/>
      <c r="EQ17" s="92"/>
      <c r="ER17" s="92"/>
      <c r="ES17" s="92"/>
      <c r="ET17" s="92"/>
      <c r="EU17" s="92"/>
      <c r="EV17" s="92"/>
      <c r="EW17" s="92"/>
      <c r="EX17" s="92"/>
      <c r="EY17" s="92"/>
      <c r="EZ17" s="92"/>
      <c r="FA17" s="92"/>
      <c r="FB17" s="92"/>
      <c r="FC17" s="92"/>
      <c r="FD17" s="92"/>
      <c r="FE17" s="92"/>
      <c r="FF17" s="92"/>
      <c r="FG17" s="92"/>
      <c r="FH17" s="92"/>
      <c r="FI17" s="92"/>
      <c r="FJ17" s="92"/>
      <c r="FK17" s="92"/>
      <c r="FL17" s="92"/>
      <c r="FM17" s="92"/>
      <c r="FN17" s="92"/>
      <c r="FO17" s="92"/>
      <c r="FP17" s="92"/>
      <c r="FQ17" s="92"/>
      <c r="FR17" s="92"/>
      <c r="FS17" s="92"/>
      <c r="FT17" s="92"/>
      <c r="FU17" s="92"/>
      <c r="FV17" s="92"/>
      <c r="FW17" s="92"/>
      <c r="FX17" s="92"/>
      <c r="FY17" s="92"/>
      <c r="FZ17" s="92"/>
      <c r="GA17" s="92"/>
      <c r="GB17" s="92"/>
      <c r="GC17" s="92"/>
      <c r="GD17" s="92"/>
      <c r="GE17" s="92"/>
      <c r="GF17" s="92"/>
      <c r="GG17" s="92"/>
      <c r="GH17" s="92"/>
      <c r="GI17" s="92"/>
      <c r="GJ17" s="92"/>
      <c r="GK17" s="92"/>
      <c r="GL17" s="92"/>
      <c r="GM17" s="92"/>
      <c r="GN17" s="92"/>
      <c r="GO17" s="92"/>
      <c r="GP17" s="92"/>
      <c r="GQ17" s="92"/>
      <c r="GR17" s="92"/>
      <c r="GS17" s="92"/>
      <c r="GT17" s="92"/>
      <c r="GU17" s="92"/>
      <c r="GV17" s="92"/>
      <c r="GW17" s="92"/>
      <c r="GX17" s="92"/>
      <c r="GY17" s="92"/>
      <c r="GZ17" s="92"/>
      <c r="HA17" s="92"/>
      <c r="HB17" s="92"/>
      <c r="HC17" s="92"/>
      <c r="HD17" s="92"/>
      <c r="HE17" s="92"/>
      <c r="HF17" s="92"/>
      <c r="HG17" s="92"/>
      <c r="HH17" s="92"/>
      <c r="HI17" s="92"/>
      <c r="HJ17" s="92"/>
      <c r="HK17" s="92"/>
      <c r="HL17" s="92"/>
      <c r="HM17" s="92"/>
      <c r="HN17" s="92"/>
      <c r="HO17" s="92"/>
      <c r="HP17" s="92"/>
      <c r="HQ17" s="92"/>
      <c r="HR17" s="92"/>
      <c r="HS17" s="92"/>
      <c r="HT17" s="92"/>
      <c r="HU17" s="92"/>
      <c r="HV17" s="92"/>
      <c r="HW17" s="92"/>
      <c r="HX17" s="92"/>
      <c r="HY17" s="92"/>
      <c r="HZ17" s="92"/>
      <c r="IA17" s="92"/>
      <c r="IB17" s="92"/>
      <c r="IC17" s="92"/>
      <c r="ID17" s="92"/>
      <c r="IE17" s="92"/>
      <c r="IF17" s="92"/>
      <c r="IG17" s="92"/>
      <c r="IH17" s="92"/>
      <c r="II17" s="92"/>
      <c r="IJ17" s="92"/>
      <c r="IK17" s="92"/>
      <c r="IL17" s="92"/>
      <c r="IM17" s="92"/>
      <c r="IN17" s="92"/>
      <c r="IO17" s="92"/>
      <c r="IP17" s="92"/>
      <c r="IQ17" s="92"/>
      <c r="IR17" s="92"/>
      <c r="IS17" s="92"/>
      <c r="IT17" s="92"/>
      <c r="IU17" s="92"/>
      <c r="IV17" s="92"/>
      <c r="IW17" s="92"/>
      <c r="IX17" s="92"/>
      <c r="IY17" s="92"/>
      <c r="IZ17" s="92"/>
      <c r="JA17" s="92"/>
      <c r="JB17" s="92"/>
      <c r="JC17" s="92"/>
      <c r="JD17" s="92"/>
      <c r="JE17" s="92"/>
      <c r="JF17" s="92"/>
      <c r="JG17" s="92"/>
      <c r="JH17" s="92"/>
      <c r="JI17" s="92"/>
      <c r="JJ17" s="92"/>
      <c r="JK17" s="92"/>
      <c r="JL17" s="92"/>
      <c r="JM17" s="92"/>
      <c r="JN17" s="92"/>
      <c r="JO17" s="92"/>
      <c r="JP17" s="92"/>
      <c r="JQ17" s="92"/>
      <c r="JR17" s="92"/>
      <c r="JS17" s="92"/>
      <c r="JT17" s="92"/>
      <c r="JU17" s="92"/>
      <c r="JV17" s="92"/>
      <c r="JW17" s="92"/>
      <c r="JX17" s="92"/>
      <c r="JY17" s="92"/>
      <c r="JZ17" s="92"/>
      <c r="KA17" s="92"/>
      <c r="KB17" s="92"/>
      <c r="KC17" s="92"/>
      <c r="KD17" s="92"/>
      <c r="KE17" s="92"/>
      <c r="KF17" s="92"/>
      <c r="KG17" s="92"/>
      <c r="KH17" s="92"/>
      <c r="KI17" s="92"/>
      <c r="KJ17" s="92"/>
      <c r="KK17" s="92"/>
      <c r="KL17" s="92"/>
      <c r="KM17" s="92"/>
      <c r="KN17" s="92"/>
      <c r="KO17" s="92"/>
      <c r="KP17" s="92"/>
      <c r="KQ17" s="88"/>
      <c r="KR17" s="92"/>
      <c r="KS17" s="92"/>
      <c r="KT17" s="92"/>
      <c r="KU17" s="93"/>
      <c r="KV17" s="92"/>
      <c r="KW17" s="93"/>
      <c r="KX17" s="92"/>
      <c r="KY17" s="93"/>
      <c r="KZ17" s="92"/>
      <c r="LA17" s="93"/>
      <c r="LB17" s="92"/>
      <c r="LC17" s="93"/>
      <c r="LD17" s="92"/>
      <c r="LE17" s="93"/>
      <c r="LF17" s="92"/>
      <c r="LG17" s="92"/>
      <c r="LH17" s="92"/>
      <c r="LI17" s="92"/>
      <c r="LJ17" s="92"/>
      <c r="LK17" s="92"/>
      <c r="LL17" s="92"/>
      <c r="LM17" s="92"/>
      <c r="LN17" s="92"/>
      <c r="LO17" s="92"/>
      <c r="LP17" s="88"/>
      <c r="LQ17" s="93"/>
      <c r="LR17" s="88"/>
      <c r="LS17" s="93"/>
      <c r="LT17" s="93"/>
      <c r="LU17" s="93"/>
      <c r="LV17" s="93"/>
      <c r="LW17" s="93"/>
      <c r="LX17" s="93"/>
      <c r="LY17" s="93"/>
      <c r="LZ17" s="93"/>
      <c r="MA17" s="93"/>
      <c r="MB17" s="93"/>
      <c r="MC17" s="94"/>
      <c r="MD17" s="94"/>
      <c r="ME17" s="94"/>
      <c r="MF17" s="94"/>
      <c r="MG17" s="94"/>
      <c r="MH17" s="94"/>
      <c r="MI17" s="94"/>
      <c r="MJ17" s="94"/>
      <c r="MK17" s="94"/>
      <c r="ML17" s="94"/>
      <c r="MM17" s="94"/>
      <c r="MN17" s="94"/>
      <c r="MO17" s="95"/>
      <c r="MP17" s="95"/>
      <c r="MQ17" s="94"/>
      <c r="MR17" s="94"/>
      <c r="MS17" s="94"/>
      <c r="MT17" s="94"/>
      <c r="MU17" s="94"/>
      <c r="MV17" s="94"/>
      <c r="MW17" s="94"/>
      <c r="MX17" s="94"/>
      <c r="MY17" s="94"/>
      <c r="MZ17" s="94"/>
      <c r="NA17" s="94"/>
      <c r="NB17" s="94"/>
      <c r="NC17" s="94"/>
      <c r="ND17" s="94"/>
      <c r="NE17" s="94"/>
      <c r="NF17" s="94"/>
      <c r="NG17" s="94"/>
      <c r="NH17" s="94"/>
      <c r="NI17" s="94"/>
      <c r="NJ17" s="94"/>
    </row>
    <row r="18" spans="1:374" x14ac:dyDescent="0.25">
      <c r="A18" s="88"/>
      <c r="B18" s="88"/>
      <c r="C18" s="88"/>
      <c r="D18" s="88"/>
      <c r="E18" s="89"/>
      <c r="F18" s="88"/>
      <c r="G18" s="88"/>
      <c r="H18" s="88" t="str">
        <f t="shared" si="26"/>
        <v xml:space="preserve">  </v>
      </c>
      <c r="I18" s="88"/>
      <c r="J18" s="88"/>
      <c r="K18" s="88"/>
      <c r="L18" s="88"/>
      <c r="M18" s="88"/>
      <c r="N18" s="88"/>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1"/>
      <c r="AR18" s="75"/>
      <c r="AS18" s="91"/>
      <c r="AT18" s="91"/>
      <c r="AU18" s="90"/>
      <c r="AV18" s="91"/>
      <c r="AW18" s="91"/>
      <c r="AX18" s="91"/>
      <c r="AY18" s="91"/>
      <c r="AZ18" s="91"/>
      <c r="BA18" s="91"/>
      <c r="BB18" s="90"/>
      <c r="BC18" s="91"/>
      <c r="BD18" s="75"/>
      <c r="BE18" s="91"/>
      <c r="BF18" s="91"/>
      <c r="BG18" s="90"/>
      <c r="BH18" s="91"/>
      <c r="BI18" s="91"/>
      <c r="BJ18" s="91"/>
      <c r="BK18" s="91"/>
      <c r="BL18" s="91"/>
      <c r="BM18" s="91"/>
      <c r="BN18" s="90"/>
      <c r="BO18" s="91"/>
      <c r="BP18" s="75"/>
      <c r="BQ18" s="91"/>
      <c r="BR18" s="91"/>
      <c r="BS18" s="90"/>
      <c r="BT18" s="91"/>
      <c r="BU18" s="91"/>
      <c r="BV18" s="91"/>
      <c r="BW18" s="91"/>
      <c r="BX18" s="91"/>
      <c r="BY18" s="91"/>
      <c r="BZ18" s="90"/>
      <c r="CA18" s="91"/>
      <c r="CB18" s="75"/>
      <c r="CC18" s="91"/>
      <c r="CD18" s="91"/>
      <c r="CE18" s="90"/>
      <c r="CF18" s="91"/>
      <c r="CG18" s="91"/>
      <c r="CH18" s="91"/>
      <c r="CI18" s="91"/>
      <c r="CJ18" s="91"/>
      <c r="CK18" s="91"/>
      <c r="CL18" s="90"/>
      <c r="CM18" s="91"/>
      <c r="CN18" s="75"/>
      <c r="CO18" s="91"/>
      <c r="CP18" s="91"/>
      <c r="CQ18" s="90"/>
      <c r="CR18" s="91"/>
      <c r="CS18" s="91"/>
      <c r="CT18" s="91"/>
      <c r="CU18" s="91"/>
      <c r="CV18" s="91"/>
      <c r="CW18" s="91"/>
      <c r="CX18" s="90"/>
      <c r="CY18" s="91"/>
      <c r="CZ18" s="75"/>
      <c r="DA18" s="91"/>
      <c r="DB18" s="91"/>
      <c r="DC18" s="90"/>
      <c r="DD18" s="91"/>
      <c r="DE18" s="91"/>
      <c r="DF18" s="91"/>
      <c r="DG18" s="91"/>
      <c r="DH18" s="91"/>
      <c r="DI18" s="91"/>
      <c r="DJ18" s="90"/>
      <c r="DK18" s="91"/>
      <c r="DL18" s="75"/>
      <c r="DM18" s="75"/>
      <c r="DN18" s="75">
        <f t="shared" si="1"/>
        <v>0</v>
      </c>
      <c r="DO18" s="75" t="str">
        <f t="shared" si="2"/>
        <v/>
      </c>
      <c r="DP18" s="91"/>
      <c r="DQ18" s="91"/>
      <c r="DR18" s="90"/>
      <c r="DS18" s="91"/>
      <c r="DT18" s="91"/>
      <c r="DU18" s="91"/>
      <c r="DV18" s="91"/>
      <c r="DW18" s="91"/>
      <c r="DX18" s="91"/>
      <c r="DY18" s="90"/>
      <c r="DZ18" s="91"/>
      <c r="EA18" s="75"/>
      <c r="EB18" s="91"/>
      <c r="EC18" s="91"/>
      <c r="ED18" s="90"/>
      <c r="EE18" s="91"/>
      <c r="EF18" s="91"/>
      <c r="EG18" s="91"/>
      <c r="EH18" s="91"/>
      <c r="EI18" s="91"/>
      <c r="EJ18" s="91"/>
      <c r="EK18" s="90"/>
      <c r="EL18" s="90"/>
      <c r="EM18" s="88"/>
      <c r="EN18" s="92"/>
      <c r="EO18" s="92"/>
      <c r="EP18" s="92"/>
      <c r="EQ18" s="92"/>
      <c r="ER18" s="92"/>
      <c r="ES18" s="92"/>
      <c r="ET18" s="92"/>
      <c r="EU18" s="92"/>
      <c r="EV18" s="92"/>
      <c r="EW18" s="92"/>
      <c r="EX18" s="92"/>
      <c r="EY18" s="92"/>
      <c r="EZ18" s="92"/>
      <c r="FA18" s="92"/>
      <c r="FB18" s="92"/>
      <c r="FC18" s="92"/>
      <c r="FD18" s="92"/>
      <c r="FE18" s="92"/>
      <c r="FF18" s="92"/>
      <c r="FG18" s="92"/>
      <c r="FH18" s="92"/>
      <c r="FI18" s="92"/>
      <c r="FJ18" s="92"/>
      <c r="FK18" s="92"/>
      <c r="FL18" s="92"/>
      <c r="FM18" s="92"/>
      <c r="FN18" s="92"/>
      <c r="FO18" s="92"/>
      <c r="FP18" s="92"/>
      <c r="FQ18" s="92"/>
      <c r="FR18" s="92"/>
      <c r="FS18" s="92"/>
      <c r="FT18" s="92"/>
      <c r="FU18" s="92"/>
      <c r="FV18" s="92"/>
      <c r="FW18" s="92"/>
      <c r="FX18" s="92"/>
      <c r="FY18" s="92"/>
      <c r="FZ18" s="92"/>
      <c r="GA18" s="92"/>
      <c r="GB18" s="92"/>
      <c r="GC18" s="92"/>
      <c r="GD18" s="92"/>
      <c r="GE18" s="92"/>
      <c r="GF18" s="92"/>
      <c r="GG18" s="92"/>
      <c r="GH18" s="92"/>
      <c r="GI18" s="92"/>
      <c r="GJ18" s="92"/>
      <c r="GK18" s="92"/>
      <c r="GL18" s="92"/>
      <c r="GM18" s="92"/>
      <c r="GN18" s="92"/>
      <c r="GO18" s="92"/>
      <c r="GP18" s="92"/>
      <c r="GQ18" s="92"/>
      <c r="GR18" s="92"/>
      <c r="GS18" s="92"/>
      <c r="GT18" s="92"/>
      <c r="GU18" s="92"/>
      <c r="GV18" s="92"/>
      <c r="GW18" s="92"/>
      <c r="GX18" s="92"/>
      <c r="GY18" s="92"/>
      <c r="GZ18" s="92"/>
      <c r="HA18" s="92"/>
      <c r="HB18" s="92"/>
      <c r="HC18" s="92"/>
      <c r="HD18" s="92"/>
      <c r="HE18" s="92"/>
      <c r="HF18" s="92"/>
      <c r="HG18" s="92"/>
      <c r="HH18" s="92"/>
      <c r="HI18" s="92"/>
      <c r="HJ18" s="92"/>
      <c r="HK18" s="92"/>
      <c r="HL18" s="92"/>
      <c r="HM18" s="92"/>
      <c r="HN18" s="92"/>
      <c r="HO18" s="92"/>
      <c r="HP18" s="92"/>
      <c r="HQ18" s="92"/>
      <c r="HR18" s="92"/>
      <c r="HS18" s="92"/>
      <c r="HT18" s="92"/>
      <c r="HU18" s="92"/>
      <c r="HV18" s="92"/>
      <c r="HW18" s="92"/>
      <c r="HX18" s="92"/>
      <c r="HY18" s="92"/>
      <c r="HZ18" s="92"/>
      <c r="IA18" s="92"/>
      <c r="IB18" s="92"/>
      <c r="IC18" s="92"/>
      <c r="ID18" s="92"/>
      <c r="IE18" s="92"/>
      <c r="IF18" s="92"/>
      <c r="IG18" s="92"/>
      <c r="IH18" s="92"/>
      <c r="II18" s="92"/>
      <c r="IJ18" s="92"/>
      <c r="IK18" s="92"/>
      <c r="IL18" s="92"/>
      <c r="IM18" s="92"/>
      <c r="IN18" s="92"/>
      <c r="IO18" s="92"/>
      <c r="IP18" s="92"/>
      <c r="IQ18" s="92"/>
      <c r="IR18" s="92"/>
      <c r="IS18" s="92"/>
      <c r="IT18" s="92"/>
      <c r="IU18" s="92"/>
      <c r="IV18" s="92"/>
      <c r="IW18" s="92"/>
      <c r="IX18" s="92"/>
      <c r="IY18" s="92"/>
      <c r="IZ18" s="92"/>
      <c r="JA18" s="92"/>
      <c r="JB18" s="92"/>
      <c r="JC18" s="92"/>
      <c r="JD18" s="92"/>
      <c r="JE18" s="92"/>
      <c r="JF18" s="92"/>
      <c r="JG18" s="92"/>
      <c r="JH18" s="92"/>
      <c r="JI18" s="92"/>
      <c r="JJ18" s="92"/>
      <c r="JK18" s="92"/>
      <c r="JL18" s="92"/>
      <c r="JM18" s="92"/>
      <c r="JN18" s="92"/>
      <c r="JO18" s="92"/>
      <c r="JP18" s="92"/>
      <c r="JQ18" s="92"/>
      <c r="JR18" s="92"/>
      <c r="JS18" s="92"/>
      <c r="JT18" s="92"/>
      <c r="JU18" s="92"/>
      <c r="JV18" s="92"/>
      <c r="JW18" s="92"/>
      <c r="JX18" s="92"/>
      <c r="JY18" s="92"/>
      <c r="JZ18" s="92"/>
      <c r="KA18" s="92"/>
      <c r="KB18" s="92"/>
      <c r="KC18" s="92"/>
      <c r="KD18" s="92"/>
      <c r="KE18" s="92"/>
      <c r="KF18" s="92"/>
      <c r="KG18" s="92"/>
      <c r="KH18" s="92"/>
      <c r="KI18" s="92"/>
      <c r="KJ18" s="92"/>
      <c r="KK18" s="92"/>
      <c r="KL18" s="92"/>
      <c r="KM18" s="92"/>
      <c r="KN18" s="92"/>
      <c r="KO18" s="92"/>
      <c r="KP18" s="92"/>
      <c r="KQ18" s="88"/>
      <c r="KR18" s="92"/>
      <c r="KS18" s="92"/>
      <c r="KT18" s="92"/>
      <c r="KU18" s="93"/>
      <c r="KV18" s="92"/>
      <c r="KW18" s="93"/>
      <c r="KX18" s="92"/>
      <c r="KY18" s="93"/>
      <c r="KZ18" s="92"/>
      <c r="LA18" s="93"/>
      <c r="LB18" s="92"/>
      <c r="LC18" s="93"/>
      <c r="LD18" s="92"/>
      <c r="LE18" s="93"/>
      <c r="LF18" s="92"/>
      <c r="LG18" s="92"/>
      <c r="LH18" s="92"/>
      <c r="LI18" s="92"/>
      <c r="LJ18" s="92"/>
      <c r="LK18" s="92"/>
      <c r="LL18" s="92"/>
      <c r="LM18" s="92"/>
      <c r="LN18" s="92"/>
      <c r="LO18" s="92"/>
      <c r="LP18" s="88"/>
      <c r="LQ18" s="93"/>
      <c r="LR18" s="88"/>
      <c r="LS18" s="93"/>
      <c r="LT18" s="93"/>
      <c r="LU18" s="93"/>
      <c r="LV18" s="93"/>
      <c r="LW18" s="93"/>
      <c r="LX18" s="93"/>
      <c r="LY18" s="93"/>
      <c r="LZ18" s="93"/>
      <c r="MA18" s="93"/>
      <c r="MB18" s="93"/>
      <c r="MC18" s="94"/>
      <c r="MD18" s="94"/>
      <c r="ME18" s="94"/>
      <c r="MF18" s="94"/>
      <c r="MG18" s="94"/>
      <c r="MH18" s="94"/>
      <c r="MI18" s="94"/>
      <c r="MJ18" s="94"/>
      <c r="MK18" s="94"/>
      <c r="ML18" s="94"/>
      <c r="MM18" s="94"/>
      <c r="MN18" s="94"/>
      <c r="MO18" s="95"/>
      <c r="MP18" s="95"/>
      <c r="MQ18" s="94"/>
      <c r="MR18" s="94"/>
      <c r="MS18" s="94"/>
      <c r="MT18" s="94"/>
      <c r="MU18" s="94"/>
      <c r="MV18" s="94"/>
      <c r="MW18" s="94"/>
      <c r="MX18" s="94"/>
      <c r="MY18" s="94"/>
      <c r="MZ18" s="94"/>
      <c r="NA18" s="94"/>
      <c r="NB18" s="94"/>
      <c r="NC18" s="94"/>
      <c r="ND18" s="94"/>
      <c r="NE18" s="94"/>
      <c r="NF18" s="94"/>
      <c r="NG18" s="94"/>
      <c r="NH18" s="94"/>
      <c r="NI18" s="94"/>
      <c r="NJ18" s="94"/>
    </row>
    <row r="19" spans="1:374" x14ac:dyDescent="0.25">
      <c r="A19" s="88"/>
      <c r="B19" s="88"/>
      <c r="C19" s="88"/>
      <c r="D19" s="88"/>
      <c r="E19" s="89"/>
      <c r="F19" s="88"/>
      <c r="G19" s="88"/>
      <c r="H19" s="88" t="str">
        <f t="shared" si="26"/>
        <v xml:space="preserve">  </v>
      </c>
      <c r="I19" s="88"/>
      <c r="J19" s="88"/>
      <c r="K19" s="88"/>
      <c r="L19" s="88"/>
      <c r="M19" s="88"/>
      <c r="N19" s="88"/>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1"/>
      <c r="AR19" s="75"/>
      <c r="AS19" s="91"/>
      <c r="AT19" s="91"/>
      <c r="AU19" s="90"/>
      <c r="AV19" s="91"/>
      <c r="AW19" s="91"/>
      <c r="AX19" s="91"/>
      <c r="AY19" s="91"/>
      <c r="AZ19" s="91"/>
      <c r="BA19" s="91"/>
      <c r="BB19" s="90"/>
      <c r="BC19" s="91"/>
      <c r="BD19" s="75"/>
      <c r="BE19" s="91"/>
      <c r="BF19" s="91"/>
      <c r="BG19" s="90"/>
      <c r="BH19" s="91"/>
      <c r="BI19" s="91"/>
      <c r="BJ19" s="91"/>
      <c r="BK19" s="91"/>
      <c r="BL19" s="91"/>
      <c r="BM19" s="91"/>
      <c r="BN19" s="90"/>
      <c r="BO19" s="91"/>
      <c r="BP19" s="75"/>
      <c r="BQ19" s="91"/>
      <c r="BR19" s="91"/>
      <c r="BS19" s="90"/>
      <c r="BT19" s="91"/>
      <c r="BU19" s="91"/>
      <c r="BV19" s="91"/>
      <c r="BW19" s="91"/>
      <c r="BX19" s="91"/>
      <c r="BY19" s="91"/>
      <c r="BZ19" s="90"/>
      <c r="CA19" s="91"/>
      <c r="CB19" s="75"/>
      <c r="CC19" s="91"/>
      <c r="CD19" s="91"/>
      <c r="CE19" s="90"/>
      <c r="CF19" s="91"/>
      <c r="CG19" s="91"/>
      <c r="CH19" s="91"/>
      <c r="CI19" s="91"/>
      <c r="CJ19" s="91"/>
      <c r="CK19" s="91"/>
      <c r="CL19" s="90"/>
      <c r="CM19" s="91"/>
      <c r="CN19" s="75"/>
      <c r="CO19" s="91"/>
      <c r="CP19" s="91"/>
      <c r="CQ19" s="90"/>
      <c r="CR19" s="91"/>
      <c r="CS19" s="91"/>
      <c r="CT19" s="91"/>
      <c r="CU19" s="91"/>
      <c r="CV19" s="91"/>
      <c r="CW19" s="91"/>
      <c r="CX19" s="90"/>
      <c r="CY19" s="91"/>
      <c r="CZ19" s="75"/>
      <c r="DA19" s="91"/>
      <c r="DB19" s="91"/>
      <c r="DC19" s="90"/>
      <c r="DD19" s="91"/>
      <c r="DE19" s="91"/>
      <c r="DF19" s="91"/>
      <c r="DG19" s="91"/>
      <c r="DH19" s="91"/>
      <c r="DI19" s="91"/>
      <c r="DJ19" s="90"/>
      <c r="DK19" s="91"/>
      <c r="DL19" s="75"/>
      <c r="DM19" s="75"/>
      <c r="DN19" s="75">
        <f t="shared" si="1"/>
        <v>0</v>
      </c>
      <c r="DO19" s="75" t="str">
        <f t="shared" si="2"/>
        <v/>
      </c>
      <c r="DP19" s="91"/>
      <c r="DQ19" s="91"/>
      <c r="DR19" s="90"/>
      <c r="DS19" s="91"/>
      <c r="DT19" s="91"/>
      <c r="DU19" s="91"/>
      <c r="DV19" s="91"/>
      <c r="DW19" s="91"/>
      <c r="DX19" s="91"/>
      <c r="DY19" s="90"/>
      <c r="DZ19" s="91"/>
      <c r="EA19" s="75"/>
      <c r="EB19" s="91"/>
      <c r="EC19" s="91"/>
      <c r="ED19" s="90"/>
      <c r="EE19" s="91"/>
      <c r="EF19" s="91"/>
      <c r="EG19" s="91"/>
      <c r="EH19" s="91"/>
      <c r="EI19" s="91"/>
      <c r="EJ19" s="91"/>
      <c r="EK19" s="90"/>
      <c r="EL19" s="90"/>
      <c r="EM19" s="88"/>
      <c r="EN19" s="92"/>
      <c r="EO19" s="92"/>
      <c r="EP19" s="92"/>
      <c r="EQ19" s="92"/>
      <c r="ER19" s="92"/>
      <c r="ES19" s="92"/>
      <c r="ET19" s="92"/>
      <c r="EU19" s="92"/>
      <c r="EV19" s="92"/>
      <c r="EW19" s="92"/>
      <c r="EX19" s="92"/>
      <c r="EY19" s="92"/>
      <c r="EZ19" s="92"/>
      <c r="FA19" s="92"/>
      <c r="FB19" s="92"/>
      <c r="FC19" s="92"/>
      <c r="FD19" s="92"/>
      <c r="FE19" s="92"/>
      <c r="FF19" s="92"/>
      <c r="FG19" s="92"/>
      <c r="FH19" s="92"/>
      <c r="FI19" s="92"/>
      <c r="FJ19" s="92"/>
      <c r="FK19" s="92"/>
      <c r="FL19" s="92"/>
      <c r="FM19" s="92"/>
      <c r="FN19" s="92"/>
      <c r="FO19" s="92"/>
      <c r="FP19" s="92"/>
      <c r="FQ19" s="92"/>
      <c r="FR19" s="92"/>
      <c r="FS19" s="92"/>
      <c r="FT19" s="92"/>
      <c r="FU19" s="92"/>
      <c r="FV19" s="92"/>
      <c r="FW19" s="92"/>
      <c r="FX19" s="92"/>
      <c r="FY19" s="92"/>
      <c r="FZ19" s="92"/>
      <c r="GA19" s="92"/>
      <c r="GB19" s="92"/>
      <c r="GC19" s="92"/>
      <c r="GD19" s="92"/>
      <c r="GE19" s="92"/>
      <c r="GF19" s="92"/>
      <c r="GG19" s="92"/>
      <c r="GH19" s="92"/>
      <c r="GI19" s="92"/>
      <c r="GJ19" s="92"/>
      <c r="GK19" s="92"/>
      <c r="GL19" s="92"/>
      <c r="GM19" s="92"/>
      <c r="GN19" s="92"/>
      <c r="GO19" s="92"/>
      <c r="GP19" s="92"/>
      <c r="GQ19" s="92"/>
      <c r="GR19" s="92"/>
      <c r="GS19" s="92"/>
      <c r="GT19" s="92"/>
      <c r="GU19" s="92"/>
      <c r="GV19" s="92"/>
      <c r="GW19" s="92"/>
      <c r="GX19" s="92"/>
      <c r="GY19" s="92"/>
      <c r="GZ19" s="92"/>
      <c r="HA19" s="92"/>
      <c r="HB19" s="92"/>
      <c r="HC19" s="92"/>
      <c r="HD19" s="92"/>
      <c r="HE19" s="92"/>
      <c r="HF19" s="92"/>
      <c r="HG19" s="92"/>
      <c r="HH19" s="92"/>
      <c r="HI19" s="92"/>
      <c r="HJ19" s="92"/>
      <c r="HK19" s="92"/>
      <c r="HL19" s="92"/>
      <c r="HM19" s="92"/>
      <c r="HN19" s="92"/>
      <c r="HO19" s="92"/>
      <c r="HP19" s="92"/>
      <c r="HQ19" s="92"/>
      <c r="HR19" s="92"/>
      <c r="HS19" s="92"/>
      <c r="HT19" s="92"/>
      <c r="HU19" s="92"/>
      <c r="HV19" s="92"/>
      <c r="HW19" s="92"/>
      <c r="HX19" s="92"/>
      <c r="HY19" s="92"/>
      <c r="HZ19" s="92"/>
      <c r="IA19" s="92"/>
      <c r="IB19" s="92"/>
      <c r="IC19" s="92"/>
      <c r="ID19" s="92"/>
      <c r="IE19" s="92"/>
      <c r="IF19" s="92"/>
      <c r="IG19" s="92"/>
      <c r="IH19" s="92"/>
      <c r="II19" s="92"/>
      <c r="IJ19" s="92"/>
      <c r="IK19" s="92"/>
      <c r="IL19" s="92"/>
      <c r="IM19" s="92"/>
      <c r="IN19" s="92"/>
      <c r="IO19" s="92"/>
      <c r="IP19" s="92"/>
      <c r="IQ19" s="92"/>
      <c r="IR19" s="92"/>
      <c r="IS19" s="92"/>
      <c r="IT19" s="92"/>
      <c r="IU19" s="92"/>
      <c r="IV19" s="92"/>
      <c r="IW19" s="92"/>
      <c r="IX19" s="92"/>
      <c r="IY19" s="92"/>
      <c r="IZ19" s="92"/>
      <c r="JA19" s="92"/>
      <c r="JB19" s="92"/>
      <c r="JC19" s="92"/>
      <c r="JD19" s="92"/>
      <c r="JE19" s="92"/>
      <c r="JF19" s="92"/>
      <c r="JG19" s="92"/>
      <c r="JH19" s="92"/>
      <c r="JI19" s="92"/>
      <c r="JJ19" s="92"/>
      <c r="JK19" s="92"/>
      <c r="JL19" s="92"/>
      <c r="JM19" s="92"/>
      <c r="JN19" s="92"/>
      <c r="JO19" s="92"/>
      <c r="JP19" s="92"/>
      <c r="JQ19" s="92"/>
      <c r="JR19" s="92"/>
      <c r="JS19" s="92"/>
      <c r="JT19" s="92"/>
      <c r="JU19" s="92"/>
      <c r="JV19" s="92"/>
      <c r="JW19" s="92"/>
      <c r="JX19" s="92"/>
      <c r="JY19" s="92"/>
      <c r="JZ19" s="92"/>
      <c r="KA19" s="92"/>
      <c r="KB19" s="92"/>
      <c r="KC19" s="92"/>
      <c r="KD19" s="92"/>
      <c r="KE19" s="92"/>
      <c r="KF19" s="92"/>
      <c r="KG19" s="92"/>
      <c r="KH19" s="92"/>
      <c r="KI19" s="92"/>
      <c r="KJ19" s="92"/>
      <c r="KK19" s="92"/>
      <c r="KL19" s="92"/>
      <c r="KM19" s="92"/>
      <c r="KN19" s="92"/>
      <c r="KO19" s="92"/>
      <c r="KP19" s="92"/>
      <c r="KQ19" s="88"/>
      <c r="KR19" s="92"/>
      <c r="KS19" s="92"/>
      <c r="KT19" s="92"/>
      <c r="KU19" s="93"/>
      <c r="KV19" s="92"/>
      <c r="KW19" s="93"/>
      <c r="KX19" s="92"/>
      <c r="KY19" s="93"/>
      <c r="KZ19" s="92"/>
      <c r="LA19" s="93"/>
      <c r="LB19" s="92"/>
      <c r="LC19" s="93"/>
      <c r="LD19" s="92"/>
      <c r="LE19" s="93"/>
      <c r="LF19" s="92"/>
      <c r="LG19" s="92"/>
      <c r="LH19" s="92"/>
      <c r="LI19" s="92"/>
      <c r="LJ19" s="92"/>
      <c r="LK19" s="92"/>
      <c r="LL19" s="92"/>
      <c r="LM19" s="92"/>
      <c r="LN19" s="92"/>
      <c r="LO19" s="92"/>
      <c r="LP19" s="88"/>
      <c r="LQ19" s="93"/>
      <c r="LR19" s="88"/>
      <c r="LS19" s="93"/>
      <c r="LT19" s="93"/>
      <c r="LU19" s="93"/>
      <c r="LV19" s="93"/>
      <c r="LW19" s="93"/>
      <c r="LX19" s="93"/>
      <c r="LY19" s="93"/>
      <c r="LZ19" s="93"/>
      <c r="MA19" s="93"/>
      <c r="MB19" s="93"/>
      <c r="MC19" s="94"/>
      <c r="MD19" s="94"/>
      <c r="ME19" s="94"/>
      <c r="MF19" s="94"/>
      <c r="MG19" s="94"/>
      <c r="MH19" s="94"/>
      <c r="MI19" s="94"/>
      <c r="MJ19" s="94"/>
      <c r="MK19" s="94"/>
      <c r="ML19" s="94"/>
      <c r="MM19" s="94"/>
      <c r="MN19" s="94"/>
      <c r="MO19" s="95"/>
      <c r="MP19" s="95"/>
      <c r="MQ19" s="94"/>
      <c r="MR19" s="94"/>
      <c r="MS19" s="94"/>
      <c r="MT19" s="94"/>
      <c r="MU19" s="94"/>
      <c r="MV19" s="94"/>
      <c r="MW19" s="94"/>
      <c r="MX19" s="94"/>
      <c r="MY19" s="94"/>
      <c r="MZ19" s="94"/>
      <c r="NA19" s="94"/>
      <c r="NB19" s="94"/>
      <c r="NC19" s="94"/>
      <c r="ND19" s="94"/>
      <c r="NE19" s="94"/>
      <c r="NF19" s="94"/>
      <c r="NG19" s="94"/>
      <c r="NH19" s="94"/>
      <c r="NI19" s="94"/>
      <c r="NJ19" s="94"/>
    </row>
    <row r="20" spans="1:374" x14ac:dyDescent="0.25">
      <c r="A20" s="88"/>
      <c r="B20" s="88"/>
      <c r="C20" s="88"/>
      <c r="D20" s="88"/>
      <c r="E20" s="89"/>
      <c r="F20" s="88"/>
      <c r="G20" s="88"/>
      <c r="H20" s="88" t="str">
        <f t="shared" si="26"/>
        <v xml:space="preserve">  </v>
      </c>
      <c r="I20" s="88"/>
      <c r="J20" s="88"/>
      <c r="K20" s="88"/>
      <c r="L20" s="88"/>
      <c r="M20" s="88"/>
      <c r="N20" s="88"/>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1"/>
      <c r="AR20" s="75"/>
      <c r="AS20" s="91"/>
      <c r="AT20" s="91"/>
      <c r="AU20" s="90"/>
      <c r="AV20" s="91"/>
      <c r="AW20" s="91"/>
      <c r="AX20" s="91"/>
      <c r="AY20" s="91"/>
      <c r="AZ20" s="91"/>
      <c r="BA20" s="91"/>
      <c r="BB20" s="90"/>
      <c r="BC20" s="91"/>
      <c r="BD20" s="75"/>
      <c r="BE20" s="91"/>
      <c r="BF20" s="91"/>
      <c r="BG20" s="90"/>
      <c r="BH20" s="91"/>
      <c r="BI20" s="91"/>
      <c r="BJ20" s="91"/>
      <c r="BK20" s="91"/>
      <c r="BL20" s="91"/>
      <c r="BM20" s="91"/>
      <c r="BN20" s="90"/>
      <c r="BO20" s="91"/>
      <c r="BP20" s="75"/>
      <c r="BQ20" s="91"/>
      <c r="BR20" s="91"/>
      <c r="BS20" s="90"/>
      <c r="BT20" s="91"/>
      <c r="BU20" s="91"/>
      <c r="BV20" s="91"/>
      <c r="BW20" s="91"/>
      <c r="BX20" s="91"/>
      <c r="BY20" s="91"/>
      <c r="BZ20" s="90"/>
      <c r="CA20" s="91"/>
      <c r="CB20" s="75"/>
      <c r="CC20" s="91"/>
      <c r="CD20" s="91"/>
      <c r="CE20" s="90"/>
      <c r="CF20" s="91"/>
      <c r="CG20" s="91"/>
      <c r="CH20" s="91"/>
      <c r="CI20" s="91"/>
      <c r="CJ20" s="91"/>
      <c r="CK20" s="91"/>
      <c r="CL20" s="90"/>
      <c r="CM20" s="91"/>
      <c r="CN20" s="75"/>
      <c r="CO20" s="91"/>
      <c r="CP20" s="91"/>
      <c r="CQ20" s="90"/>
      <c r="CR20" s="91"/>
      <c r="CS20" s="91"/>
      <c r="CT20" s="91"/>
      <c r="CU20" s="91"/>
      <c r="CV20" s="91"/>
      <c r="CW20" s="91"/>
      <c r="CX20" s="90"/>
      <c r="CY20" s="91"/>
      <c r="CZ20" s="75"/>
      <c r="DA20" s="91"/>
      <c r="DB20" s="91"/>
      <c r="DC20" s="90"/>
      <c r="DD20" s="91"/>
      <c r="DE20" s="91"/>
      <c r="DF20" s="91"/>
      <c r="DG20" s="91"/>
      <c r="DH20" s="91"/>
      <c r="DI20" s="91"/>
      <c r="DJ20" s="90"/>
      <c r="DK20" s="91"/>
      <c r="DL20" s="75"/>
      <c r="DM20" s="75"/>
      <c r="DN20" s="75">
        <f t="shared" si="1"/>
        <v>0</v>
      </c>
      <c r="DO20" s="75" t="str">
        <f t="shared" si="2"/>
        <v/>
      </c>
      <c r="DP20" s="91"/>
      <c r="DQ20" s="91"/>
      <c r="DR20" s="90"/>
      <c r="DS20" s="91"/>
      <c r="DT20" s="91"/>
      <c r="DU20" s="91"/>
      <c r="DV20" s="91"/>
      <c r="DW20" s="91"/>
      <c r="DX20" s="91"/>
      <c r="DY20" s="90"/>
      <c r="DZ20" s="91"/>
      <c r="EA20" s="75"/>
      <c r="EB20" s="91"/>
      <c r="EC20" s="91"/>
      <c r="ED20" s="90"/>
      <c r="EE20" s="91"/>
      <c r="EF20" s="91"/>
      <c r="EG20" s="91"/>
      <c r="EH20" s="91"/>
      <c r="EI20" s="91"/>
      <c r="EJ20" s="91"/>
      <c r="EK20" s="90"/>
      <c r="EL20" s="90"/>
      <c r="EM20" s="88"/>
      <c r="EN20" s="92"/>
      <c r="EO20" s="92"/>
      <c r="EP20" s="92"/>
      <c r="EQ20" s="92"/>
      <c r="ER20" s="92"/>
      <c r="ES20" s="92"/>
      <c r="ET20" s="92"/>
      <c r="EU20" s="92"/>
      <c r="EV20" s="92"/>
      <c r="EW20" s="92"/>
      <c r="EX20" s="92"/>
      <c r="EY20" s="92"/>
      <c r="EZ20" s="92"/>
      <c r="FA20" s="92"/>
      <c r="FB20" s="92"/>
      <c r="FC20" s="92"/>
      <c r="FD20" s="92"/>
      <c r="FE20" s="92"/>
      <c r="FF20" s="92"/>
      <c r="FG20" s="92"/>
      <c r="FH20" s="92"/>
      <c r="FI20" s="92"/>
      <c r="FJ20" s="92"/>
      <c r="FK20" s="92"/>
      <c r="FL20" s="92"/>
      <c r="FM20" s="92"/>
      <c r="FN20" s="92"/>
      <c r="FO20" s="92"/>
      <c r="FP20" s="92"/>
      <c r="FQ20" s="92"/>
      <c r="FR20" s="92"/>
      <c r="FS20" s="92"/>
      <c r="FT20" s="92"/>
      <c r="FU20" s="92"/>
      <c r="FV20" s="92"/>
      <c r="FW20" s="92"/>
      <c r="FX20" s="92"/>
      <c r="FY20" s="92"/>
      <c r="FZ20" s="92"/>
      <c r="GA20" s="92"/>
      <c r="GB20" s="92"/>
      <c r="GC20" s="92"/>
      <c r="GD20" s="92"/>
      <c r="GE20" s="92"/>
      <c r="GF20" s="92"/>
      <c r="GG20" s="92"/>
      <c r="GH20" s="92"/>
      <c r="GI20" s="92"/>
      <c r="GJ20" s="92"/>
      <c r="GK20" s="92"/>
      <c r="GL20" s="92"/>
      <c r="GM20" s="92"/>
      <c r="GN20" s="92"/>
      <c r="GO20" s="92"/>
      <c r="GP20" s="92"/>
      <c r="GQ20" s="92"/>
      <c r="GR20" s="92"/>
      <c r="GS20" s="92"/>
      <c r="GT20" s="92"/>
      <c r="GU20" s="92"/>
      <c r="GV20" s="92"/>
      <c r="GW20" s="92"/>
      <c r="GX20" s="92"/>
      <c r="GY20" s="92"/>
      <c r="GZ20" s="92"/>
      <c r="HA20" s="92"/>
      <c r="HB20" s="92"/>
      <c r="HC20" s="92"/>
      <c r="HD20" s="92"/>
      <c r="HE20" s="92"/>
      <c r="HF20" s="92"/>
      <c r="HG20" s="92"/>
      <c r="HH20" s="92"/>
      <c r="HI20" s="92"/>
      <c r="HJ20" s="92"/>
      <c r="HK20" s="92"/>
      <c r="HL20" s="92"/>
      <c r="HM20" s="92"/>
      <c r="HN20" s="92"/>
      <c r="HO20" s="92"/>
      <c r="HP20" s="92"/>
      <c r="HQ20" s="92"/>
      <c r="HR20" s="92"/>
      <c r="HS20" s="92"/>
      <c r="HT20" s="92"/>
      <c r="HU20" s="92"/>
      <c r="HV20" s="92"/>
      <c r="HW20" s="92"/>
      <c r="HX20" s="92"/>
      <c r="HY20" s="92"/>
      <c r="HZ20" s="92"/>
      <c r="IA20" s="92"/>
      <c r="IB20" s="92"/>
      <c r="IC20" s="92"/>
      <c r="ID20" s="92"/>
      <c r="IE20" s="92"/>
      <c r="IF20" s="92"/>
      <c r="IG20" s="92"/>
      <c r="IH20" s="92"/>
      <c r="II20" s="92"/>
      <c r="IJ20" s="92"/>
      <c r="IK20" s="92"/>
      <c r="IL20" s="92"/>
      <c r="IM20" s="92"/>
      <c r="IN20" s="92"/>
      <c r="IO20" s="92"/>
      <c r="IP20" s="92"/>
      <c r="IQ20" s="92"/>
      <c r="IR20" s="92"/>
      <c r="IS20" s="92"/>
      <c r="IT20" s="92"/>
      <c r="IU20" s="92"/>
      <c r="IV20" s="92"/>
      <c r="IW20" s="92"/>
      <c r="IX20" s="92"/>
      <c r="IY20" s="92"/>
      <c r="IZ20" s="92"/>
      <c r="JA20" s="92"/>
      <c r="JB20" s="92"/>
      <c r="JC20" s="92"/>
      <c r="JD20" s="92"/>
      <c r="JE20" s="92"/>
      <c r="JF20" s="92"/>
      <c r="JG20" s="92"/>
      <c r="JH20" s="92"/>
      <c r="JI20" s="92"/>
      <c r="JJ20" s="92"/>
      <c r="JK20" s="92"/>
      <c r="JL20" s="92"/>
      <c r="JM20" s="92"/>
      <c r="JN20" s="92"/>
      <c r="JO20" s="92"/>
      <c r="JP20" s="92"/>
      <c r="JQ20" s="92"/>
      <c r="JR20" s="92"/>
      <c r="JS20" s="92"/>
      <c r="JT20" s="92"/>
      <c r="JU20" s="92"/>
      <c r="JV20" s="92"/>
      <c r="JW20" s="92"/>
      <c r="JX20" s="92"/>
      <c r="JY20" s="92"/>
      <c r="JZ20" s="92"/>
      <c r="KA20" s="92"/>
      <c r="KB20" s="92"/>
      <c r="KC20" s="92"/>
      <c r="KD20" s="92"/>
      <c r="KE20" s="92"/>
      <c r="KF20" s="92"/>
      <c r="KG20" s="92"/>
      <c r="KH20" s="92"/>
      <c r="KI20" s="92"/>
      <c r="KJ20" s="92"/>
      <c r="KK20" s="92"/>
      <c r="KL20" s="92"/>
      <c r="KM20" s="92"/>
      <c r="KN20" s="92"/>
      <c r="KO20" s="92"/>
      <c r="KP20" s="92"/>
      <c r="KQ20" s="88"/>
      <c r="KR20" s="92"/>
      <c r="KS20" s="92"/>
      <c r="KT20" s="92"/>
      <c r="KU20" s="93"/>
      <c r="KV20" s="92"/>
      <c r="KW20" s="93"/>
      <c r="KX20" s="92"/>
      <c r="KY20" s="93"/>
      <c r="KZ20" s="92"/>
      <c r="LA20" s="93"/>
      <c r="LB20" s="92"/>
      <c r="LC20" s="93"/>
      <c r="LD20" s="92"/>
      <c r="LE20" s="93"/>
      <c r="LF20" s="92"/>
      <c r="LG20" s="92"/>
      <c r="LH20" s="92"/>
      <c r="LI20" s="92"/>
      <c r="LJ20" s="92"/>
      <c r="LK20" s="92"/>
      <c r="LL20" s="92"/>
      <c r="LM20" s="92"/>
      <c r="LN20" s="92"/>
      <c r="LO20" s="92"/>
      <c r="LP20" s="88"/>
      <c r="LQ20" s="93"/>
      <c r="LR20" s="88"/>
      <c r="LS20" s="93"/>
      <c r="LT20" s="93"/>
      <c r="LU20" s="93"/>
      <c r="LV20" s="93"/>
      <c r="LW20" s="93"/>
      <c r="LX20" s="93"/>
      <c r="LY20" s="93"/>
      <c r="LZ20" s="93"/>
      <c r="MA20" s="93"/>
      <c r="MB20" s="93"/>
      <c r="MC20" s="94"/>
      <c r="MD20" s="94"/>
      <c r="ME20" s="94"/>
      <c r="MF20" s="94"/>
      <c r="MG20" s="94"/>
      <c r="MH20" s="94"/>
      <c r="MI20" s="94"/>
      <c r="MJ20" s="94"/>
      <c r="MK20" s="94"/>
      <c r="ML20" s="94"/>
      <c r="MM20" s="94"/>
      <c r="MN20" s="94"/>
      <c r="MO20" s="95"/>
      <c r="MP20" s="95"/>
      <c r="MQ20" s="94"/>
      <c r="MR20" s="94"/>
      <c r="MS20" s="94"/>
      <c r="MT20" s="94"/>
      <c r="MU20" s="94"/>
      <c r="MV20" s="94"/>
      <c r="MW20" s="94"/>
      <c r="MX20" s="94"/>
      <c r="MY20" s="94"/>
      <c r="MZ20" s="94"/>
      <c r="NA20" s="94"/>
      <c r="NB20" s="94"/>
      <c r="NC20" s="94"/>
      <c r="ND20" s="94"/>
      <c r="NE20" s="94"/>
      <c r="NF20" s="94"/>
      <c r="NG20" s="94"/>
      <c r="NH20" s="94"/>
      <c r="NI20" s="94"/>
      <c r="NJ20" s="94"/>
    </row>
    <row r="21" spans="1:374" x14ac:dyDescent="0.25">
      <c r="A21" s="88"/>
      <c r="B21" s="88"/>
      <c r="C21" s="88"/>
      <c r="D21" s="88"/>
      <c r="E21" s="89"/>
      <c r="F21" s="88"/>
      <c r="G21" s="88"/>
      <c r="H21" s="88" t="str">
        <f t="shared" si="26"/>
        <v xml:space="preserve">  </v>
      </c>
      <c r="I21" s="88"/>
      <c r="J21" s="88"/>
      <c r="K21" s="88"/>
      <c r="L21" s="88"/>
      <c r="M21" s="88"/>
      <c r="N21" s="88"/>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1"/>
      <c r="AR21" s="75"/>
      <c r="AS21" s="91"/>
      <c r="AT21" s="91"/>
      <c r="AU21" s="90"/>
      <c r="AV21" s="91"/>
      <c r="AW21" s="91"/>
      <c r="AX21" s="91"/>
      <c r="AY21" s="91"/>
      <c r="AZ21" s="91"/>
      <c r="BA21" s="91"/>
      <c r="BB21" s="90"/>
      <c r="BC21" s="91"/>
      <c r="BD21" s="75"/>
      <c r="BE21" s="91"/>
      <c r="BF21" s="91"/>
      <c r="BG21" s="90"/>
      <c r="BH21" s="91"/>
      <c r="BI21" s="91"/>
      <c r="BJ21" s="91"/>
      <c r="BK21" s="91"/>
      <c r="BL21" s="91"/>
      <c r="BM21" s="91"/>
      <c r="BN21" s="90"/>
      <c r="BO21" s="91"/>
      <c r="BP21" s="75"/>
      <c r="BQ21" s="91"/>
      <c r="BR21" s="91"/>
      <c r="BS21" s="90"/>
      <c r="BT21" s="91"/>
      <c r="BU21" s="91"/>
      <c r="BV21" s="91"/>
      <c r="BW21" s="91"/>
      <c r="BX21" s="91"/>
      <c r="BY21" s="91"/>
      <c r="BZ21" s="90"/>
      <c r="CA21" s="91"/>
      <c r="CB21" s="75"/>
      <c r="CC21" s="91"/>
      <c r="CD21" s="91"/>
      <c r="CE21" s="90"/>
      <c r="CF21" s="91"/>
      <c r="CG21" s="91"/>
      <c r="CH21" s="91"/>
      <c r="CI21" s="91"/>
      <c r="CJ21" s="91"/>
      <c r="CK21" s="91"/>
      <c r="CL21" s="90"/>
      <c r="CM21" s="91"/>
      <c r="CN21" s="75"/>
      <c r="CO21" s="91"/>
      <c r="CP21" s="91"/>
      <c r="CQ21" s="90"/>
      <c r="CR21" s="91"/>
      <c r="CS21" s="91"/>
      <c r="CT21" s="91"/>
      <c r="CU21" s="91"/>
      <c r="CV21" s="91"/>
      <c r="CW21" s="91"/>
      <c r="CX21" s="90"/>
      <c r="CY21" s="91"/>
      <c r="CZ21" s="75"/>
      <c r="DA21" s="91"/>
      <c r="DB21" s="91"/>
      <c r="DC21" s="90"/>
      <c r="DD21" s="91"/>
      <c r="DE21" s="91"/>
      <c r="DF21" s="91"/>
      <c r="DG21" s="91"/>
      <c r="DH21" s="91"/>
      <c r="DI21" s="91"/>
      <c r="DJ21" s="90"/>
      <c r="DK21" s="91"/>
      <c r="DL21" s="75"/>
      <c r="DM21" s="75"/>
      <c r="DN21" s="75">
        <f t="shared" si="1"/>
        <v>0</v>
      </c>
      <c r="DO21" s="75" t="str">
        <f t="shared" si="2"/>
        <v/>
      </c>
      <c r="DP21" s="91"/>
      <c r="DQ21" s="91"/>
      <c r="DR21" s="90"/>
      <c r="DS21" s="91"/>
      <c r="DT21" s="91"/>
      <c r="DU21" s="91"/>
      <c r="DV21" s="91"/>
      <c r="DW21" s="91"/>
      <c r="DX21" s="91"/>
      <c r="DY21" s="90"/>
      <c r="DZ21" s="91"/>
      <c r="EA21" s="75"/>
      <c r="EB21" s="91"/>
      <c r="EC21" s="91"/>
      <c r="ED21" s="90"/>
      <c r="EE21" s="91"/>
      <c r="EF21" s="91"/>
      <c r="EG21" s="91"/>
      <c r="EH21" s="91"/>
      <c r="EI21" s="91"/>
      <c r="EJ21" s="91"/>
      <c r="EK21" s="90"/>
      <c r="EL21" s="90"/>
      <c r="EM21" s="88"/>
      <c r="EN21" s="92"/>
      <c r="EO21" s="92"/>
      <c r="EP21" s="92"/>
      <c r="EQ21" s="92"/>
      <c r="ER21" s="92"/>
      <c r="ES21" s="92"/>
      <c r="ET21" s="92"/>
      <c r="EU21" s="92"/>
      <c r="EV21" s="92"/>
      <c r="EW21" s="92"/>
      <c r="EX21" s="92"/>
      <c r="EY21" s="92"/>
      <c r="EZ21" s="92"/>
      <c r="FA21" s="92"/>
      <c r="FB21" s="92"/>
      <c r="FC21" s="92"/>
      <c r="FD21" s="92"/>
      <c r="FE21" s="92"/>
      <c r="FF21" s="92"/>
      <c r="FG21" s="92"/>
      <c r="FH21" s="92"/>
      <c r="FI21" s="92"/>
      <c r="FJ21" s="92"/>
      <c r="FK21" s="92"/>
      <c r="FL21" s="92"/>
      <c r="FM21" s="92"/>
      <c r="FN21" s="92"/>
      <c r="FO21" s="92"/>
      <c r="FP21" s="92"/>
      <c r="FQ21" s="92"/>
      <c r="FR21" s="92"/>
      <c r="FS21" s="92"/>
      <c r="FT21" s="92"/>
      <c r="FU21" s="92"/>
      <c r="FV21" s="92"/>
      <c r="FW21" s="92"/>
      <c r="FX21" s="92"/>
      <c r="FY21" s="92"/>
      <c r="FZ21" s="92"/>
      <c r="GA21" s="92"/>
      <c r="GB21" s="92"/>
      <c r="GC21" s="92"/>
      <c r="GD21" s="92"/>
      <c r="GE21" s="92"/>
      <c r="GF21" s="92"/>
      <c r="GG21" s="92"/>
      <c r="GH21" s="92"/>
      <c r="GI21" s="92"/>
      <c r="GJ21" s="92"/>
      <c r="GK21" s="92"/>
      <c r="GL21" s="92"/>
      <c r="GM21" s="92"/>
      <c r="GN21" s="92"/>
      <c r="GO21" s="92"/>
      <c r="GP21" s="92"/>
      <c r="GQ21" s="92"/>
      <c r="GR21" s="92"/>
      <c r="GS21" s="92"/>
      <c r="GT21" s="92"/>
      <c r="GU21" s="92"/>
      <c r="GV21" s="92"/>
      <c r="GW21" s="92"/>
      <c r="GX21" s="92"/>
      <c r="GY21" s="92"/>
      <c r="GZ21" s="92"/>
      <c r="HA21" s="92"/>
      <c r="HB21" s="92"/>
      <c r="HC21" s="92"/>
      <c r="HD21" s="92"/>
      <c r="HE21" s="92"/>
      <c r="HF21" s="92"/>
      <c r="HG21" s="92"/>
      <c r="HH21" s="92"/>
      <c r="HI21" s="92"/>
      <c r="HJ21" s="92"/>
      <c r="HK21" s="92"/>
      <c r="HL21" s="92"/>
      <c r="HM21" s="92"/>
      <c r="HN21" s="92"/>
      <c r="HO21" s="92"/>
      <c r="HP21" s="92"/>
      <c r="HQ21" s="92"/>
      <c r="HR21" s="92"/>
      <c r="HS21" s="92"/>
      <c r="HT21" s="92"/>
      <c r="HU21" s="92"/>
      <c r="HV21" s="92"/>
      <c r="HW21" s="92"/>
      <c r="HX21" s="92"/>
      <c r="HY21" s="92"/>
      <c r="HZ21" s="92"/>
      <c r="IA21" s="92"/>
      <c r="IB21" s="92"/>
      <c r="IC21" s="92"/>
      <c r="ID21" s="92"/>
      <c r="IE21" s="92"/>
      <c r="IF21" s="92"/>
      <c r="IG21" s="92"/>
      <c r="IH21" s="92"/>
      <c r="II21" s="92"/>
      <c r="IJ21" s="92"/>
      <c r="IK21" s="92"/>
      <c r="IL21" s="92"/>
      <c r="IM21" s="92"/>
      <c r="IN21" s="92"/>
      <c r="IO21" s="92"/>
      <c r="IP21" s="92"/>
      <c r="IQ21" s="92"/>
      <c r="IR21" s="92"/>
      <c r="IS21" s="92"/>
      <c r="IT21" s="92"/>
      <c r="IU21" s="92"/>
      <c r="IV21" s="92"/>
      <c r="IW21" s="92"/>
      <c r="IX21" s="92"/>
      <c r="IY21" s="92"/>
      <c r="IZ21" s="92"/>
      <c r="JA21" s="92"/>
      <c r="JB21" s="92"/>
      <c r="JC21" s="92"/>
      <c r="JD21" s="92"/>
      <c r="JE21" s="92"/>
      <c r="JF21" s="92"/>
      <c r="JG21" s="92"/>
      <c r="JH21" s="92"/>
      <c r="JI21" s="92"/>
      <c r="JJ21" s="92"/>
      <c r="JK21" s="92"/>
      <c r="JL21" s="92"/>
      <c r="JM21" s="92"/>
      <c r="JN21" s="92"/>
      <c r="JO21" s="92"/>
      <c r="JP21" s="92"/>
      <c r="JQ21" s="92"/>
      <c r="JR21" s="92"/>
      <c r="JS21" s="92"/>
      <c r="JT21" s="92"/>
      <c r="JU21" s="92"/>
      <c r="JV21" s="92"/>
      <c r="JW21" s="92"/>
      <c r="JX21" s="92"/>
      <c r="JY21" s="92"/>
      <c r="JZ21" s="92"/>
      <c r="KA21" s="92"/>
      <c r="KB21" s="92"/>
      <c r="KC21" s="92"/>
      <c r="KD21" s="92"/>
      <c r="KE21" s="92"/>
      <c r="KF21" s="92"/>
      <c r="KG21" s="92"/>
      <c r="KH21" s="92"/>
      <c r="KI21" s="92"/>
      <c r="KJ21" s="92"/>
      <c r="KK21" s="92"/>
      <c r="KL21" s="92"/>
      <c r="KM21" s="92"/>
      <c r="KN21" s="92"/>
      <c r="KO21" s="92"/>
      <c r="KP21" s="92"/>
      <c r="KQ21" s="88"/>
      <c r="KR21" s="92"/>
      <c r="KS21" s="92"/>
      <c r="KT21" s="92"/>
      <c r="KU21" s="93"/>
      <c r="KV21" s="92"/>
      <c r="KW21" s="93"/>
      <c r="KX21" s="92"/>
      <c r="KY21" s="93"/>
      <c r="KZ21" s="92"/>
      <c r="LA21" s="93"/>
      <c r="LB21" s="92"/>
      <c r="LC21" s="93"/>
      <c r="LD21" s="92"/>
      <c r="LE21" s="93"/>
      <c r="LF21" s="92"/>
      <c r="LG21" s="92"/>
      <c r="LH21" s="92"/>
      <c r="LI21" s="92"/>
      <c r="LJ21" s="92"/>
      <c r="LK21" s="92"/>
      <c r="LL21" s="92"/>
      <c r="LM21" s="92"/>
      <c r="LN21" s="92"/>
      <c r="LO21" s="92"/>
      <c r="LP21" s="88"/>
      <c r="LQ21" s="93"/>
      <c r="LR21" s="88"/>
      <c r="LS21" s="93"/>
      <c r="LT21" s="93"/>
      <c r="LU21" s="93"/>
      <c r="LV21" s="93"/>
      <c r="LW21" s="93"/>
      <c r="LX21" s="93"/>
      <c r="LY21" s="93"/>
      <c r="LZ21" s="93"/>
      <c r="MA21" s="93"/>
      <c r="MB21" s="93"/>
      <c r="MC21" s="94"/>
      <c r="MD21" s="94"/>
      <c r="ME21" s="94"/>
      <c r="MF21" s="94"/>
      <c r="MG21" s="94"/>
      <c r="MH21" s="94"/>
      <c r="MI21" s="94"/>
      <c r="MJ21" s="94"/>
      <c r="MK21" s="94"/>
      <c r="ML21" s="94"/>
      <c r="MM21" s="94"/>
      <c r="MN21" s="94"/>
      <c r="MO21" s="95"/>
      <c r="MP21" s="95"/>
      <c r="MQ21" s="94"/>
      <c r="MR21" s="94"/>
      <c r="MS21" s="94"/>
      <c r="MT21" s="94"/>
      <c r="MU21" s="94"/>
      <c r="MV21" s="94"/>
      <c r="MW21" s="94"/>
      <c r="MX21" s="94"/>
      <c r="MY21" s="94"/>
      <c r="MZ21" s="94"/>
      <c r="NA21" s="94"/>
      <c r="NB21" s="94"/>
      <c r="NC21" s="94"/>
      <c r="ND21" s="94"/>
      <c r="NE21" s="94"/>
      <c r="NF21" s="94"/>
      <c r="NG21" s="94"/>
      <c r="NH21" s="94"/>
      <c r="NI21" s="94"/>
      <c r="NJ21" s="94"/>
    </row>
    <row r="22" spans="1:374" x14ac:dyDescent="0.25">
      <c r="A22" s="88"/>
      <c r="B22" s="88"/>
      <c r="C22" s="88"/>
      <c r="D22" s="88"/>
      <c r="E22" s="89"/>
      <c r="F22" s="88"/>
      <c r="G22" s="88"/>
      <c r="H22" s="88" t="str">
        <f t="shared" si="26"/>
        <v xml:space="preserve">  </v>
      </c>
      <c r="I22" s="88"/>
      <c r="J22" s="88"/>
      <c r="K22" s="88"/>
      <c r="L22" s="88"/>
      <c r="M22" s="88"/>
      <c r="N22" s="88"/>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1"/>
      <c r="AR22" s="75"/>
      <c r="AS22" s="91"/>
      <c r="AT22" s="91"/>
      <c r="AU22" s="90"/>
      <c r="AV22" s="91"/>
      <c r="AW22" s="91"/>
      <c r="AX22" s="91"/>
      <c r="AY22" s="91"/>
      <c r="AZ22" s="91"/>
      <c r="BA22" s="91"/>
      <c r="BB22" s="90"/>
      <c r="BC22" s="91"/>
      <c r="BD22" s="75"/>
      <c r="BE22" s="91"/>
      <c r="BF22" s="91"/>
      <c r="BG22" s="90"/>
      <c r="BH22" s="91"/>
      <c r="BI22" s="91"/>
      <c r="BJ22" s="91"/>
      <c r="BK22" s="91"/>
      <c r="BL22" s="91"/>
      <c r="BM22" s="91"/>
      <c r="BN22" s="90"/>
      <c r="BO22" s="91"/>
      <c r="BP22" s="75"/>
      <c r="BQ22" s="91"/>
      <c r="BR22" s="91"/>
      <c r="BS22" s="90"/>
      <c r="BT22" s="91"/>
      <c r="BU22" s="91"/>
      <c r="BV22" s="91"/>
      <c r="BW22" s="91"/>
      <c r="BX22" s="91"/>
      <c r="BY22" s="91"/>
      <c r="BZ22" s="90"/>
      <c r="CA22" s="91"/>
      <c r="CB22" s="75"/>
      <c r="CC22" s="91"/>
      <c r="CD22" s="91"/>
      <c r="CE22" s="90"/>
      <c r="CF22" s="91"/>
      <c r="CG22" s="91"/>
      <c r="CH22" s="91"/>
      <c r="CI22" s="91"/>
      <c r="CJ22" s="91"/>
      <c r="CK22" s="91"/>
      <c r="CL22" s="90"/>
      <c r="CM22" s="91"/>
      <c r="CN22" s="75"/>
      <c r="CO22" s="91"/>
      <c r="CP22" s="91"/>
      <c r="CQ22" s="90"/>
      <c r="CR22" s="91"/>
      <c r="CS22" s="91"/>
      <c r="CT22" s="91"/>
      <c r="CU22" s="91"/>
      <c r="CV22" s="91"/>
      <c r="CW22" s="91"/>
      <c r="CX22" s="90"/>
      <c r="CY22" s="91"/>
      <c r="CZ22" s="75"/>
      <c r="DA22" s="91"/>
      <c r="DB22" s="91"/>
      <c r="DC22" s="90"/>
      <c r="DD22" s="91"/>
      <c r="DE22" s="91"/>
      <c r="DF22" s="91"/>
      <c r="DG22" s="91"/>
      <c r="DH22" s="91"/>
      <c r="DI22" s="91"/>
      <c r="DJ22" s="90"/>
      <c r="DK22" s="91"/>
      <c r="DL22" s="75"/>
      <c r="DM22" s="75"/>
      <c r="DN22" s="75">
        <f t="shared" si="1"/>
        <v>0</v>
      </c>
      <c r="DO22" s="75" t="str">
        <f t="shared" si="2"/>
        <v/>
      </c>
      <c r="DP22" s="91"/>
      <c r="DQ22" s="91"/>
      <c r="DR22" s="90"/>
      <c r="DS22" s="91"/>
      <c r="DT22" s="91"/>
      <c r="DU22" s="91"/>
      <c r="DV22" s="91"/>
      <c r="DW22" s="91"/>
      <c r="DX22" s="91"/>
      <c r="DY22" s="90"/>
      <c r="DZ22" s="91"/>
      <c r="EA22" s="75"/>
      <c r="EB22" s="91"/>
      <c r="EC22" s="91"/>
      <c r="ED22" s="90"/>
      <c r="EE22" s="91"/>
      <c r="EF22" s="91"/>
      <c r="EG22" s="91"/>
      <c r="EH22" s="91"/>
      <c r="EI22" s="91"/>
      <c r="EJ22" s="91"/>
      <c r="EK22" s="90"/>
      <c r="EL22" s="90"/>
      <c r="EM22" s="88"/>
      <c r="EN22" s="92"/>
      <c r="EO22" s="92"/>
      <c r="EP22" s="92"/>
      <c r="EQ22" s="92"/>
      <c r="ER22" s="92"/>
      <c r="ES22" s="92"/>
      <c r="ET22" s="92"/>
      <c r="EU22" s="92"/>
      <c r="EV22" s="92"/>
      <c r="EW22" s="92"/>
      <c r="EX22" s="92"/>
      <c r="EY22" s="92"/>
      <c r="EZ22" s="92"/>
      <c r="FA22" s="92"/>
      <c r="FB22" s="92"/>
      <c r="FC22" s="92"/>
      <c r="FD22" s="92"/>
      <c r="FE22" s="92"/>
      <c r="FF22" s="92"/>
      <c r="FG22" s="92"/>
      <c r="FH22" s="92"/>
      <c r="FI22" s="92"/>
      <c r="FJ22" s="92"/>
      <c r="FK22" s="92"/>
      <c r="FL22" s="92"/>
      <c r="FM22" s="92"/>
      <c r="FN22" s="92"/>
      <c r="FO22" s="92"/>
      <c r="FP22" s="92"/>
      <c r="FQ22" s="92"/>
      <c r="FR22" s="92"/>
      <c r="FS22" s="92"/>
      <c r="FT22" s="92"/>
      <c r="FU22" s="92"/>
      <c r="FV22" s="92"/>
      <c r="FW22" s="92"/>
      <c r="FX22" s="92"/>
      <c r="FY22" s="92"/>
      <c r="FZ22" s="92"/>
      <c r="GA22" s="92"/>
      <c r="GB22" s="92"/>
      <c r="GC22" s="92"/>
      <c r="GD22" s="92"/>
      <c r="GE22" s="92"/>
      <c r="GF22" s="92"/>
      <c r="GG22" s="92"/>
      <c r="GH22" s="92"/>
      <c r="GI22" s="92"/>
      <c r="GJ22" s="92"/>
      <c r="GK22" s="92"/>
      <c r="GL22" s="92"/>
      <c r="GM22" s="92"/>
      <c r="GN22" s="92"/>
      <c r="GO22" s="92"/>
      <c r="GP22" s="92"/>
      <c r="GQ22" s="92"/>
      <c r="GR22" s="92"/>
      <c r="GS22" s="92"/>
      <c r="GT22" s="92"/>
      <c r="GU22" s="92"/>
      <c r="GV22" s="92"/>
      <c r="GW22" s="92"/>
      <c r="GX22" s="92"/>
      <c r="GY22" s="92"/>
      <c r="GZ22" s="92"/>
      <c r="HA22" s="92"/>
      <c r="HB22" s="92"/>
      <c r="HC22" s="92"/>
      <c r="HD22" s="92"/>
      <c r="HE22" s="92"/>
      <c r="HF22" s="92"/>
      <c r="HG22" s="92"/>
      <c r="HH22" s="92"/>
      <c r="HI22" s="92"/>
      <c r="HJ22" s="92"/>
      <c r="HK22" s="92"/>
      <c r="HL22" s="92"/>
      <c r="HM22" s="92"/>
      <c r="HN22" s="92"/>
      <c r="HO22" s="92"/>
      <c r="HP22" s="92"/>
      <c r="HQ22" s="92"/>
      <c r="HR22" s="92"/>
      <c r="HS22" s="92"/>
      <c r="HT22" s="92"/>
      <c r="HU22" s="92"/>
      <c r="HV22" s="92"/>
      <c r="HW22" s="92"/>
      <c r="HX22" s="92"/>
      <c r="HY22" s="92"/>
      <c r="HZ22" s="92"/>
      <c r="IA22" s="92"/>
      <c r="IB22" s="92"/>
      <c r="IC22" s="92"/>
      <c r="ID22" s="92"/>
      <c r="IE22" s="92"/>
      <c r="IF22" s="92"/>
      <c r="IG22" s="92"/>
      <c r="IH22" s="92"/>
      <c r="II22" s="92"/>
      <c r="IJ22" s="92"/>
      <c r="IK22" s="92"/>
      <c r="IL22" s="92"/>
      <c r="IM22" s="92"/>
      <c r="IN22" s="92"/>
      <c r="IO22" s="92"/>
      <c r="IP22" s="92"/>
      <c r="IQ22" s="92"/>
      <c r="IR22" s="92"/>
      <c r="IS22" s="92"/>
      <c r="IT22" s="92"/>
      <c r="IU22" s="92"/>
      <c r="IV22" s="92"/>
      <c r="IW22" s="92"/>
      <c r="IX22" s="92"/>
      <c r="IY22" s="92"/>
      <c r="IZ22" s="92"/>
      <c r="JA22" s="92"/>
      <c r="JB22" s="92"/>
      <c r="JC22" s="92"/>
      <c r="JD22" s="92"/>
      <c r="JE22" s="92"/>
      <c r="JF22" s="92"/>
      <c r="JG22" s="92"/>
      <c r="JH22" s="92"/>
      <c r="JI22" s="92"/>
      <c r="JJ22" s="92"/>
      <c r="JK22" s="92"/>
      <c r="JL22" s="92"/>
      <c r="JM22" s="92"/>
      <c r="JN22" s="92"/>
      <c r="JO22" s="92"/>
      <c r="JP22" s="92"/>
      <c r="JQ22" s="92"/>
      <c r="JR22" s="92"/>
      <c r="JS22" s="92"/>
      <c r="JT22" s="92"/>
      <c r="JU22" s="92"/>
      <c r="JV22" s="92"/>
      <c r="JW22" s="92"/>
      <c r="JX22" s="92"/>
      <c r="JY22" s="92"/>
      <c r="JZ22" s="92"/>
      <c r="KA22" s="92"/>
      <c r="KB22" s="92"/>
      <c r="KC22" s="92"/>
      <c r="KD22" s="92"/>
      <c r="KE22" s="92"/>
      <c r="KF22" s="92"/>
      <c r="KG22" s="92"/>
      <c r="KH22" s="92"/>
      <c r="KI22" s="92"/>
      <c r="KJ22" s="92"/>
      <c r="KK22" s="92"/>
      <c r="KL22" s="92"/>
      <c r="KM22" s="92"/>
      <c r="KN22" s="92"/>
      <c r="KO22" s="92"/>
      <c r="KP22" s="92"/>
      <c r="KQ22" s="88"/>
      <c r="KR22" s="92"/>
      <c r="KS22" s="92"/>
      <c r="KT22" s="92"/>
      <c r="KU22" s="93"/>
      <c r="KV22" s="92"/>
      <c r="KW22" s="93"/>
      <c r="KX22" s="92"/>
      <c r="KY22" s="93"/>
      <c r="KZ22" s="92"/>
      <c r="LA22" s="93"/>
      <c r="LB22" s="92"/>
      <c r="LC22" s="93"/>
      <c r="LD22" s="92"/>
      <c r="LE22" s="93"/>
      <c r="LF22" s="92"/>
      <c r="LG22" s="92"/>
      <c r="LH22" s="92"/>
      <c r="LI22" s="92"/>
      <c r="LJ22" s="92"/>
      <c r="LK22" s="92"/>
      <c r="LL22" s="92"/>
      <c r="LM22" s="92"/>
      <c r="LN22" s="92"/>
      <c r="LO22" s="92"/>
      <c r="LP22" s="88"/>
      <c r="LQ22" s="93"/>
      <c r="LR22" s="88"/>
      <c r="LS22" s="93"/>
      <c r="LT22" s="93"/>
      <c r="LU22" s="93"/>
      <c r="LV22" s="93"/>
      <c r="LW22" s="93"/>
      <c r="LX22" s="93"/>
      <c r="LY22" s="93"/>
      <c r="LZ22" s="93"/>
      <c r="MA22" s="93"/>
      <c r="MB22" s="93"/>
      <c r="MC22" s="94"/>
      <c r="MD22" s="94"/>
      <c r="ME22" s="94"/>
      <c r="MF22" s="94"/>
      <c r="MG22" s="94"/>
      <c r="MH22" s="94"/>
      <c r="MI22" s="94"/>
      <c r="MJ22" s="94"/>
      <c r="MK22" s="94"/>
      <c r="ML22" s="94"/>
      <c r="MM22" s="94"/>
      <c r="MN22" s="94"/>
      <c r="MO22" s="95"/>
      <c r="MP22" s="95"/>
      <c r="MQ22" s="94"/>
      <c r="MR22" s="94"/>
      <c r="MS22" s="94"/>
      <c r="MT22" s="94"/>
      <c r="MU22" s="94"/>
      <c r="MV22" s="94"/>
      <c r="MW22" s="94"/>
      <c r="MX22" s="94"/>
      <c r="MY22" s="94"/>
      <c r="MZ22" s="94"/>
      <c r="NA22" s="94"/>
      <c r="NB22" s="94"/>
      <c r="NC22" s="94"/>
      <c r="ND22" s="94"/>
      <c r="NE22" s="94"/>
      <c r="NF22" s="94"/>
      <c r="NG22" s="94"/>
      <c r="NH22" s="94"/>
      <c r="NI22" s="94"/>
      <c r="NJ22" s="94"/>
    </row>
    <row r="23" spans="1:374" x14ac:dyDescent="0.25">
      <c r="A23" s="88"/>
      <c r="B23" s="88"/>
      <c r="C23" s="88"/>
      <c r="D23" s="88"/>
      <c r="E23" s="89"/>
      <c r="F23" s="88"/>
      <c r="G23" s="88"/>
      <c r="H23" s="88" t="str">
        <f t="shared" si="26"/>
        <v xml:space="preserve">  </v>
      </c>
      <c r="I23" s="88"/>
      <c r="J23" s="88"/>
      <c r="K23" s="88"/>
      <c r="L23" s="88"/>
      <c r="M23" s="88"/>
      <c r="N23" s="88"/>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1"/>
      <c r="AR23" s="75"/>
      <c r="AS23" s="91"/>
      <c r="AT23" s="91"/>
      <c r="AU23" s="90"/>
      <c r="AV23" s="91"/>
      <c r="AW23" s="91"/>
      <c r="AX23" s="91"/>
      <c r="AY23" s="91"/>
      <c r="AZ23" s="91"/>
      <c r="BA23" s="91"/>
      <c r="BB23" s="90"/>
      <c r="BC23" s="91"/>
      <c r="BD23" s="75"/>
      <c r="BE23" s="91"/>
      <c r="BF23" s="91"/>
      <c r="BG23" s="90"/>
      <c r="BH23" s="91"/>
      <c r="BI23" s="91"/>
      <c r="BJ23" s="91"/>
      <c r="BK23" s="91"/>
      <c r="BL23" s="91"/>
      <c r="BM23" s="91"/>
      <c r="BN23" s="90"/>
      <c r="BO23" s="91"/>
      <c r="BP23" s="75"/>
      <c r="BQ23" s="91"/>
      <c r="BR23" s="91"/>
      <c r="BS23" s="90"/>
      <c r="BT23" s="91"/>
      <c r="BU23" s="91"/>
      <c r="BV23" s="91"/>
      <c r="BW23" s="91"/>
      <c r="BX23" s="91"/>
      <c r="BY23" s="91"/>
      <c r="BZ23" s="90"/>
      <c r="CA23" s="91"/>
      <c r="CB23" s="75"/>
      <c r="CC23" s="91"/>
      <c r="CD23" s="91"/>
      <c r="CE23" s="90"/>
      <c r="CF23" s="91"/>
      <c r="CG23" s="91"/>
      <c r="CH23" s="91"/>
      <c r="CI23" s="91"/>
      <c r="CJ23" s="91"/>
      <c r="CK23" s="91"/>
      <c r="CL23" s="90"/>
      <c r="CM23" s="91"/>
      <c r="CN23" s="75"/>
      <c r="CO23" s="91"/>
      <c r="CP23" s="91"/>
      <c r="CQ23" s="90"/>
      <c r="CR23" s="91"/>
      <c r="CS23" s="91"/>
      <c r="CT23" s="91"/>
      <c r="CU23" s="91"/>
      <c r="CV23" s="91"/>
      <c r="CW23" s="91"/>
      <c r="CX23" s="90"/>
      <c r="CY23" s="91"/>
      <c r="CZ23" s="75"/>
      <c r="DA23" s="91"/>
      <c r="DB23" s="91"/>
      <c r="DC23" s="90"/>
      <c r="DD23" s="91"/>
      <c r="DE23" s="91"/>
      <c r="DF23" s="91"/>
      <c r="DG23" s="91"/>
      <c r="DH23" s="91"/>
      <c r="DI23" s="91"/>
      <c r="DJ23" s="90"/>
      <c r="DK23" s="91"/>
      <c r="DL23" s="75"/>
      <c r="DM23" s="75"/>
      <c r="DN23" s="75">
        <f t="shared" si="1"/>
        <v>0</v>
      </c>
      <c r="DO23" s="75" t="str">
        <f t="shared" si="2"/>
        <v/>
      </c>
      <c r="DP23" s="91"/>
      <c r="DQ23" s="91"/>
      <c r="DR23" s="90"/>
      <c r="DS23" s="91"/>
      <c r="DT23" s="91"/>
      <c r="DU23" s="91"/>
      <c r="DV23" s="91"/>
      <c r="DW23" s="91"/>
      <c r="DX23" s="91"/>
      <c r="DY23" s="90"/>
      <c r="DZ23" s="91"/>
      <c r="EA23" s="75"/>
      <c r="EB23" s="91"/>
      <c r="EC23" s="91"/>
      <c r="ED23" s="90"/>
      <c r="EE23" s="91"/>
      <c r="EF23" s="91"/>
      <c r="EG23" s="91"/>
      <c r="EH23" s="91"/>
      <c r="EI23" s="91"/>
      <c r="EJ23" s="91"/>
      <c r="EK23" s="90"/>
      <c r="EL23" s="90"/>
      <c r="EM23" s="88"/>
      <c r="EN23" s="92"/>
      <c r="EO23" s="92"/>
      <c r="EP23" s="92"/>
      <c r="EQ23" s="92"/>
      <c r="ER23" s="92"/>
      <c r="ES23" s="92"/>
      <c r="ET23" s="92"/>
      <c r="EU23" s="92"/>
      <c r="EV23" s="92"/>
      <c r="EW23" s="92"/>
      <c r="EX23" s="92"/>
      <c r="EY23" s="92"/>
      <c r="EZ23" s="92"/>
      <c r="FA23" s="92"/>
      <c r="FB23" s="92"/>
      <c r="FC23" s="92"/>
      <c r="FD23" s="92"/>
      <c r="FE23" s="92"/>
      <c r="FF23" s="92"/>
      <c r="FG23" s="92"/>
      <c r="FH23" s="92"/>
      <c r="FI23" s="92"/>
      <c r="FJ23" s="92"/>
      <c r="FK23" s="92"/>
      <c r="FL23" s="92"/>
      <c r="FM23" s="92"/>
      <c r="FN23" s="92"/>
      <c r="FO23" s="92"/>
      <c r="FP23" s="92"/>
      <c r="FQ23" s="92"/>
      <c r="FR23" s="92"/>
      <c r="FS23" s="92"/>
      <c r="FT23" s="92"/>
      <c r="FU23" s="92"/>
      <c r="FV23" s="92"/>
      <c r="FW23" s="92"/>
      <c r="FX23" s="92"/>
      <c r="FY23" s="92"/>
      <c r="FZ23" s="92"/>
      <c r="GA23" s="92"/>
      <c r="GB23" s="92"/>
      <c r="GC23" s="92"/>
      <c r="GD23" s="92"/>
      <c r="GE23" s="92"/>
      <c r="GF23" s="92"/>
      <c r="GG23" s="92"/>
      <c r="GH23" s="92"/>
      <c r="GI23" s="92"/>
      <c r="GJ23" s="92"/>
      <c r="GK23" s="92"/>
      <c r="GL23" s="92"/>
      <c r="GM23" s="92"/>
      <c r="GN23" s="92"/>
      <c r="GO23" s="92"/>
      <c r="GP23" s="92"/>
      <c r="GQ23" s="92"/>
      <c r="GR23" s="92"/>
      <c r="GS23" s="92"/>
      <c r="GT23" s="92"/>
      <c r="GU23" s="92"/>
      <c r="GV23" s="92"/>
      <c r="GW23" s="92"/>
      <c r="GX23" s="92"/>
      <c r="GY23" s="92"/>
      <c r="GZ23" s="92"/>
      <c r="HA23" s="92"/>
      <c r="HB23" s="92"/>
      <c r="HC23" s="92"/>
      <c r="HD23" s="92"/>
      <c r="HE23" s="92"/>
      <c r="HF23" s="92"/>
      <c r="HG23" s="92"/>
      <c r="HH23" s="92"/>
      <c r="HI23" s="92"/>
      <c r="HJ23" s="92"/>
      <c r="HK23" s="92"/>
      <c r="HL23" s="92"/>
      <c r="HM23" s="92"/>
      <c r="HN23" s="92"/>
      <c r="HO23" s="92"/>
      <c r="HP23" s="92"/>
      <c r="HQ23" s="92"/>
      <c r="HR23" s="92"/>
      <c r="HS23" s="92"/>
      <c r="HT23" s="92"/>
      <c r="HU23" s="92"/>
      <c r="HV23" s="92"/>
      <c r="HW23" s="92"/>
      <c r="HX23" s="92"/>
      <c r="HY23" s="92"/>
      <c r="HZ23" s="92"/>
      <c r="IA23" s="92"/>
      <c r="IB23" s="92"/>
      <c r="IC23" s="92"/>
      <c r="ID23" s="92"/>
      <c r="IE23" s="92"/>
      <c r="IF23" s="92"/>
      <c r="IG23" s="92"/>
      <c r="IH23" s="92"/>
      <c r="II23" s="92"/>
      <c r="IJ23" s="92"/>
      <c r="IK23" s="92"/>
      <c r="IL23" s="92"/>
      <c r="IM23" s="92"/>
      <c r="IN23" s="92"/>
      <c r="IO23" s="92"/>
      <c r="IP23" s="92"/>
      <c r="IQ23" s="92"/>
      <c r="IR23" s="92"/>
      <c r="IS23" s="92"/>
      <c r="IT23" s="92"/>
      <c r="IU23" s="92"/>
      <c r="IV23" s="92"/>
      <c r="IW23" s="92"/>
      <c r="IX23" s="92"/>
      <c r="IY23" s="92"/>
      <c r="IZ23" s="92"/>
      <c r="JA23" s="92"/>
      <c r="JB23" s="92"/>
      <c r="JC23" s="92"/>
      <c r="JD23" s="92"/>
      <c r="JE23" s="92"/>
      <c r="JF23" s="92"/>
      <c r="JG23" s="92"/>
      <c r="JH23" s="92"/>
      <c r="JI23" s="92"/>
      <c r="JJ23" s="92"/>
      <c r="JK23" s="92"/>
      <c r="JL23" s="92"/>
      <c r="JM23" s="92"/>
      <c r="JN23" s="92"/>
      <c r="JO23" s="92"/>
      <c r="JP23" s="92"/>
      <c r="JQ23" s="92"/>
      <c r="JR23" s="92"/>
      <c r="JS23" s="92"/>
      <c r="JT23" s="92"/>
      <c r="JU23" s="92"/>
      <c r="JV23" s="92"/>
      <c r="JW23" s="92"/>
      <c r="JX23" s="92"/>
      <c r="JY23" s="92"/>
      <c r="JZ23" s="92"/>
      <c r="KA23" s="92"/>
      <c r="KB23" s="92"/>
      <c r="KC23" s="92"/>
      <c r="KD23" s="92"/>
      <c r="KE23" s="92"/>
      <c r="KF23" s="92"/>
      <c r="KG23" s="92"/>
      <c r="KH23" s="92"/>
      <c r="KI23" s="92"/>
      <c r="KJ23" s="92"/>
      <c r="KK23" s="92"/>
      <c r="KL23" s="92"/>
      <c r="KM23" s="92"/>
      <c r="KN23" s="92"/>
      <c r="KO23" s="92"/>
      <c r="KP23" s="92"/>
      <c r="KQ23" s="88"/>
      <c r="KR23" s="92"/>
      <c r="KS23" s="92"/>
      <c r="KT23" s="92"/>
      <c r="KU23" s="93"/>
      <c r="KV23" s="92"/>
      <c r="KW23" s="93"/>
      <c r="KX23" s="92"/>
      <c r="KY23" s="93"/>
      <c r="KZ23" s="92"/>
      <c r="LA23" s="93"/>
      <c r="LB23" s="92"/>
      <c r="LC23" s="93"/>
      <c r="LD23" s="92"/>
      <c r="LE23" s="93"/>
      <c r="LF23" s="92"/>
      <c r="LG23" s="92"/>
      <c r="LH23" s="92"/>
      <c r="LI23" s="92"/>
      <c r="LJ23" s="92"/>
      <c r="LK23" s="92"/>
      <c r="LL23" s="92"/>
      <c r="LM23" s="92"/>
      <c r="LN23" s="92"/>
      <c r="LO23" s="92"/>
      <c r="LP23" s="88"/>
      <c r="LQ23" s="93"/>
      <c r="LR23" s="88"/>
      <c r="LS23" s="93"/>
      <c r="LT23" s="93"/>
      <c r="LU23" s="93"/>
      <c r="LV23" s="93"/>
      <c r="LW23" s="93"/>
      <c r="LX23" s="93"/>
      <c r="LY23" s="93"/>
      <c r="LZ23" s="93"/>
      <c r="MA23" s="93"/>
      <c r="MB23" s="93"/>
      <c r="MC23" s="94"/>
      <c r="MD23" s="94"/>
      <c r="ME23" s="94"/>
      <c r="MF23" s="94"/>
      <c r="MG23" s="94"/>
      <c r="MH23" s="94"/>
      <c r="MI23" s="94"/>
      <c r="MJ23" s="94"/>
      <c r="MK23" s="94"/>
      <c r="ML23" s="94"/>
      <c r="MM23" s="94"/>
      <c r="MN23" s="94"/>
      <c r="MO23" s="95"/>
      <c r="MP23" s="95"/>
      <c r="MQ23" s="94"/>
      <c r="MR23" s="94"/>
      <c r="MS23" s="94"/>
      <c r="MT23" s="94"/>
      <c r="MU23" s="94"/>
      <c r="MV23" s="94"/>
      <c r="MW23" s="94"/>
      <c r="MX23" s="94"/>
      <c r="MY23" s="94"/>
      <c r="MZ23" s="94"/>
      <c r="NA23" s="94"/>
      <c r="NB23" s="94"/>
      <c r="NC23" s="94"/>
      <c r="ND23" s="94"/>
      <c r="NE23" s="94"/>
      <c r="NF23" s="94"/>
      <c r="NG23" s="94"/>
      <c r="NH23" s="94"/>
      <c r="NI23" s="94"/>
      <c r="NJ23" s="94"/>
    </row>
    <row r="24" spans="1:374" x14ac:dyDescent="0.25">
      <c r="A24" s="88"/>
      <c r="B24" s="88"/>
      <c r="C24" s="88"/>
      <c r="D24" s="88"/>
      <c r="E24" s="89"/>
      <c r="F24" s="88"/>
      <c r="G24" s="88"/>
      <c r="H24" s="88" t="str">
        <f t="shared" si="26"/>
        <v xml:space="preserve">  </v>
      </c>
      <c r="I24" s="88"/>
      <c r="J24" s="88"/>
      <c r="K24" s="88"/>
      <c r="L24" s="88"/>
      <c r="M24" s="88"/>
      <c r="N24" s="88"/>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1"/>
      <c r="AR24" s="75"/>
      <c r="AS24" s="91"/>
      <c r="AT24" s="91"/>
      <c r="AU24" s="90"/>
      <c r="AV24" s="91"/>
      <c r="AW24" s="91"/>
      <c r="AX24" s="91"/>
      <c r="AY24" s="91"/>
      <c r="AZ24" s="91"/>
      <c r="BA24" s="91"/>
      <c r="BB24" s="90"/>
      <c r="BC24" s="91"/>
      <c r="BD24" s="75"/>
      <c r="BE24" s="91"/>
      <c r="BF24" s="91"/>
      <c r="BG24" s="90"/>
      <c r="BH24" s="91"/>
      <c r="BI24" s="91"/>
      <c r="BJ24" s="91"/>
      <c r="BK24" s="91"/>
      <c r="BL24" s="91"/>
      <c r="BM24" s="91"/>
      <c r="BN24" s="90"/>
      <c r="BO24" s="91"/>
      <c r="BP24" s="75"/>
      <c r="BQ24" s="91"/>
      <c r="BR24" s="91"/>
      <c r="BS24" s="90"/>
      <c r="BT24" s="91"/>
      <c r="BU24" s="91"/>
      <c r="BV24" s="91"/>
      <c r="BW24" s="91"/>
      <c r="BX24" s="91"/>
      <c r="BY24" s="91"/>
      <c r="BZ24" s="90"/>
      <c r="CA24" s="91"/>
      <c r="CB24" s="75"/>
      <c r="CC24" s="91"/>
      <c r="CD24" s="91"/>
      <c r="CE24" s="90"/>
      <c r="CF24" s="91"/>
      <c r="CG24" s="91"/>
      <c r="CH24" s="91"/>
      <c r="CI24" s="91"/>
      <c r="CJ24" s="91"/>
      <c r="CK24" s="91"/>
      <c r="CL24" s="90"/>
      <c r="CM24" s="91"/>
      <c r="CN24" s="75"/>
      <c r="CO24" s="91"/>
      <c r="CP24" s="91"/>
      <c r="CQ24" s="90"/>
      <c r="CR24" s="91"/>
      <c r="CS24" s="91"/>
      <c r="CT24" s="91"/>
      <c r="CU24" s="91"/>
      <c r="CV24" s="91"/>
      <c r="CW24" s="91"/>
      <c r="CX24" s="90"/>
      <c r="CY24" s="91"/>
      <c r="CZ24" s="75"/>
      <c r="DA24" s="91"/>
      <c r="DB24" s="91"/>
      <c r="DC24" s="90"/>
      <c r="DD24" s="91"/>
      <c r="DE24" s="91"/>
      <c r="DF24" s="91"/>
      <c r="DG24" s="91"/>
      <c r="DH24" s="91"/>
      <c r="DI24" s="91"/>
      <c r="DJ24" s="90"/>
      <c r="DK24" s="91"/>
      <c r="DL24" s="75"/>
      <c r="DM24" s="75"/>
      <c r="DN24" s="75">
        <f t="shared" si="1"/>
        <v>0</v>
      </c>
      <c r="DO24" s="75" t="str">
        <f t="shared" si="2"/>
        <v/>
      </c>
      <c r="DP24" s="91"/>
      <c r="DQ24" s="91"/>
      <c r="DR24" s="90"/>
      <c r="DS24" s="91"/>
      <c r="DT24" s="91"/>
      <c r="DU24" s="91"/>
      <c r="DV24" s="91"/>
      <c r="DW24" s="91"/>
      <c r="DX24" s="91"/>
      <c r="DY24" s="90"/>
      <c r="DZ24" s="91"/>
      <c r="EA24" s="75"/>
      <c r="EB24" s="91"/>
      <c r="EC24" s="91"/>
      <c r="ED24" s="90"/>
      <c r="EE24" s="91"/>
      <c r="EF24" s="91"/>
      <c r="EG24" s="91"/>
      <c r="EH24" s="91"/>
      <c r="EI24" s="91"/>
      <c r="EJ24" s="91"/>
      <c r="EK24" s="90"/>
      <c r="EL24" s="90"/>
      <c r="EM24" s="88"/>
      <c r="EN24" s="92"/>
      <c r="EO24" s="92"/>
      <c r="EP24" s="92"/>
      <c r="EQ24" s="92"/>
      <c r="ER24" s="92"/>
      <c r="ES24" s="92"/>
      <c r="ET24" s="92"/>
      <c r="EU24" s="92"/>
      <c r="EV24" s="92"/>
      <c r="EW24" s="92"/>
      <c r="EX24" s="92"/>
      <c r="EY24" s="92"/>
      <c r="EZ24" s="92"/>
      <c r="FA24" s="92"/>
      <c r="FB24" s="92"/>
      <c r="FC24" s="92"/>
      <c r="FD24" s="92"/>
      <c r="FE24" s="92"/>
      <c r="FF24" s="92"/>
      <c r="FG24" s="92"/>
      <c r="FH24" s="92"/>
      <c r="FI24" s="92"/>
      <c r="FJ24" s="92"/>
      <c r="FK24" s="92"/>
      <c r="FL24" s="92"/>
      <c r="FM24" s="92"/>
      <c r="FN24" s="92"/>
      <c r="FO24" s="92"/>
      <c r="FP24" s="92"/>
      <c r="FQ24" s="92"/>
      <c r="FR24" s="92"/>
      <c r="FS24" s="92"/>
      <c r="FT24" s="92"/>
      <c r="FU24" s="92"/>
      <c r="FV24" s="92"/>
      <c r="FW24" s="92"/>
      <c r="FX24" s="92"/>
      <c r="FY24" s="92"/>
      <c r="FZ24" s="92"/>
      <c r="GA24" s="92"/>
      <c r="GB24" s="92"/>
      <c r="GC24" s="92"/>
      <c r="GD24" s="92"/>
      <c r="GE24" s="92"/>
      <c r="GF24" s="92"/>
      <c r="GG24" s="92"/>
      <c r="GH24" s="92"/>
      <c r="GI24" s="92"/>
      <c r="GJ24" s="92"/>
      <c r="GK24" s="92"/>
      <c r="GL24" s="92"/>
      <c r="GM24" s="92"/>
      <c r="GN24" s="92"/>
      <c r="GO24" s="92"/>
      <c r="GP24" s="92"/>
      <c r="GQ24" s="92"/>
      <c r="GR24" s="92"/>
      <c r="GS24" s="92"/>
      <c r="GT24" s="92"/>
      <c r="GU24" s="92"/>
      <c r="GV24" s="92"/>
      <c r="GW24" s="92"/>
      <c r="GX24" s="92"/>
      <c r="GY24" s="92"/>
      <c r="GZ24" s="92"/>
      <c r="HA24" s="92"/>
      <c r="HB24" s="92"/>
      <c r="HC24" s="92"/>
      <c r="HD24" s="92"/>
      <c r="HE24" s="92"/>
      <c r="HF24" s="92"/>
      <c r="HG24" s="92"/>
      <c r="HH24" s="92"/>
      <c r="HI24" s="92"/>
      <c r="HJ24" s="92"/>
      <c r="HK24" s="92"/>
      <c r="HL24" s="92"/>
      <c r="HM24" s="92"/>
      <c r="HN24" s="92"/>
      <c r="HO24" s="92"/>
      <c r="HP24" s="92"/>
      <c r="HQ24" s="92"/>
      <c r="HR24" s="92"/>
      <c r="HS24" s="92"/>
      <c r="HT24" s="92"/>
      <c r="HU24" s="92"/>
      <c r="HV24" s="92"/>
      <c r="HW24" s="92"/>
      <c r="HX24" s="92"/>
      <c r="HY24" s="92"/>
      <c r="HZ24" s="92"/>
      <c r="IA24" s="92"/>
      <c r="IB24" s="92"/>
      <c r="IC24" s="92"/>
      <c r="ID24" s="92"/>
      <c r="IE24" s="92"/>
      <c r="IF24" s="92"/>
      <c r="IG24" s="92"/>
      <c r="IH24" s="92"/>
      <c r="II24" s="92"/>
      <c r="IJ24" s="92"/>
      <c r="IK24" s="92"/>
      <c r="IL24" s="92"/>
      <c r="IM24" s="92"/>
      <c r="IN24" s="92"/>
      <c r="IO24" s="92"/>
      <c r="IP24" s="92"/>
      <c r="IQ24" s="92"/>
      <c r="IR24" s="92"/>
      <c r="IS24" s="92"/>
      <c r="IT24" s="92"/>
      <c r="IU24" s="92"/>
      <c r="IV24" s="92"/>
      <c r="IW24" s="92"/>
      <c r="IX24" s="92"/>
      <c r="IY24" s="92"/>
      <c r="IZ24" s="92"/>
      <c r="JA24" s="92"/>
      <c r="JB24" s="92"/>
      <c r="JC24" s="92"/>
      <c r="JD24" s="92"/>
      <c r="JE24" s="92"/>
      <c r="JF24" s="92"/>
      <c r="JG24" s="92"/>
      <c r="JH24" s="92"/>
      <c r="JI24" s="92"/>
      <c r="JJ24" s="92"/>
      <c r="JK24" s="92"/>
      <c r="JL24" s="92"/>
      <c r="JM24" s="92"/>
      <c r="JN24" s="92"/>
      <c r="JO24" s="92"/>
      <c r="JP24" s="92"/>
      <c r="JQ24" s="92"/>
      <c r="JR24" s="92"/>
      <c r="JS24" s="92"/>
      <c r="JT24" s="92"/>
      <c r="JU24" s="92"/>
      <c r="JV24" s="92"/>
      <c r="JW24" s="92"/>
      <c r="JX24" s="92"/>
      <c r="JY24" s="92"/>
      <c r="JZ24" s="92"/>
      <c r="KA24" s="92"/>
      <c r="KB24" s="92"/>
      <c r="KC24" s="92"/>
      <c r="KD24" s="92"/>
      <c r="KE24" s="92"/>
      <c r="KF24" s="92"/>
      <c r="KG24" s="92"/>
      <c r="KH24" s="92"/>
      <c r="KI24" s="92"/>
      <c r="KJ24" s="92"/>
      <c r="KK24" s="92"/>
      <c r="KL24" s="92"/>
      <c r="KM24" s="92"/>
      <c r="KN24" s="92"/>
      <c r="KO24" s="92"/>
      <c r="KP24" s="92"/>
      <c r="KQ24" s="88"/>
      <c r="KR24" s="92"/>
      <c r="KS24" s="92"/>
      <c r="KT24" s="92"/>
      <c r="KU24" s="93"/>
      <c r="KV24" s="92"/>
      <c r="KW24" s="93"/>
      <c r="KX24" s="92"/>
      <c r="KY24" s="93"/>
      <c r="KZ24" s="92"/>
      <c r="LA24" s="93"/>
      <c r="LB24" s="92"/>
      <c r="LC24" s="93"/>
      <c r="LD24" s="92"/>
      <c r="LE24" s="93"/>
      <c r="LF24" s="92"/>
      <c r="LG24" s="92"/>
      <c r="LH24" s="92"/>
      <c r="LI24" s="92"/>
      <c r="LJ24" s="92"/>
      <c r="LK24" s="92"/>
      <c r="LL24" s="92"/>
      <c r="LM24" s="92"/>
      <c r="LN24" s="92"/>
      <c r="LO24" s="92"/>
      <c r="LP24" s="88"/>
      <c r="LQ24" s="93"/>
      <c r="LR24" s="88"/>
      <c r="LS24" s="93"/>
      <c r="LT24" s="93"/>
      <c r="LU24" s="93"/>
      <c r="LV24" s="93"/>
      <c r="LW24" s="93"/>
      <c r="LX24" s="93"/>
      <c r="LY24" s="93"/>
      <c r="LZ24" s="93"/>
      <c r="MA24" s="93"/>
      <c r="MB24" s="93"/>
      <c r="MC24" s="94"/>
      <c r="MD24" s="94"/>
      <c r="ME24" s="94"/>
      <c r="MF24" s="94"/>
      <c r="MG24" s="94"/>
      <c r="MH24" s="94"/>
      <c r="MI24" s="94"/>
      <c r="MJ24" s="94"/>
      <c r="MK24" s="94"/>
      <c r="ML24" s="94"/>
      <c r="MM24" s="94"/>
      <c r="MN24" s="94"/>
      <c r="MO24" s="95"/>
      <c r="MP24" s="95"/>
      <c r="MQ24" s="94"/>
      <c r="MR24" s="94"/>
      <c r="MS24" s="94"/>
      <c r="MT24" s="94"/>
      <c r="MU24" s="94"/>
      <c r="MV24" s="94"/>
      <c r="MW24" s="94"/>
      <c r="MX24" s="94"/>
      <c r="MY24" s="94"/>
      <c r="MZ24" s="94"/>
      <c r="NA24" s="94"/>
      <c r="NB24" s="94"/>
      <c r="NC24" s="94"/>
      <c r="ND24" s="94"/>
      <c r="NE24" s="94"/>
      <c r="NF24" s="94"/>
      <c r="NG24" s="94"/>
      <c r="NH24" s="94"/>
      <c r="NI24" s="94"/>
      <c r="NJ24" s="94"/>
    </row>
    <row r="25" spans="1:374" x14ac:dyDescent="0.25">
      <c r="A25" s="88"/>
      <c r="B25" s="88"/>
      <c r="C25" s="88"/>
      <c r="D25" s="88"/>
      <c r="E25" s="89"/>
      <c r="F25" s="88"/>
      <c r="G25" s="88"/>
      <c r="H25" s="88" t="str">
        <f t="shared" si="26"/>
        <v xml:space="preserve">  </v>
      </c>
      <c r="I25" s="88"/>
      <c r="J25" s="88"/>
      <c r="K25" s="88"/>
      <c r="L25" s="88"/>
      <c r="M25" s="88"/>
      <c r="N25" s="88"/>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1"/>
      <c r="AR25" s="75"/>
      <c r="AS25" s="91"/>
      <c r="AT25" s="91"/>
      <c r="AU25" s="90"/>
      <c r="AV25" s="91"/>
      <c r="AW25" s="91"/>
      <c r="AX25" s="91"/>
      <c r="AY25" s="91"/>
      <c r="AZ25" s="91"/>
      <c r="BA25" s="91"/>
      <c r="BB25" s="90"/>
      <c r="BC25" s="91"/>
      <c r="BD25" s="75"/>
      <c r="BE25" s="91"/>
      <c r="BF25" s="91"/>
      <c r="BG25" s="90"/>
      <c r="BH25" s="91"/>
      <c r="BI25" s="91"/>
      <c r="BJ25" s="91"/>
      <c r="BK25" s="91"/>
      <c r="BL25" s="91"/>
      <c r="BM25" s="91"/>
      <c r="BN25" s="90"/>
      <c r="BO25" s="91"/>
      <c r="BP25" s="75"/>
      <c r="BQ25" s="91"/>
      <c r="BR25" s="91"/>
      <c r="BS25" s="90"/>
      <c r="BT25" s="91"/>
      <c r="BU25" s="91"/>
      <c r="BV25" s="91"/>
      <c r="BW25" s="91"/>
      <c r="BX25" s="91"/>
      <c r="BY25" s="91"/>
      <c r="BZ25" s="90"/>
      <c r="CA25" s="91"/>
      <c r="CB25" s="75"/>
      <c r="CC25" s="91"/>
      <c r="CD25" s="91"/>
      <c r="CE25" s="90"/>
      <c r="CF25" s="91"/>
      <c r="CG25" s="91"/>
      <c r="CH25" s="91"/>
      <c r="CI25" s="91"/>
      <c r="CJ25" s="91"/>
      <c r="CK25" s="91"/>
      <c r="CL25" s="90"/>
      <c r="CM25" s="91"/>
      <c r="CN25" s="75"/>
      <c r="CO25" s="91"/>
      <c r="CP25" s="91"/>
      <c r="CQ25" s="90"/>
      <c r="CR25" s="91"/>
      <c r="CS25" s="91"/>
      <c r="CT25" s="91"/>
      <c r="CU25" s="91"/>
      <c r="CV25" s="91"/>
      <c r="CW25" s="91"/>
      <c r="CX25" s="90"/>
      <c r="CY25" s="91"/>
      <c r="CZ25" s="75"/>
      <c r="DA25" s="91"/>
      <c r="DB25" s="91"/>
      <c r="DC25" s="90"/>
      <c r="DD25" s="91"/>
      <c r="DE25" s="91"/>
      <c r="DF25" s="91"/>
      <c r="DG25" s="91"/>
      <c r="DH25" s="91"/>
      <c r="DI25" s="91"/>
      <c r="DJ25" s="90"/>
      <c r="DK25" s="91"/>
      <c r="DL25" s="75"/>
      <c r="DM25" s="75"/>
      <c r="DN25" s="75">
        <f t="shared" si="1"/>
        <v>0</v>
      </c>
      <c r="DO25" s="75" t="str">
        <f t="shared" si="2"/>
        <v/>
      </c>
      <c r="DP25" s="91"/>
      <c r="DQ25" s="91"/>
      <c r="DR25" s="90"/>
      <c r="DS25" s="91"/>
      <c r="DT25" s="91"/>
      <c r="DU25" s="91"/>
      <c r="DV25" s="91"/>
      <c r="DW25" s="91"/>
      <c r="DX25" s="91"/>
      <c r="DY25" s="90"/>
      <c r="DZ25" s="91"/>
      <c r="EA25" s="75"/>
      <c r="EB25" s="91"/>
      <c r="EC25" s="91"/>
      <c r="ED25" s="90"/>
      <c r="EE25" s="91"/>
      <c r="EF25" s="91"/>
      <c r="EG25" s="91"/>
      <c r="EH25" s="91"/>
      <c r="EI25" s="91"/>
      <c r="EJ25" s="91"/>
      <c r="EK25" s="90"/>
      <c r="EL25" s="90"/>
      <c r="EM25" s="88"/>
      <c r="EN25" s="92"/>
      <c r="EO25" s="92"/>
      <c r="EP25" s="92"/>
      <c r="EQ25" s="92"/>
      <c r="ER25" s="92"/>
      <c r="ES25" s="92"/>
      <c r="ET25" s="92"/>
      <c r="EU25" s="92"/>
      <c r="EV25" s="92"/>
      <c r="EW25" s="92"/>
      <c r="EX25" s="92"/>
      <c r="EY25" s="92"/>
      <c r="EZ25" s="92"/>
      <c r="FA25" s="92"/>
      <c r="FB25" s="92"/>
      <c r="FC25" s="92"/>
      <c r="FD25" s="92"/>
      <c r="FE25" s="92"/>
      <c r="FF25" s="92"/>
      <c r="FG25" s="92"/>
      <c r="FH25" s="92"/>
      <c r="FI25" s="92"/>
      <c r="FJ25" s="92"/>
      <c r="FK25" s="92"/>
      <c r="FL25" s="92"/>
      <c r="FM25" s="92"/>
      <c r="FN25" s="92"/>
      <c r="FO25" s="92"/>
      <c r="FP25" s="92"/>
      <c r="FQ25" s="92"/>
      <c r="FR25" s="92"/>
      <c r="FS25" s="92"/>
      <c r="FT25" s="92"/>
      <c r="FU25" s="92"/>
      <c r="FV25" s="92"/>
      <c r="FW25" s="92"/>
      <c r="FX25" s="92"/>
      <c r="FY25" s="92"/>
      <c r="FZ25" s="92"/>
      <c r="GA25" s="92"/>
      <c r="GB25" s="92"/>
      <c r="GC25" s="92"/>
      <c r="GD25" s="92"/>
      <c r="GE25" s="92"/>
      <c r="GF25" s="92"/>
      <c r="GG25" s="92"/>
      <c r="GH25" s="92"/>
      <c r="GI25" s="92"/>
      <c r="GJ25" s="92"/>
      <c r="GK25" s="92"/>
      <c r="GL25" s="92"/>
      <c r="GM25" s="92"/>
      <c r="GN25" s="92"/>
      <c r="GO25" s="92"/>
      <c r="GP25" s="92"/>
      <c r="GQ25" s="92"/>
      <c r="GR25" s="92"/>
      <c r="GS25" s="92"/>
      <c r="GT25" s="92"/>
      <c r="GU25" s="92"/>
      <c r="GV25" s="92"/>
      <c r="GW25" s="92"/>
      <c r="GX25" s="92"/>
      <c r="GY25" s="92"/>
      <c r="GZ25" s="92"/>
      <c r="HA25" s="92"/>
      <c r="HB25" s="92"/>
      <c r="HC25" s="92"/>
      <c r="HD25" s="92"/>
      <c r="HE25" s="92"/>
      <c r="HF25" s="92"/>
      <c r="HG25" s="92"/>
      <c r="HH25" s="92"/>
      <c r="HI25" s="92"/>
      <c r="HJ25" s="92"/>
      <c r="HK25" s="92"/>
      <c r="HL25" s="92"/>
      <c r="HM25" s="92"/>
      <c r="HN25" s="92"/>
      <c r="HO25" s="92"/>
      <c r="HP25" s="92"/>
      <c r="HQ25" s="92"/>
      <c r="HR25" s="92"/>
      <c r="HS25" s="92"/>
      <c r="HT25" s="92"/>
      <c r="HU25" s="92"/>
      <c r="HV25" s="92"/>
      <c r="HW25" s="92"/>
      <c r="HX25" s="92"/>
      <c r="HY25" s="92"/>
      <c r="HZ25" s="92"/>
      <c r="IA25" s="92"/>
      <c r="IB25" s="92"/>
      <c r="IC25" s="92"/>
      <c r="ID25" s="92"/>
      <c r="IE25" s="92"/>
      <c r="IF25" s="92"/>
      <c r="IG25" s="92"/>
      <c r="IH25" s="92"/>
      <c r="II25" s="92"/>
      <c r="IJ25" s="92"/>
      <c r="IK25" s="92"/>
      <c r="IL25" s="92"/>
      <c r="IM25" s="92"/>
      <c r="IN25" s="92"/>
      <c r="IO25" s="92"/>
      <c r="IP25" s="92"/>
      <c r="IQ25" s="92"/>
      <c r="IR25" s="92"/>
      <c r="IS25" s="92"/>
      <c r="IT25" s="92"/>
      <c r="IU25" s="92"/>
      <c r="IV25" s="92"/>
      <c r="IW25" s="92"/>
      <c r="IX25" s="92"/>
      <c r="IY25" s="92"/>
      <c r="IZ25" s="92"/>
      <c r="JA25" s="92"/>
      <c r="JB25" s="92"/>
      <c r="JC25" s="92"/>
      <c r="JD25" s="92"/>
      <c r="JE25" s="92"/>
      <c r="JF25" s="92"/>
      <c r="JG25" s="92"/>
      <c r="JH25" s="92"/>
      <c r="JI25" s="92"/>
      <c r="JJ25" s="92"/>
      <c r="JK25" s="92"/>
      <c r="JL25" s="92"/>
      <c r="JM25" s="92"/>
      <c r="JN25" s="92"/>
      <c r="JO25" s="92"/>
      <c r="JP25" s="92"/>
      <c r="JQ25" s="92"/>
      <c r="JR25" s="92"/>
      <c r="JS25" s="92"/>
      <c r="JT25" s="92"/>
      <c r="JU25" s="92"/>
      <c r="JV25" s="92"/>
      <c r="JW25" s="92"/>
      <c r="JX25" s="92"/>
      <c r="JY25" s="92"/>
      <c r="JZ25" s="92"/>
      <c r="KA25" s="92"/>
      <c r="KB25" s="92"/>
      <c r="KC25" s="92"/>
      <c r="KD25" s="92"/>
      <c r="KE25" s="92"/>
      <c r="KF25" s="92"/>
      <c r="KG25" s="92"/>
      <c r="KH25" s="92"/>
      <c r="KI25" s="92"/>
      <c r="KJ25" s="92"/>
      <c r="KK25" s="92"/>
      <c r="KL25" s="92"/>
      <c r="KM25" s="92"/>
      <c r="KN25" s="92"/>
      <c r="KO25" s="92"/>
      <c r="KP25" s="92"/>
      <c r="KQ25" s="88"/>
      <c r="KR25" s="92"/>
      <c r="KS25" s="92"/>
      <c r="KT25" s="92"/>
      <c r="KU25" s="93"/>
      <c r="KV25" s="92"/>
      <c r="KW25" s="93"/>
      <c r="KX25" s="92"/>
      <c r="KY25" s="93"/>
      <c r="KZ25" s="92"/>
      <c r="LA25" s="93"/>
      <c r="LB25" s="92"/>
      <c r="LC25" s="93"/>
      <c r="LD25" s="92"/>
      <c r="LE25" s="93"/>
      <c r="LF25" s="92"/>
      <c r="LG25" s="92"/>
      <c r="LH25" s="92"/>
      <c r="LI25" s="92"/>
      <c r="LJ25" s="92"/>
      <c r="LK25" s="92"/>
      <c r="LL25" s="92"/>
      <c r="LM25" s="92"/>
      <c r="LN25" s="92"/>
      <c r="LO25" s="92"/>
      <c r="LP25" s="88"/>
      <c r="LQ25" s="93"/>
      <c r="LR25" s="88"/>
      <c r="LS25" s="93"/>
      <c r="LT25" s="93"/>
      <c r="LU25" s="93"/>
      <c r="LV25" s="93"/>
      <c r="LW25" s="93"/>
      <c r="LX25" s="93"/>
      <c r="LY25" s="93"/>
      <c r="LZ25" s="93"/>
      <c r="MA25" s="93"/>
      <c r="MB25" s="93"/>
      <c r="MC25" s="94"/>
      <c r="MD25" s="94"/>
      <c r="ME25" s="94"/>
      <c r="MF25" s="94"/>
      <c r="MG25" s="94"/>
      <c r="MH25" s="94"/>
      <c r="MI25" s="94"/>
      <c r="MJ25" s="94"/>
      <c r="MK25" s="94"/>
      <c r="ML25" s="94"/>
      <c r="MM25" s="94"/>
      <c r="MN25" s="94"/>
      <c r="MO25" s="95"/>
      <c r="MP25" s="95"/>
      <c r="MQ25" s="94"/>
      <c r="MR25" s="94"/>
      <c r="MS25" s="94"/>
      <c r="MT25" s="94"/>
      <c r="MU25" s="94"/>
      <c r="MV25" s="94"/>
      <c r="MW25" s="94"/>
      <c r="MX25" s="94"/>
      <c r="MY25" s="94"/>
      <c r="MZ25" s="94"/>
      <c r="NA25" s="94"/>
      <c r="NB25" s="94"/>
      <c r="NC25" s="94"/>
      <c r="ND25" s="94"/>
      <c r="NE25" s="94"/>
      <c r="NF25" s="94"/>
      <c r="NG25" s="94"/>
      <c r="NH25" s="94"/>
      <c r="NI25" s="94"/>
      <c r="NJ25" s="94"/>
    </row>
    <row r="26" spans="1:374" x14ac:dyDescent="0.25">
      <c r="A26" s="88"/>
      <c r="B26" s="88"/>
      <c r="C26" s="88"/>
      <c r="D26" s="88"/>
      <c r="E26" s="89"/>
      <c r="F26" s="88"/>
      <c r="G26" s="88"/>
      <c r="H26" s="88" t="str">
        <f t="shared" si="26"/>
        <v xml:space="preserve">  </v>
      </c>
      <c r="I26" s="88"/>
      <c r="J26" s="88"/>
      <c r="K26" s="88"/>
      <c r="L26" s="88"/>
      <c r="M26" s="88"/>
      <c r="N26" s="88"/>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1"/>
      <c r="AR26" s="75"/>
      <c r="AS26" s="91"/>
      <c r="AT26" s="91"/>
      <c r="AU26" s="90"/>
      <c r="AV26" s="91"/>
      <c r="AW26" s="91"/>
      <c r="AX26" s="91"/>
      <c r="AY26" s="91"/>
      <c r="AZ26" s="91"/>
      <c r="BA26" s="91"/>
      <c r="BB26" s="90"/>
      <c r="BC26" s="91"/>
      <c r="BD26" s="75"/>
      <c r="BE26" s="91"/>
      <c r="BF26" s="91"/>
      <c r="BG26" s="90"/>
      <c r="BH26" s="91"/>
      <c r="BI26" s="91"/>
      <c r="BJ26" s="91"/>
      <c r="BK26" s="91"/>
      <c r="BL26" s="91"/>
      <c r="BM26" s="91"/>
      <c r="BN26" s="90"/>
      <c r="BO26" s="91"/>
      <c r="BP26" s="75"/>
      <c r="BQ26" s="91"/>
      <c r="BR26" s="91"/>
      <c r="BS26" s="90"/>
      <c r="BT26" s="91"/>
      <c r="BU26" s="91"/>
      <c r="BV26" s="91"/>
      <c r="BW26" s="91"/>
      <c r="BX26" s="91"/>
      <c r="BY26" s="91"/>
      <c r="BZ26" s="90"/>
      <c r="CA26" s="91"/>
      <c r="CB26" s="75"/>
      <c r="CC26" s="91"/>
      <c r="CD26" s="91"/>
      <c r="CE26" s="90"/>
      <c r="CF26" s="91"/>
      <c r="CG26" s="91"/>
      <c r="CH26" s="91"/>
      <c r="CI26" s="91"/>
      <c r="CJ26" s="91"/>
      <c r="CK26" s="91"/>
      <c r="CL26" s="90"/>
      <c r="CM26" s="91"/>
      <c r="CN26" s="75"/>
      <c r="CO26" s="91"/>
      <c r="CP26" s="91"/>
      <c r="CQ26" s="90"/>
      <c r="CR26" s="91"/>
      <c r="CS26" s="91"/>
      <c r="CT26" s="91"/>
      <c r="CU26" s="91"/>
      <c r="CV26" s="91"/>
      <c r="CW26" s="91"/>
      <c r="CX26" s="90"/>
      <c r="CY26" s="91"/>
      <c r="CZ26" s="75"/>
      <c r="DA26" s="91"/>
      <c r="DB26" s="91"/>
      <c r="DC26" s="90"/>
      <c r="DD26" s="91"/>
      <c r="DE26" s="91"/>
      <c r="DF26" s="91"/>
      <c r="DG26" s="91"/>
      <c r="DH26" s="91"/>
      <c r="DI26" s="91"/>
      <c r="DJ26" s="90"/>
      <c r="DK26" s="91"/>
      <c r="DL26" s="75"/>
      <c r="DM26" s="75"/>
      <c r="DN26" s="75">
        <f t="shared" si="1"/>
        <v>0</v>
      </c>
      <c r="DO26" s="75" t="str">
        <f t="shared" si="2"/>
        <v/>
      </c>
      <c r="DP26" s="91"/>
      <c r="DQ26" s="91"/>
      <c r="DR26" s="90"/>
      <c r="DS26" s="91"/>
      <c r="DT26" s="91"/>
      <c r="DU26" s="91"/>
      <c r="DV26" s="91"/>
      <c r="DW26" s="91"/>
      <c r="DX26" s="91"/>
      <c r="DY26" s="90"/>
      <c r="DZ26" s="91"/>
      <c r="EA26" s="75"/>
      <c r="EB26" s="91"/>
      <c r="EC26" s="91"/>
      <c r="ED26" s="90"/>
      <c r="EE26" s="91"/>
      <c r="EF26" s="91"/>
      <c r="EG26" s="91"/>
      <c r="EH26" s="91"/>
      <c r="EI26" s="91"/>
      <c r="EJ26" s="91"/>
      <c r="EK26" s="90"/>
      <c r="EL26" s="90"/>
      <c r="EM26" s="88"/>
      <c r="EN26" s="92"/>
      <c r="EO26" s="92"/>
      <c r="EP26" s="92"/>
      <c r="EQ26" s="92"/>
      <c r="ER26" s="92"/>
      <c r="ES26" s="92"/>
      <c r="ET26" s="92"/>
      <c r="EU26" s="92"/>
      <c r="EV26" s="92"/>
      <c r="EW26" s="92"/>
      <c r="EX26" s="92"/>
      <c r="EY26" s="92"/>
      <c r="EZ26" s="92"/>
      <c r="FA26" s="92"/>
      <c r="FB26" s="92"/>
      <c r="FC26" s="92"/>
      <c r="FD26" s="92"/>
      <c r="FE26" s="92"/>
      <c r="FF26" s="92"/>
      <c r="FG26" s="92"/>
      <c r="FH26" s="92"/>
      <c r="FI26" s="92"/>
      <c r="FJ26" s="92"/>
      <c r="FK26" s="92"/>
      <c r="FL26" s="92"/>
      <c r="FM26" s="92"/>
      <c r="FN26" s="92"/>
      <c r="FO26" s="92"/>
      <c r="FP26" s="92"/>
      <c r="FQ26" s="92"/>
      <c r="FR26" s="92"/>
      <c r="FS26" s="92"/>
      <c r="FT26" s="92"/>
      <c r="FU26" s="92"/>
      <c r="FV26" s="92"/>
      <c r="FW26" s="92"/>
      <c r="FX26" s="92"/>
      <c r="FY26" s="92"/>
      <c r="FZ26" s="92"/>
      <c r="GA26" s="92"/>
      <c r="GB26" s="92"/>
      <c r="GC26" s="92"/>
      <c r="GD26" s="92"/>
      <c r="GE26" s="92"/>
      <c r="GF26" s="92"/>
      <c r="GG26" s="92"/>
      <c r="GH26" s="92"/>
      <c r="GI26" s="92"/>
      <c r="GJ26" s="92"/>
      <c r="GK26" s="92"/>
      <c r="GL26" s="92"/>
      <c r="GM26" s="92"/>
      <c r="GN26" s="92"/>
      <c r="GO26" s="92"/>
      <c r="GP26" s="92"/>
      <c r="GQ26" s="92"/>
      <c r="GR26" s="92"/>
      <c r="GS26" s="92"/>
      <c r="GT26" s="92"/>
      <c r="GU26" s="92"/>
      <c r="GV26" s="92"/>
      <c r="GW26" s="92"/>
      <c r="GX26" s="92"/>
      <c r="GY26" s="92"/>
      <c r="GZ26" s="92"/>
      <c r="HA26" s="92"/>
      <c r="HB26" s="92"/>
      <c r="HC26" s="92"/>
      <c r="HD26" s="92"/>
      <c r="HE26" s="92"/>
      <c r="HF26" s="92"/>
      <c r="HG26" s="92"/>
      <c r="HH26" s="92"/>
      <c r="HI26" s="92"/>
      <c r="HJ26" s="92"/>
      <c r="HK26" s="92"/>
      <c r="HL26" s="92"/>
      <c r="HM26" s="92"/>
      <c r="HN26" s="92"/>
      <c r="HO26" s="92"/>
      <c r="HP26" s="92"/>
      <c r="HQ26" s="92"/>
      <c r="HR26" s="92"/>
      <c r="HS26" s="92"/>
      <c r="HT26" s="92"/>
      <c r="HU26" s="92"/>
      <c r="HV26" s="92"/>
      <c r="HW26" s="92"/>
      <c r="HX26" s="92"/>
      <c r="HY26" s="92"/>
      <c r="HZ26" s="92"/>
      <c r="IA26" s="92"/>
      <c r="IB26" s="92"/>
      <c r="IC26" s="92"/>
      <c r="ID26" s="92"/>
      <c r="IE26" s="92"/>
      <c r="IF26" s="92"/>
      <c r="IG26" s="92"/>
      <c r="IH26" s="92"/>
      <c r="II26" s="92"/>
      <c r="IJ26" s="92"/>
      <c r="IK26" s="92"/>
      <c r="IL26" s="92"/>
      <c r="IM26" s="92"/>
      <c r="IN26" s="92"/>
      <c r="IO26" s="92"/>
      <c r="IP26" s="92"/>
      <c r="IQ26" s="92"/>
      <c r="IR26" s="92"/>
      <c r="IS26" s="92"/>
      <c r="IT26" s="92"/>
      <c r="IU26" s="92"/>
      <c r="IV26" s="92"/>
      <c r="IW26" s="92"/>
      <c r="IX26" s="92"/>
      <c r="IY26" s="92"/>
      <c r="IZ26" s="92"/>
      <c r="JA26" s="92"/>
      <c r="JB26" s="92"/>
      <c r="JC26" s="92"/>
      <c r="JD26" s="92"/>
      <c r="JE26" s="92"/>
      <c r="JF26" s="92"/>
      <c r="JG26" s="92"/>
      <c r="JH26" s="92"/>
      <c r="JI26" s="92"/>
      <c r="JJ26" s="92"/>
      <c r="JK26" s="92"/>
      <c r="JL26" s="92"/>
      <c r="JM26" s="92"/>
      <c r="JN26" s="92"/>
      <c r="JO26" s="92"/>
      <c r="JP26" s="92"/>
      <c r="JQ26" s="92"/>
      <c r="JR26" s="92"/>
      <c r="JS26" s="92"/>
      <c r="JT26" s="92"/>
      <c r="JU26" s="92"/>
      <c r="JV26" s="92"/>
      <c r="JW26" s="92"/>
      <c r="JX26" s="92"/>
      <c r="JY26" s="92"/>
      <c r="JZ26" s="92"/>
      <c r="KA26" s="92"/>
      <c r="KB26" s="92"/>
      <c r="KC26" s="92"/>
      <c r="KD26" s="92"/>
      <c r="KE26" s="92"/>
      <c r="KF26" s="92"/>
      <c r="KG26" s="92"/>
      <c r="KH26" s="92"/>
      <c r="KI26" s="92"/>
      <c r="KJ26" s="92"/>
      <c r="KK26" s="92"/>
      <c r="KL26" s="92"/>
      <c r="KM26" s="92"/>
      <c r="KN26" s="92"/>
      <c r="KO26" s="92"/>
      <c r="KP26" s="92"/>
      <c r="KQ26" s="88"/>
      <c r="KR26" s="92"/>
      <c r="KS26" s="92"/>
      <c r="KT26" s="92"/>
      <c r="KU26" s="93"/>
      <c r="KV26" s="92"/>
      <c r="KW26" s="93"/>
      <c r="KX26" s="92"/>
      <c r="KY26" s="93"/>
      <c r="KZ26" s="92"/>
      <c r="LA26" s="93"/>
      <c r="LB26" s="92"/>
      <c r="LC26" s="93"/>
      <c r="LD26" s="92"/>
      <c r="LE26" s="93"/>
      <c r="LF26" s="92"/>
      <c r="LG26" s="92"/>
      <c r="LH26" s="92"/>
      <c r="LI26" s="92"/>
      <c r="LJ26" s="92"/>
      <c r="LK26" s="92"/>
      <c r="LL26" s="92"/>
      <c r="LM26" s="92"/>
      <c r="LN26" s="92"/>
      <c r="LO26" s="92"/>
      <c r="LP26" s="88"/>
      <c r="LQ26" s="93"/>
      <c r="LR26" s="88"/>
      <c r="LS26" s="93"/>
      <c r="LT26" s="93"/>
      <c r="LU26" s="93"/>
      <c r="LV26" s="93"/>
      <c r="LW26" s="93"/>
      <c r="LX26" s="93"/>
      <c r="LY26" s="93"/>
      <c r="LZ26" s="93"/>
      <c r="MA26" s="93"/>
      <c r="MB26" s="93"/>
      <c r="MC26" s="94"/>
      <c r="MD26" s="94"/>
      <c r="ME26" s="94"/>
      <c r="MF26" s="94"/>
      <c r="MG26" s="94"/>
      <c r="MH26" s="94"/>
      <c r="MI26" s="94"/>
      <c r="MJ26" s="94"/>
      <c r="MK26" s="94"/>
      <c r="ML26" s="94"/>
      <c r="MM26" s="94"/>
      <c r="MN26" s="94"/>
      <c r="MO26" s="95"/>
      <c r="MP26" s="95"/>
      <c r="MQ26" s="94"/>
      <c r="MR26" s="94"/>
      <c r="MS26" s="94"/>
      <c r="MT26" s="94"/>
      <c r="MU26" s="94"/>
      <c r="MV26" s="94"/>
      <c r="MW26" s="94"/>
      <c r="MX26" s="94"/>
      <c r="MY26" s="94"/>
      <c r="MZ26" s="94"/>
      <c r="NA26" s="94"/>
      <c r="NB26" s="94"/>
      <c r="NC26" s="94"/>
      <c r="ND26" s="94"/>
      <c r="NE26" s="94"/>
      <c r="NF26" s="94"/>
      <c r="NG26" s="94"/>
      <c r="NH26" s="94"/>
      <c r="NI26" s="94"/>
      <c r="NJ26" s="94"/>
    </row>
    <row r="27" spans="1:374" x14ac:dyDescent="0.25">
      <c r="A27" s="88"/>
      <c r="B27" s="88"/>
      <c r="C27" s="88"/>
      <c r="D27" s="88"/>
      <c r="E27" s="89"/>
      <c r="F27" s="88"/>
      <c r="G27" s="88"/>
      <c r="H27" s="88" t="str">
        <f t="shared" si="26"/>
        <v xml:space="preserve">  </v>
      </c>
      <c r="I27" s="88"/>
      <c r="J27" s="88"/>
      <c r="K27" s="88"/>
      <c r="L27" s="88"/>
      <c r="M27" s="88"/>
      <c r="N27" s="88"/>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1"/>
      <c r="AR27" s="75"/>
      <c r="AS27" s="91"/>
      <c r="AT27" s="91"/>
      <c r="AU27" s="90"/>
      <c r="AV27" s="91"/>
      <c r="AW27" s="91"/>
      <c r="AX27" s="91"/>
      <c r="AY27" s="91"/>
      <c r="AZ27" s="91"/>
      <c r="BA27" s="91"/>
      <c r="BB27" s="90"/>
      <c r="BC27" s="91"/>
      <c r="BD27" s="75"/>
      <c r="BE27" s="91"/>
      <c r="BF27" s="91"/>
      <c r="BG27" s="90"/>
      <c r="BH27" s="91"/>
      <c r="BI27" s="91"/>
      <c r="BJ27" s="91"/>
      <c r="BK27" s="91"/>
      <c r="BL27" s="91"/>
      <c r="BM27" s="91"/>
      <c r="BN27" s="90"/>
      <c r="BO27" s="91"/>
      <c r="BP27" s="75"/>
      <c r="BQ27" s="91"/>
      <c r="BR27" s="91"/>
      <c r="BS27" s="90"/>
      <c r="BT27" s="91"/>
      <c r="BU27" s="91"/>
      <c r="BV27" s="91"/>
      <c r="BW27" s="91"/>
      <c r="BX27" s="91"/>
      <c r="BY27" s="91"/>
      <c r="BZ27" s="90"/>
      <c r="CA27" s="91"/>
      <c r="CB27" s="75"/>
      <c r="CC27" s="91"/>
      <c r="CD27" s="91"/>
      <c r="CE27" s="90"/>
      <c r="CF27" s="91"/>
      <c r="CG27" s="91"/>
      <c r="CH27" s="91"/>
      <c r="CI27" s="91"/>
      <c r="CJ27" s="91"/>
      <c r="CK27" s="91"/>
      <c r="CL27" s="90"/>
      <c r="CM27" s="91"/>
      <c r="CN27" s="75"/>
      <c r="CO27" s="91"/>
      <c r="CP27" s="91"/>
      <c r="CQ27" s="90"/>
      <c r="CR27" s="91"/>
      <c r="CS27" s="91"/>
      <c r="CT27" s="91"/>
      <c r="CU27" s="91"/>
      <c r="CV27" s="91"/>
      <c r="CW27" s="91"/>
      <c r="CX27" s="90"/>
      <c r="CY27" s="91"/>
      <c r="CZ27" s="75"/>
      <c r="DA27" s="91"/>
      <c r="DB27" s="91"/>
      <c r="DC27" s="90"/>
      <c r="DD27" s="91"/>
      <c r="DE27" s="91"/>
      <c r="DF27" s="91"/>
      <c r="DG27" s="91"/>
      <c r="DH27" s="91"/>
      <c r="DI27" s="91"/>
      <c r="DJ27" s="90"/>
      <c r="DK27" s="91"/>
      <c r="DL27" s="75"/>
      <c r="DM27" s="75"/>
      <c r="DN27" s="75">
        <f t="shared" si="1"/>
        <v>0</v>
      </c>
      <c r="DO27" s="75" t="str">
        <f t="shared" si="2"/>
        <v/>
      </c>
      <c r="DP27" s="91"/>
      <c r="DQ27" s="91"/>
      <c r="DR27" s="90"/>
      <c r="DS27" s="91"/>
      <c r="DT27" s="91"/>
      <c r="DU27" s="91"/>
      <c r="DV27" s="91"/>
      <c r="DW27" s="91"/>
      <c r="DX27" s="91"/>
      <c r="DY27" s="90"/>
      <c r="DZ27" s="91"/>
      <c r="EA27" s="75"/>
      <c r="EB27" s="91"/>
      <c r="EC27" s="91"/>
      <c r="ED27" s="90"/>
      <c r="EE27" s="91"/>
      <c r="EF27" s="91"/>
      <c r="EG27" s="91"/>
      <c r="EH27" s="91"/>
      <c r="EI27" s="91"/>
      <c r="EJ27" s="91"/>
      <c r="EK27" s="90"/>
      <c r="EL27" s="90"/>
      <c r="EM27" s="88"/>
      <c r="EN27" s="92"/>
      <c r="EO27" s="92"/>
      <c r="EP27" s="92"/>
      <c r="EQ27" s="92"/>
      <c r="ER27" s="92"/>
      <c r="ES27" s="92"/>
      <c r="ET27" s="92"/>
      <c r="EU27" s="92"/>
      <c r="EV27" s="92"/>
      <c r="EW27" s="92"/>
      <c r="EX27" s="92"/>
      <c r="EY27" s="92"/>
      <c r="EZ27" s="92"/>
      <c r="FA27" s="92"/>
      <c r="FB27" s="92"/>
      <c r="FC27" s="92"/>
      <c r="FD27" s="92"/>
      <c r="FE27" s="92"/>
      <c r="FF27" s="92"/>
      <c r="FG27" s="92"/>
      <c r="FH27" s="92"/>
      <c r="FI27" s="92"/>
      <c r="FJ27" s="92"/>
      <c r="FK27" s="92"/>
      <c r="FL27" s="92"/>
      <c r="FM27" s="92"/>
      <c r="FN27" s="92"/>
      <c r="FO27" s="92"/>
      <c r="FP27" s="92"/>
      <c r="FQ27" s="92"/>
      <c r="FR27" s="92"/>
      <c r="FS27" s="92"/>
      <c r="FT27" s="92"/>
      <c r="FU27" s="92"/>
      <c r="FV27" s="92"/>
      <c r="FW27" s="92"/>
      <c r="FX27" s="92"/>
      <c r="FY27" s="92"/>
      <c r="FZ27" s="92"/>
      <c r="GA27" s="92"/>
      <c r="GB27" s="92"/>
      <c r="GC27" s="92"/>
      <c r="GD27" s="92"/>
      <c r="GE27" s="92"/>
      <c r="GF27" s="92"/>
      <c r="GG27" s="92"/>
      <c r="GH27" s="92"/>
      <c r="GI27" s="92"/>
      <c r="GJ27" s="92"/>
      <c r="GK27" s="92"/>
      <c r="GL27" s="92"/>
      <c r="GM27" s="92"/>
      <c r="GN27" s="92"/>
      <c r="GO27" s="92"/>
      <c r="GP27" s="92"/>
      <c r="GQ27" s="92"/>
      <c r="GR27" s="92"/>
      <c r="GS27" s="92"/>
      <c r="GT27" s="92"/>
      <c r="GU27" s="92"/>
      <c r="GV27" s="92"/>
      <c r="GW27" s="92"/>
      <c r="GX27" s="92"/>
      <c r="GY27" s="92"/>
      <c r="GZ27" s="92"/>
      <c r="HA27" s="92"/>
      <c r="HB27" s="92"/>
      <c r="HC27" s="92"/>
      <c r="HD27" s="92"/>
      <c r="HE27" s="92"/>
      <c r="HF27" s="92"/>
      <c r="HG27" s="92"/>
      <c r="HH27" s="92"/>
      <c r="HI27" s="92"/>
      <c r="HJ27" s="92"/>
      <c r="HK27" s="92"/>
      <c r="HL27" s="92"/>
      <c r="HM27" s="92"/>
      <c r="HN27" s="92"/>
      <c r="HO27" s="92"/>
      <c r="HP27" s="92"/>
      <c r="HQ27" s="92"/>
      <c r="HR27" s="92"/>
      <c r="HS27" s="92"/>
      <c r="HT27" s="92"/>
      <c r="HU27" s="92"/>
      <c r="HV27" s="92"/>
      <c r="HW27" s="92"/>
      <c r="HX27" s="92"/>
      <c r="HY27" s="92"/>
      <c r="HZ27" s="92"/>
      <c r="IA27" s="92"/>
      <c r="IB27" s="92"/>
      <c r="IC27" s="92"/>
      <c r="ID27" s="92"/>
      <c r="IE27" s="92"/>
      <c r="IF27" s="92"/>
      <c r="IG27" s="92"/>
      <c r="IH27" s="92"/>
      <c r="II27" s="92"/>
      <c r="IJ27" s="92"/>
      <c r="IK27" s="92"/>
      <c r="IL27" s="92"/>
      <c r="IM27" s="92"/>
      <c r="IN27" s="92"/>
      <c r="IO27" s="92"/>
      <c r="IP27" s="92"/>
      <c r="IQ27" s="92"/>
      <c r="IR27" s="92"/>
      <c r="IS27" s="92"/>
      <c r="IT27" s="92"/>
      <c r="IU27" s="92"/>
      <c r="IV27" s="92"/>
      <c r="IW27" s="92"/>
      <c r="IX27" s="92"/>
      <c r="IY27" s="92"/>
      <c r="IZ27" s="92"/>
      <c r="JA27" s="92"/>
      <c r="JB27" s="92"/>
      <c r="JC27" s="92"/>
      <c r="JD27" s="92"/>
      <c r="JE27" s="92"/>
      <c r="JF27" s="92"/>
      <c r="JG27" s="92"/>
      <c r="JH27" s="92"/>
      <c r="JI27" s="92"/>
      <c r="JJ27" s="92"/>
      <c r="JK27" s="92"/>
      <c r="JL27" s="92"/>
      <c r="JM27" s="92"/>
      <c r="JN27" s="92"/>
      <c r="JO27" s="92"/>
      <c r="JP27" s="92"/>
      <c r="JQ27" s="92"/>
      <c r="JR27" s="92"/>
      <c r="JS27" s="92"/>
      <c r="JT27" s="92"/>
      <c r="JU27" s="92"/>
      <c r="JV27" s="92"/>
      <c r="JW27" s="92"/>
      <c r="JX27" s="92"/>
      <c r="JY27" s="92"/>
      <c r="JZ27" s="92"/>
      <c r="KA27" s="92"/>
      <c r="KB27" s="92"/>
      <c r="KC27" s="92"/>
      <c r="KD27" s="92"/>
      <c r="KE27" s="92"/>
      <c r="KF27" s="92"/>
      <c r="KG27" s="92"/>
      <c r="KH27" s="92"/>
      <c r="KI27" s="92"/>
      <c r="KJ27" s="92"/>
      <c r="KK27" s="92"/>
      <c r="KL27" s="92"/>
      <c r="KM27" s="92"/>
      <c r="KN27" s="92"/>
      <c r="KO27" s="92"/>
      <c r="KP27" s="92"/>
      <c r="KQ27" s="88"/>
      <c r="KR27" s="92"/>
      <c r="KS27" s="92"/>
      <c r="KT27" s="92"/>
      <c r="KU27" s="93"/>
      <c r="KV27" s="92"/>
      <c r="KW27" s="93"/>
      <c r="KX27" s="92"/>
      <c r="KY27" s="93"/>
      <c r="KZ27" s="92"/>
      <c r="LA27" s="93"/>
      <c r="LB27" s="92"/>
      <c r="LC27" s="93"/>
      <c r="LD27" s="92"/>
      <c r="LE27" s="93"/>
      <c r="LF27" s="92"/>
      <c r="LG27" s="92"/>
      <c r="LH27" s="92"/>
      <c r="LI27" s="92"/>
      <c r="LJ27" s="92"/>
      <c r="LK27" s="92"/>
      <c r="LL27" s="92"/>
      <c r="LM27" s="92"/>
      <c r="LN27" s="92"/>
      <c r="LO27" s="92"/>
      <c r="LP27" s="88"/>
      <c r="LQ27" s="93"/>
      <c r="LR27" s="88"/>
      <c r="LS27" s="93"/>
      <c r="LT27" s="93"/>
      <c r="LU27" s="93"/>
      <c r="LV27" s="93"/>
      <c r="LW27" s="93"/>
      <c r="LX27" s="93"/>
      <c r="LY27" s="93"/>
      <c r="LZ27" s="93"/>
      <c r="MA27" s="93"/>
      <c r="MB27" s="93"/>
      <c r="MC27" s="94"/>
      <c r="MD27" s="94"/>
      <c r="ME27" s="94"/>
      <c r="MF27" s="94"/>
      <c r="MG27" s="94"/>
      <c r="MH27" s="94"/>
      <c r="MI27" s="94"/>
      <c r="MJ27" s="94"/>
      <c r="MK27" s="94"/>
      <c r="ML27" s="94"/>
      <c r="MM27" s="94"/>
      <c r="MN27" s="94"/>
      <c r="MO27" s="95"/>
      <c r="MP27" s="95"/>
      <c r="MQ27" s="94"/>
      <c r="MR27" s="94"/>
      <c r="MS27" s="94"/>
      <c r="MT27" s="94"/>
      <c r="MU27" s="94"/>
      <c r="MV27" s="94"/>
      <c r="MW27" s="94"/>
      <c r="MX27" s="94"/>
      <c r="MY27" s="94"/>
      <c r="MZ27" s="94"/>
      <c r="NA27" s="94"/>
      <c r="NB27" s="94"/>
      <c r="NC27" s="94"/>
      <c r="ND27" s="94"/>
      <c r="NE27" s="94"/>
      <c r="NF27" s="94"/>
      <c r="NG27" s="94"/>
      <c r="NH27" s="94"/>
      <c r="NI27" s="94"/>
      <c r="NJ27" s="94"/>
    </row>
    <row r="28" spans="1:374" x14ac:dyDescent="0.25">
      <c r="A28" s="88"/>
      <c r="B28" s="88"/>
      <c r="C28" s="88"/>
      <c r="D28" s="88"/>
      <c r="E28" s="89"/>
      <c r="F28" s="88"/>
      <c r="G28" s="88"/>
      <c r="H28" s="88" t="str">
        <f t="shared" si="26"/>
        <v xml:space="preserve">  </v>
      </c>
      <c r="I28" s="88"/>
      <c r="J28" s="88"/>
      <c r="K28" s="88"/>
      <c r="L28" s="88"/>
      <c r="M28" s="88"/>
      <c r="N28" s="88"/>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1"/>
      <c r="AR28" s="75"/>
      <c r="AS28" s="91"/>
      <c r="AT28" s="91"/>
      <c r="AU28" s="90"/>
      <c r="AV28" s="91"/>
      <c r="AW28" s="91"/>
      <c r="AX28" s="91"/>
      <c r="AY28" s="91"/>
      <c r="AZ28" s="91"/>
      <c r="BA28" s="91"/>
      <c r="BB28" s="90"/>
      <c r="BC28" s="91"/>
      <c r="BD28" s="75"/>
      <c r="BE28" s="91"/>
      <c r="BF28" s="91"/>
      <c r="BG28" s="90"/>
      <c r="BH28" s="91"/>
      <c r="BI28" s="91"/>
      <c r="BJ28" s="91"/>
      <c r="BK28" s="91"/>
      <c r="BL28" s="91"/>
      <c r="BM28" s="91"/>
      <c r="BN28" s="90"/>
      <c r="BO28" s="91"/>
      <c r="BP28" s="75"/>
      <c r="BQ28" s="91"/>
      <c r="BR28" s="91"/>
      <c r="BS28" s="90"/>
      <c r="BT28" s="91"/>
      <c r="BU28" s="91"/>
      <c r="BV28" s="91"/>
      <c r="BW28" s="91"/>
      <c r="BX28" s="91"/>
      <c r="BY28" s="91"/>
      <c r="BZ28" s="90"/>
      <c r="CA28" s="91"/>
      <c r="CB28" s="75"/>
      <c r="CC28" s="91"/>
      <c r="CD28" s="91"/>
      <c r="CE28" s="90"/>
      <c r="CF28" s="91"/>
      <c r="CG28" s="91"/>
      <c r="CH28" s="91"/>
      <c r="CI28" s="91"/>
      <c r="CJ28" s="91"/>
      <c r="CK28" s="91"/>
      <c r="CL28" s="90"/>
      <c r="CM28" s="91"/>
      <c r="CN28" s="75"/>
      <c r="CO28" s="91"/>
      <c r="CP28" s="91"/>
      <c r="CQ28" s="90"/>
      <c r="CR28" s="91"/>
      <c r="CS28" s="91"/>
      <c r="CT28" s="91"/>
      <c r="CU28" s="91"/>
      <c r="CV28" s="91"/>
      <c r="CW28" s="91"/>
      <c r="CX28" s="90"/>
      <c r="CY28" s="91"/>
      <c r="CZ28" s="75"/>
      <c r="DA28" s="91"/>
      <c r="DB28" s="91"/>
      <c r="DC28" s="90"/>
      <c r="DD28" s="91"/>
      <c r="DE28" s="91"/>
      <c r="DF28" s="91"/>
      <c r="DG28" s="91"/>
      <c r="DH28" s="91"/>
      <c r="DI28" s="91"/>
      <c r="DJ28" s="90"/>
      <c r="DK28" s="91"/>
      <c r="DL28" s="75"/>
      <c r="DM28" s="75"/>
      <c r="DN28" s="75">
        <f t="shared" si="1"/>
        <v>0</v>
      </c>
      <c r="DO28" s="75" t="str">
        <f t="shared" si="2"/>
        <v/>
      </c>
      <c r="DP28" s="91"/>
      <c r="DQ28" s="91"/>
      <c r="DR28" s="90"/>
      <c r="DS28" s="91"/>
      <c r="DT28" s="91"/>
      <c r="DU28" s="91"/>
      <c r="DV28" s="91"/>
      <c r="DW28" s="91"/>
      <c r="DX28" s="91"/>
      <c r="DY28" s="90"/>
      <c r="DZ28" s="91"/>
      <c r="EA28" s="75"/>
      <c r="EB28" s="91"/>
      <c r="EC28" s="91"/>
      <c r="ED28" s="90"/>
      <c r="EE28" s="91"/>
      <c r="EF28" s="91"/>
      <c r="EG28" s="91"/>
      <c r="EH28" s="91"/>
      <c r="EI28" s="91"/>
      <c r="EJ28" s="91"/>
      <c r="EK28" s="90"/>
      <c r="EL28" s="90"/>
      <c r="EM28" s="88"/>
      <c r="EN28" s="92"/>
      <c r="EO28" s="92"/>
      <c r="EP28" s="92"/>
      <c r="EQ28" s="92"/>
      <c r="ER28" s="92"/>
      <c r="ES28" s="92"/>
      <c r="ET28" s="92"/>
      <c r="EU28" s="92"/>
      <c r="EV28" s="92"/>
      <c r="EW28" s="92"/>
      <c r="EX28" s="92"/>
      <c r="EY28" s="92"/>
      <c r="EZ28" s="92"/>
      <c r="FA28" s="92"/>
      <c r="FB28" s="92"/>
      <c r="FC28" s="92"/>
      <c r="FD28" s="92"/>
      <c r="FE28" s="92"/>
      <c r="FF28" s="92"/>
      <c r="FG28" s="92"/>
      <c r="FH28" s="92"/>
      <c r="FI28" s="92"/>
      <c r="FJ28" s="92"/>
      <c r="FK28" s="92"/>
      <c r="FL28" s="92"/>
      <c r="FM28" s="92"/>
      <c r="FN28" s="92"/>
      <c r="FO28" s="92"/>
      <c r="FP28" s="92"/>
      <c r="FQ28" s="92"/>
      <c r="FR28" s="92"/>
      <c r="FS28" s="92"/>
      <c r="FT28" s="92"/>
      <c r="FU28" s="92"/>
      <c r="FV28" s="92"/>
      <c r="FW28" s="92"/>
      <c r="FX28" s="92"/>
      <c r="FY28" s="92"/>
      <c r="FZ28" s="92"/>
      <c r="GA28" s="92"/>
      <c r="GB28" s="92"/>
      <c r="GC28" s="92"/>
      <c r="GD28" s="92"/>
      <c r="GE28" s="92"/>
      <c r="GF28" s="92"/>
      <c r="GG28" s="92"/>
      <c r="GH28" s="92"/>
      <c r="GI28" s="92"/>
      <c r="GJ28" s="92"/>
      <c r="GK28" s="92"/>
      <c r="GL28" s="92"/>
      <c r="GM28" s="92"/>
      <c r="GN28" s="92"/>
      <c r="GO28" s="92"/>
      <c r="GP28" s="92"/>
      <c r="GQ28" s="92"/>
      <c r="GR28" s="92"/>
      <c r="GS28" s="92"/>
      <c r="GT28" s="92"/>
      <c r="GU28" s="92"/>
      <c r="GV28" s="92"/>
      <c r="GW28" s="92"/>
      <c r="GX28" s="92"/>
      <c r="GY28" s="92"/>
      <c r="GZ28" s="92"/>
      <c r="HA28" s="92"/>
      <c r="HB28" s="92"/>
      <c r="HC28" s="92"/>
      <c r="HD28" s="92"/>
      <c r="HE28" s="92"/>
      <c r="HF28" s="92"/>
      <c r="HG28" s="92"/>
      <c r="HH28" s="92"/>
      <c r="HI28" s="92"/>
      <c r="HJ28" s="92"/>
      <c r="HK28" s="92"/>
      <c r="HL28" s="92"/>
      <c r="HM28" s="92"/>
      <c r="HN28" s="92"/>
      <c r="HO28" s="92"/>
      <c r="HP28" s="92"/>
      <c r="HQ28" s="92"/>
      <c r="HR28" s="92"/>
      <c r="HS28" s="92"/>
      <c r="HT28" s="92"/>
      <c r="HU28" s="92"/>
      <c r="HV28" s="92"/>
      <c r="HW28" s="92"/>
      <c r="HX28" s="92"/>
      <c r="HY28" s="92"/>
      <c r="HZ28" s="92"/>
      <c r="IA28" s="92"/>
      <c r="IB28" s="92"/>
      <c r="IC28" s="92"/>
      <c r="ID28" s="92"/>
      <c r="IE28" s="92"/>
      <c r="IF28" s="92"/>
      <c r="IG28" s="92"/>
      <c r="IH28" s="92"/>
      <c r="II28" s="92"/>
      <c r="IJ28" s="92"/>
      <c r="IK28" s="92"/>
      <c r="IL28" s="92"/>
      <c r="IM28" s="92"/>
      <c r="IN28" s="92"/>
      <c r="IO28" s="92"/>
      <c r="IP28" s="92"/>
      <c r="IQ28" s="92"/>
      <c r="IR28" s="92"/>
      <c r="IS28" s="92"/>
      <c r="IT28" s="92"/>
      <c r="IU28" s="92"/>
      <c r="IV28" s="92"/>
      <c r="IW28" s="92"/>
      <c r="IX28" s="92"/>
      <c r="IY28" s="92"/>
      <c r="IZ28" s="92"/>
      <c r="JA28" s="92"/>
      <c r="JB28" s="92"/>
      <c r="JC28" s="92"/>
      <c r="JD28" s="92"/>
      <c r="JE28" s="92"/>
      <c r="JF28" s="92"/>
      <c r="JG28" s="92"/>
      <c r="JH28" s="92"/>
      <c r="JI28" s="92"/>
      <c r="JJ28" s="92"/>
      <c r="JK28" s="92"/>
      <c r="JL28" s="92"/>
      <c r="JM28" s="92"/>
      <c r="JN28" s="92"/>
      <c r="JO28" s="92"/>
      <c r="JP28" s="92"/>
      <c r="JQ28" s="92"/>
      <c r="JR28" s="92"/>
      <c r="JS28" s="92"/>
      <c r="JT28" s="92"/>
      <c r="JU28" s="92"/>
      <c r="JV28" s="92"/>
      <c r="JW28" s="92"/>
      <c r="JX28" s="92"/>
      <c r="JY28" s="92"/>
      <c r="JZ28" s="92"/>
      <c r="KA28" s="92"/>
      <c r="KB28" s="92"/>
      <c r="KC28" s="92"/>
      <c r="KD28" s="92"/>
      <c r="KE28" s="92"/>
      <c r="KF28" s="92"/>
      <c r="KG28" s="92"/>
      <c r="KH28" s="92"/>
      <c r="KI28" s="92"/>
      <c r="KJ28" s="92"/>
      <c r="KK28" s="92"/>
      <c r="KL28" s="92"/>
      <c r="KM28" s="92"/>
      <c r="KN28" s="92"/>
      <c r="KO28" s="92"/>
      <c r="KP28" s="92"/>
      <c r="KQ28" s="88"/>
      <c r="KR28" s="92"/>
      <c r="KS28" s="92"/>
      <c r="KT28" s="92"/>
      <c r="KU28" s="93"/>
      <c r="KV28" s="92"/>
      <c r="KW28" s="93"/>
      <c r="KX28" s="92"/>
      <c r="KY28" s="93"/>
      <c r="KZ28" s="92"/>
      <c r="LA28" s="93"/>
      <c r="LB28" s="92"/>
      <c r="LC28" s="93"/>
      <c r="LD28" s="92"/>
      <c r="LE28" s="93"/>
      <c r="LF28" s="92"/>
      <c r="LG28" s="92"/>
      <c r="LH28" s="92"/>
      <c r="LI28" s="92"/>
      <c r="LJ28" s="92"/>
      <c r="LK28" s="92"/>
      <c r="LL28" s="92"/>
      <c r="LM28" s="92"/>
      <c r="LN28" s="92"/>
      <c r="LO28" s="92"/>
      <c r="LP28" s="88"/>
      <c r="LQ28" s="93"/>
      <c r="LR28" s="88"/>
      <c r="LS28" s="93"/>
      <c r="LT28" s="93"/>
      <c r="LU28" s="93"/>
      <c r="LV28" s="93"/>
      <c r="LW28" s="93"/>
      <c r="LX28" s="93"/>
      <c r="LY28" s="93"/>
      <c r="LZ28" s="93"/>
      <c r="MA28" s="93"/>
      <c r="MB28" s="93"/>
      <c r="MC28" s="94"/>
      <c r="MD28" s="94"/>
      <c r="ME28" s="94"/>
      <c r="MF28" s="94"/>
      <c r="MG28" s="94"/>
      <c r="MH28" s="94"/>
      <c r="MI28" s="94"/>
      <c r="MJ28" s="94"/>
      <c r="MK28" s="94"/>
      <c r="ML28" s="94"/>
      <c r="MM28" s="94"/>
      <c r="MN28" s="94"/>
      <c r="MO28" s="95"/>
      <c r="MP28" s="95"/>
      <c r="MQ28" s="94"/>
      <c r="MR28" s="94"/>
      <c r="MS28" s="94"/>
      <c r="MT28" s="94"/>
      <c r="MU28" s="94"/>
      <c r="MV28" s="94"/>
      <c r="MW28" s="94"/>
      <c r="MX28" s="94"/>
      <c r="MY28" s="94"/>
      <c r="MZ28" s="94"/>
      <c r="NA28" s="94"/>
      <c r="NB28" s="94"/>
      <c r="NC28" s="94"/>
      <c r="ND28" s="94"/>
      <c r="NE28" s="94"/>
      <c r="NF28" s="94"/>
      <c r="NG28" s="94"/>
      <c r="NH28" s="94"/>
      <c r="NI28" s="94"/>
      <c r="NJ28" s="94"/>
    </row>
    <row r="29" spans="1:374" x14ac:dyDescent="0.25">
      <c r="A29" s="88"/>
      <c r="B29" s="88"/>
      <c r="C29" s="88"/>
      <c r="D29" s="88"/>
      <c r="E29" s="89"/>
      <c r="F29" s="88"/>
      <c r="G29" s="88"/>
      <c r="H29" s="88" t="str">
        <f t="shared" si="26"/>
        <v xml:space="preserve">  </v>
      </c>
      <c r="I29" s="88"/>
      <c r="J29" s="88"/>
      <c r="K29" s="88"/>
      <c r="L29" s="88"/>
      <c r="M29" s="88"/>
      <c r="N29" s="88"/>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1"/>
      <c r="AR29" s="75"/>
      <c r="AS29" s="91"/>
      <c r="AT29" s="91"/>
      <c r="AU29" s="90"/>
      <c r="AV29" s="91"/>
      <c r="AW29" s="91"/>
      <c r="AX29" s="91"/>
      <c r="AY29" s="91"/>
      <c r="AZ29" s="91"/>
      <c r="BA29" s="91"/>
      <c r="BB29" s="90"/>
      <c r="BC29" s="91"/>
      <c r="BD29" s="75"/>
      <c r="BE29" s="91"/>
      <c r="BF29" s="91"/>
      <c r="BG29" s="90"/>
      <c r="BH29" s="91"/>
      <c r="BI29" s="91"/>
      <c r="BJ29" s="91"/>
      <c r="BK29" s="91"/>
      <c r="BL29" s="91"/>
      <c r="BM29" s="91"/>
      <c r="BN29" s="90"/>
      <c r="BO29" s="91"/>
      <c r="BP29" s="75"/>
      <c r="BQ29" s="91"/>
      <c r="BR29" s="91"/>
      <c r="BS29" s="90"/>
      <c r="BT29" s="91"/>
      <c r="BU29" s="91"/>
      <c r="BV29" s="91"/>
      <c r="BW29" s="91"/>
      <c r="BX29" s="91"/>
      <c r="BY29" s="91"/>
      <c r="BZ29" s="90"/>
      <c r="CA29" s="91"/>
      <c r="CB29" s="75"/>
      <c r="CC29" s="91"/>
      <c r="CD29" s="91"/>
      <c r="CE29" s="90"/>
      <c r="CF29" s="91"/>
      <c r="CG29" s="91"/>
      <c r="CH29" s="91"/>
      <c r="CI29" s="91"/>
      <c r="CJ29" s="91"/>
      <c r="CK29" s="91"/>
      <c r="CL29" s="90"/>
      <c r="CM29" s="91"/>
      <c r="CN29" s="75"/>
      <c r="CO29" s="91"/>
      <c r="CP29" s="91"/>
      <c r="CQ29" s="90"/>
      <c r="CR29" s="91"/>
      <c r="CS29" s="91"/>
      <c r="CT29" s="91"/>
      <c r="CU29" s="91"/>
      <c r="CV29" s="91"/>
      <c r="CW29" s="91"/>
      <c r="CX29" s="90"/>
      <c r="CY29" s="91"/>
      <c r="CZ29" s="75"/>
      <c r="DA29" s="91"/>
      <c r="DB29" s="91"/>
      <c r="DC29" s="90"/>
      <c r="DD29" s="91"/>
      <c r="DE29" s="91"/>
      <c r="DF29" s="91"/>
      <c r="DG29" s="91"/>
      <c r="DH29" s="91"/>
      <c r="DI29" s="91"/>
      <c r="DJ29" s="90"/>
      <c r="DK29" s="91"/>
      <c r="DL29" s="75"/>
      <c r="DM29" s="75"/>
      <c r="DN29" s="75">
        <f t="shared" si="1"/>
        <v>0</v>
      </c>
      <c r="DO29" s="75" t="str">
        <f t="shared" si="2"/>
        <v/>
      </c>
      <c r="DP29" s="91"/>
      <c r="DQ29" s="91"/>
      <c r="DR29" s="90"/>
      <c r="DS29" s="91"/>
      <c r="DT29" s="91"/>
      <c r="DU29" s="91"/>
      <c r="DV29" s="91"/>
      <c r="DW29" s="91"/>
      <c r="DX29" s="91"/>
      <c r="DY29" s="90"/>
      <c r="DZ29" s="91"/>
      <c r="EA29" s="75"/>
      <c r="EB29" s="91"/>
      <c r="EC29" s="91"/>
      <c r="ED29" s="90"/>
      <c r="EE29" s="91"/>
      <c r="EF29" s="91"/>
      <c r="EG29" s="91"/>
      <c r="EH29" s="91"/>
      <c r="EI29" s="91"/>
      <c r="EJ29" s="91"/>
      <c r="EK29" s="90"/>
      <c r="EL29" s="90"/>
      <c r="EM29" s="88"/>
      <c r="EN29" s="92"/>
      <c r="EO29" s="92"/>
      <c r="EP29" s="92"/>
      <c r="EQ29" s="92"/>
      <c r="ER29" s="92"/>
      <c r="ES29" s="92"/>
      <c r="ET29" s="92"/>
      <c r="EU29" s="92"/>
      <c r="EV29" s="92"/>
      <c r="EW29" s="92"/>
      <c r="EX29" s="92"/>
      <c r="EY29" s="92"/>
      <c r="EZ29" s="92"/>
      <c r="FA29" s="92"/>
      <c r="FB29" s="92"/>
      <c r="FC29" s="92"/>
      <c r="FD29" s="92"/>
      <c r="FE29" s="92"/>
      <c r="FF29" s="92"/>
      <c r="FG29" s="92"/>
      <c r="FH29" s="92"/>
      <c r="FI29" s="92"/>
      <c r="FJ29" s="92"/>
      <c r="FK29" s="92"/>
      <c r="FL29" s="92"/>
      <c r="FM29" s="92"/>
      <c r="FN29" s="92"/>
      <c r="FO29" s="92"/>
      <c r="FP29" s="92"/>
      <c r="FQ29" s="92"/>
      <c r="FR29" s="92"/>
      <c r="FS29" s="92"/>
      <c r="FT29" s="92"/>
      <c r="FU29" s="92"/>
      <c r="FV29" s="92"/>
      <c r="FW29" s="92"/>
      <c r="FX29" s="92"/>
      <c r="FY29" s="92"/>
      <c r="FZ29" s="92"/>
      <c r="GA29" s="92"/>
      <c r="GB29" s="92"/>
      <c r="GC29" s="92"/>
      <c r="GD29" s="92"/>
      <c r="GE29" s="92"/>
      <c r="GF29" s="92"/>
      <c r="GG29" s="92"/>
      <c r="GH29" s="92"/>
      <c r="GI29" s="92"/>
      <c r="GJ29" s="92"/>
      <c r="GK29" s="92"/>
      <c r="GL29" s="92"/>
      <c r="GM29" s="92"/>
      <c r="GN29" s="92"/>
      <c r="GO29" s="92"/>
      <c r="GP29" s="92"/>
      <c r="GQ29" s="92"/>
      <c r="GR29" s="92"/>
      <c r="GS29" s="92"/>
      <c r="GT29" s="92"/>
      <c r="GU29" s="92"/>
      <c r="GV29" s="92"/>
      <c r="GW29" s="92"/>
      <c r="GX29" s="92"/>
      <c r="GY29" s="92"/>
      <c r="GZ29" s="92"/>
      <c r="HA29" s="92"/>
      <c r="HB29" s="92"/>
      <c r="HC29" s="92"/>
      <c r="HD29" s="92"/>
      <c r="HE29" s="92"/>
      <c r="HF29" s="92"/>
      <c r="HG29" s="92"/>
      <c r="HH29" s="92"/>
      <c r="HI29" s="92"/>
      <c r="HJ29" s="92"/>
      <c r="HK29" s="92"/>
      <c r="HL29" s="92"/>
      <c r="HM29" s="92"/>
      <c r="HN29" s="92"/>
      <c r="HO29" s="92"/>
      <c r="HP29" s="92"/>
      <c r="HQ29" s="92"/>
      <c r="HR29" s="92"/>
      <c r="HS29" s="92"/>
      <c r="HT29" s="92"/>
      <c r="HU29" s="92"/>
      <c r="HV29" s="92"/>
      <c r="HW29" s="92"/>
      <c r="HX29" s="92"/>
      <c r="HY29" s="92"/>
      <c r="HZ29" s="92"/>
      <c r="IA29" s="92"/>
      <c r="IB29" s="92"/>
      <c r="IC29" s="92"/>
      <c r="ID29" s="92"/>
      <c r="IE29" s="92"/>
      <c r="IF29" s="92"/>
      <c r="IG29" s="92"/>
      <c r="IH29" s="92"/>
      <c r="II29" s="92"/>
      <c r="IJ29" s="92"/>
      <c r="IK29" s="92"/>
      <c r="IL29" s="92"/>
      <c r="IM29" s="92"/>
      <c r="IN29" s="92"/>
      <c r="IO29" s="92"/>
      <c r="IP29" s="92"/>
      <c r="IQ29" s="92"/>
      <c r="IR29" s="92"/>
      <c r="IS29" s="92"/>
      <c r="IT29" s="92"/>
      <c r="IU29" s="92"/>
      <c r="IV29" s="92"/>
      <c r="IW29" s="92"/>
      <c r="IX29" s="92"/>
      <c r="IY29" s="92"/>
      <c r="IZ29" s="92"/>
      <c r="JA29" s="92"/>
      <c r="JB29" s="92"/>
      <c r="JC29" s="92"/>
      <c r="JD29" s="92"/>
      <c r="JE29" s="92"/>
      <c r="JF29" s="92"/>
      <c r="JG29" s="92"/>
      <c r="JH29" s="92"/>
      <c r="JI29" s="92"/>
      <c r="JJ29" s="92"/>
      <c r="JK29" s="92"/>
      <c r="JL29" s="92"/>
      <c r="JM29" s="92"/>
      <c r="JN29" s="92"/>
      <c r="JO29" s="92"/>
      <c r="JP29" s="92"/>
      <c r="JQ29" s="92"/>
      <c r="JR29" s="92"/>
      <c r="JS29" s="92"/>
      <c r="JT29" s="92"/>
      <c r="JU29" s="92"/>
      <c r="JV29" s="92"/>
      <c r="JW29" s="92"/>
      <c r="JX29" s="92"/>
      <c r="JY29" s="92"/>
      <c r="JZ29" s="92"/>
      <c r="KA29" s="92"/>
      <c r="KB29" s="92"/>
      <c r="KC29" s="92"/>
      <c r="KD29" s="92"/>
      <c r="KE29" s="92"/>
      <c r="KF29" s="92"/>
      <c r="KG29" s="92"/>
      <c r="KH29" s="92"/>
      <c r="KI29" s="92"/>
      <c r="KJ29" s="92"/>
      <c r="KK29" s="92"/>
      <c r="KL29" s="92"/>
      <c r="KM29" s="92"/>
      <c r="KN29" s="92"/>
      <c r="KO29" s="92"/>
      <c r="KP29" s="92"/>
      <c r="KQ29" s="88"/>
      <c r="KR29" s="92"/>
      <c r="KS29" s="92"/>
      <c r="KT29" s="92"/>
      <c r="KU29" s="93"/>
      <c r="KV29" s="92"/>
      <c r="KW29" s="93"/>
      <c r="KX29" s="92"/>
      <c r="KY29" s="93"/>
      <c r="KZ29" s="92"/>
      <c r="LA29" s="93"/>
      <c r="LB29" s="92"/>
      <c r="LC29" s="93"/>
      <c r="LD29" s="92"/>
      <c r="LE29" s="93"/>
      <c r="LF29" s="92"/>
      <c r="LG29" s="92"/>
      <c r="LH29" s="92"/>
      <c r="LI29" s="92"/>
      <c r="LJ29" s="92"/>
      <c r="LK29" s="92"/>
      <c r="LL29" s="92"/>
      <c r="LM29" s="92"/>
      <c r="LN29" s="92"/>
      <c r="LO29" s="92"/>
      <c r="LP29" s="88"/>
      <c r="LQ29" s="93"/>
      <c r="LR29" s="88"/>
      <c r="LS29" s="93"/>
      <c r="LT29" s="93"/>
      <c r="LU29" s="93"/>
      <c r="LV29" s="93"/>
      <c r="LW29" s="93"/>
      <c r="LX29" s="93"/>
      <c r="LY29" s="93"/>
      <c r="LZ29" s="93"/>
      <c r="MA29" s="93"/>
      <c r="MB29" s="93"/>
      <c r="MC29" s="94"/>
      <c r="MD29" s="94"/>
      <c r="ME29" s="94"/>
      <c r="MF29" s="94"/>
      <c r="MG29" s="94"/>
      <c r="MH29" s="94"/>
      <c r="MI29" s="94"/>
      <c r="MJ29" s="94"/>
      <c r="MK29" s="94"/>
      <c r="ML29" s="94"/>
      <c r="MM29" s="94"/>
      <c r="MN29" s="94"/>
      <c r="MO29" s="95"/>
      <c r="MP29" s="95"/>
      <c r="MQ29" s="94"/>
      <c r="MR29" s="94"/>
      <c r="MS29" s="94"/>
      <c r="MT29" s="94"/>
      <c r="MU29" s="94"/>
      <c r="MV29" s="94"/>
      <c r="MW29" s="94"/>
      <c r="MX29" s="94"/>
      <c r="MY29" s="94"/>
      <c r="MZ29" s="94"/>
      <c r="NA29" s="94"/>
      <c r="NB29" s="94"/>
      <c r="NC29" s="94"/>
      <c r="ND29" s="94"/>
      <c r="NE29" s="94"/>
      <c r="NF29" s="94"/>
      <c r="NG29" s="94"/>
      <c r="NH29" s="94"/>
      <c r="NI29" s="94"/>
      <c r="NJ29" s="94"/>
    </row>
    <row r="30" spans="1:374" x14ac:dyDescent="0.25">
      <c r="A30" s="88"/>
      <c r="B30" s="88"/>
      <c r="C30" s="88"/>
      <c r="D30" s="88"/>
      <c r="E30" s="89"/>
      <c r="F30" s="88"/>
      <c r="G30" s="88"/>
      <c r="H30" s="88" t="str">
        <f t="shared" si="26"/>
        <v xml:space="preserve">  </v>
      </c>
      <c r="I30" s="88"/>
      <c r="J30" s="88"/>
      <c r="K30" s="88"/>
      <c r="L30" s="88"/>
      <c r="M30" s="88"/>
      <c r="N30" s="88"/>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1"/>
      <c r="AR30" s="75"/>
      <c r="AS30" s="91"/>
      <c r="AT30" s="91"/>
      <c r="AU30" s="90"/>
      <c r="AV30" s="91"/>
      <c r="AW30" s="91"/>
      <c r="AX30" s="91"/>
      <c r="AY30" s="91"/>
      <c r="AZ30" s="91"/>
      <c r="BA30" s="91"/>
      <c r="BB30" s="90"/>
      <c r="BC30" s="91"/>
      <c r="BD30" s="75"/>
      <c r="BE30" s="91"/>
      <c r="BF30" s="91"/>
      <c r="BG30" s="90"/>
      <c r="BH30" s="91"/>
      <c r="BI30" s="91"/>
      <c r="BJ30" s="91"/>
      <c r="BK30" s="91"/>
      <c r="BL30" s="91"/>
      <c r="BM30" s="91"/>
      <c r="BN30" s="90"/>
      <c r="BO30" s="91"/>
      <c r="BP30" s="75"/>
      <c r="BQ30" s="91"/>
      <c r="BR30" s="91"/>
      <c r="BS30" s="90"/>
      <c r="BT30" s="91"/>
      <c r="BU30" s="91"/>
      <c r="BV30" s="91"/>
      <c r="BW30" s="91"/>
      <c r="BX30" s="91"/>
      <c r="BY30" s="91"/>
      <c r="BZ30" s="90"/>
      <c r="CA30" s="91"/>
      <c r="CB30" s="75"/>
      <c r="CC30" s="91"/>
      <c r="CD30" s="91"/>
      <c r="CE30" s="90"/>
      <c r="CF30" s="91"/>
      <c r="CG30" s="91"/>
      <c r="CH30" s="91"/>
      <c r="CI30" s="91"/>
      <c r="CJ30" s="91"/>
      <c r="CK30" s="91"/>
      <c r="CL30" s="90"/>
      <c r="CM30" s="91"/>
      <c r="CN30" s="75"/>
      <c r="CO30" s="91"/>
      <c r="CP30" s="91"/>
      <c r="CQ30" s="90"/>
      <c r="CR30" s="91"/>
      <c r="CS30" s="91"/>
      <c r="CT30" s="91"/>
      <c r="CU30" s="91"/>
      <c r="CV30" s="91"/>
      <c r="CW30" s="91"/>
      <c r="CX30" s="90"/>
      <c r="CY30" s="91"/>
      <c r="CZ30" s="75"/>
      <c r="DA30" s="91"/>
      <c r="DB30" s="91"/>
      <c r="DC30" s="90"/>
      <c r="DD30" s="91"/>
      <c r="DE30" s="91"/>
      <c r="DF30" s="91"/>
      <c r="DG30" s="91"/>
      <c r="DH30" s="91"/>
      <c r="DI30" s="91"/>
      <c r="DJ30" s="90"/>
      <c r="DK30" s="91"/>
      <c r="DL30" s="75"/>
      <c r="DM30" s="75"/>
      <c r="DN30" s="75">
        <f t="shared" si="1"/>
        <v>0</v>
      </c>
      <c r="DO30" s="75" t="str">
        <f t="shared" si="2"/>
        <v/>
      </c>
      <c r="DP30" s="91"/>
      <c r="DQ30" s="91"/>
      <c r="DR30" s="90"/>
      <c r="DS30" s="91"/>
      <c r="DT30" s="91"/>
      <c r="DU30" s="91"/>
      <c r="DV30" s="91"/>
      <c r="DW30" s="91"/>
      <c r="DX30" s="91"/>
      <c r="DY30" s="90"/>
      <c r="DZ30" s="91"/>
      <c r="EA30" s="75"/>
      <c r="EB30" s="91"/>
      <c r="EC30" s="91"/>
      <c r="ED30" s="90"/>
      <c r="EE30" s="91"/>
      <c r="EF30" s="91"/>
      <c r="EG30" s="91"/>
      <c r="EH30" s="91"/>
      <c r="EI30" s="91"/>
      <c r="EJ30" s="91"/>
      <c r="EK30" s="90"/>
      <c r="EL30" s="90"/>
      <c r="EM30" s="88"/>
      <c r="EN30" s="92"/>
      <c r="EO30" s="92"/>
      <c r="EP30" s="92"/>
      <c r="EQ30" s="92"/>
      <c r="ER30" s="92"/>
      <c r="ES30" s="92"/>
      <c r="ET30" s="92"/>
      <c r="EU30" s="92"/>
      <c r="EV30" s="92"/>
      <c r="EW30" s="92"/>
      <c r="EX30" s="92"/>
      <c r="EY30" s="92"/>
      <c r="EZ30" s="92"/>
      <c r="FA30" s="92"/>
      <c r="FB30" s="92"/>
      <c r="FC30" s="92"/>
      <c r="FD30" s="92"/>
      <c r="FE30" s="92"/>
      <c r="FF30" s="92"/>
      <c r="FG30" s="92"/>
      <c r="FH30" s="92"/>
      <c r="FI30" s="92"/>
      <c r="FJ30" s="92"/>
      <c r="FK30" s="92"/>
      <c r="FL30" s="92"/>
      <c r="FM30" s="92"/>
      <c r="FN30" s="92"/>
      <c r="FO30" s="92"/>
      <c r="FP30" s="92"/>
      <c r="FQ30" s="92"/>
      <c r="FR30" s="92"/>
      <c r="FS30" s="92"/>
      <c r="FT30" s="92"/>
      <c r="FU30" s="92"/>
      <c r="FV30" s="92"/>
      <c r="FW30" s="92"/>
      <c r="FX30" s="92"/>
      <c r="FY30" s="92"/>
      <c r="FZ30" s="92"/>
      <c r="GA30" s="92"/>
      <c r="GB30" s="92"/>
      <c r="GC30" s="92"/>
      <c r="GD30" s="92"/>
      <c r="GE30" s="92"/>
      <c r="GF30" s="92"/>
      <c r="GG30" s="92"/>
      <c r="GH30" s="92"/>
      <c r="GI30" s="92"/>
      <c r="GJ30" s="92"/>
      <c r="GK30" s="92"/>
      <c r="GL30" s="92"/>
      <c r="GM30" s="92"/>
      <c r="GN30" s="92"/>
      <c r="GO30" s="92"/>
      <c r="GP30" s="92"/>
      <c r="GQ30" s="92"/>
      <c r="GR30" s="92"/>
      <c r="GS30" s="92"/>
      <c r="GT30" s="92"/>
      <c r="GU30" s="92"/>
      <c r="GV30" s="92"/>
      <c r="GW30" s="92"/>
      <c r="GX30" s="92"/>
      <c r="GY30" s="92"/>
      <c r="GZ30" s="92"/>
      <c r="HA30" s="92"/>
      <c r="HB30" s="92"/>
      <c r="HC30" s="92"/>
      <c r="HD30" s="92"/>
      <c r="HE30" s="92"/>
      <c r="HF30" s="92"/>
      <c r="HG30" s="92"/>
      <c r="HH30" s="92"/>
      <c r="HI30" s="92"/>
      <c r="HJ30" s="92"/>
      <c r="HK30" s="92"/>
      <c r="HL30" s="92"/>
      <c r="HM30" s="92"/>
      <c r="HN30" s="92"/>
      <c r="HO30" s="92"/>
      <c r="HP30" s="92"/>
      <c r="HQ30" s="92"/>
      <c r="HR30" s="92"/>
      <c r="HS30" s="92"/>
      <c r="HT30" s="92"/>
      <c r="HU30" s="92"/>
      <c r="HV30" s="92"/>
      <c r="HW30" s="92"/>
      <c r="HX30" s="92"/>
      <c r="HY30" s="92"/>
      <c r="HZ30" s="92"/>
      <c r="IA30" s="92"/>
      <c r="IB30" s="92"/>
      <c r="IC30" s="92"/>
      <c r="ID30" s="92"/>
      <c r="IE30" s="92"/>
      <c r="IF30" s="92"/>
      <c r="IG30" s="92"/>
      <c r="IH30" s="92"/>
      <c r="II30" s="92"/>
      <c r="IJ30" s="92"/>
      <c r="IK30" s="92"/>
      <c r="IL30" s="92"/>
      <c r="IM30" s="92"/>
      <c r="IN30" s="92"/>
      <c r="IO30" s="92"/>
      <c r="IP30" s="92"/>
      <c r="IQ30" s="92"/>
      <c r="IR30" s="92"/>
      <c r="IS30" s="92"/>
      <c r="IT30" s="92"/>
      <c r="IU30" s="92"/>
      <c r="IV30" s="92"/>
      <c r="IW30" s="92"/>
      <c r="IX30" s="92"/>
      <c r="IY30" s="92"/>
      <c r="IZ30" s="92"/>
      <c r="JA30" s="92"/>
      <c r="JB30" s="92"/>
      <c r="JC30" s="92"/>
      <c r="JD30" s="92"/>
      <c r="JE30" s="92"/>
      <c r="JF30" s="92"/>
      <c r="JG30" s="92"/>
      <c r="JH30" s="92"/>
      <c r="JI30" s="92"/>
      <c r="JJ30" s="92"/>
      <c r="JK30" s="92"/>
      <c r="JL30" s="92"/>
      <c r="JM30" s="92"/>
      <c r="JN30" s="92"/>
      <c r="JO30" s="92"/>
      <c r="JP30" s="92"/>
      <c r="JQ30" s="92"/>
      <c r="JR30" s="92"/>
      <c r="JS30" s="92"/>
      <c r="JT30" s="92"/>
      <c r="JU30" s="92"/>
      <c r="JV30" s="92"/>
      <c r="JW30" s="92"/>
      <c r="JX30" s="92"/>
      <c r="JY30" s="92"/>
      <c r="JZ30" s="92"/>
      <c r="KA30" s="92"/>
      <c r="KB30" s="92"/>
      <c r="KC30" s="92"/>
      <c r="KD30" s="92"/>
      <c r="KE30" s="92"/>
      <c r="KF30" s="92"/>
      <c r="KG30" s="92"/>
      <c r="KH30" s="92"/>
      <c r="KI30" s="92"/>
      <c r="KJ30" s="92"/>
      <c r="KK30" s="92"/>
      <c r="KL30" s="92"/>
      <c r="KM30" s="92"/>
      <c r="KN30" s="92"/>
      <c r="KO30" s="92"/>
      <c r="KP30" s="92"/>
      <c r="KQ30" s="88"/>
      <c r="KR30" s="92"/>
      <c r="KS30" s="92"/>
      <c r="KT30" s="92"/>
      <c r="KU30" s="93"/>
      <c r="KV30" s="92"/>
      <c r="KW30" s="93"/>
      <c r="KX30" s="92"/>
      <c r="KY30" s="93"/>
      <c r="KZ30" s="92"/>
      <c r="LA30" s="93"/>
      <c r="LB30" s="92"/>
      <c r="LC30" s="93"/>
      <c r="LD30" s="92"/>
      <c r="LE30" s="93"/>
      <c r="LF30" s="92"/>
      <c r="LG30" s="92"/>
      <c r="LH30" s="92"/>
      <c r="LI30" s="92"/>
      <c r="LJ30" s="92"/>
      <c r="LK30" s="92"/>
      <c r="LL30" s="92"/>
      <c r="LM30" s="92"/>
      <c r="LN30" s="92"/>
      <c r="LO30" s="92"/>
      <c r="LP30" s="88"/>
      <c r="LQ30" s="93"/>
      <c r="LR30" s="88"/>
      <c r="LS30" s="93"/>
      <c r="LT30" s="93"/>
      <c r="LU30" s="93"/>
      <c r="LV30" s="93"/>
      <c r="LW30" s="93"/>
      <c r="LX30" s="93"/>
      <c r="LY30" s="93"/>
      <c r="LZ30" s="93"/>
      <c r="MA30" s="93"/>
      <c r="MB30" s="93"/>
      <c r="MC30" s="94"/>
      <c r="MD30" s="94"/>
      <c r="ME30" s="94"/>
      <c r="MF30" s="94"/>
      <c r="MG30" s="94"/>
      <c r="MH30" s="94"/>
      <c r="MI30" s="94"/>
      <c r="MJ30" s="94"/>
      <c r="MK30" s="94"/>
      <c r="ML30" s="94"/>
      <c r="MM30" s="94"/>
      <c r="MN30" s="94"/>
      <c r="MO30" s="95"/>
      <c r="MP30" s="95"/>
      <c r="MQ30" s="94"/>
      <c r="MR30" s="94"/>
      <c r="MS30" s="94"/>
      <c r="MT30" s="94"/>
      <c r="MU30" s="94"/>
      <c r="MV30" s="94"/>
      <c r="MW30" s="94"/>
      <c r="MX30" s="94"/>
      <c r="MY30" s="94"/>
      <c r="MZ30" s="94"/>
      <c r="NA30" s="94"/>
      <c r="NB30" s="94"/>
      <c r="NC30" s="94"/>
      <c r="ND30" s="94"/>
      <c r="NE30" s="94"/>
      <c r="NF30" s="94"/>
      <c r="NG30" s="94"/>
      <c r="NH30" s="94"/>
      <c r="NI30" s="94"/>
      <c r="NJ30" s="94"/>
    </row>
    <row r="31" spans="1:374" x14ac:dyDescent="0.25">
      <c r="A31" s="88"/>
      <c r="B31" s="88"/>
      <c r="C31" s="88"/>
      <c r="D31" s="88"/>
      <c r="E31" s="89"/>
      <c r="F31" s="88"/>
      <c r="G31" s="88"/>
      <c r="H31" s="88" t="str">
        <f t="shared" si="26"/>
        <v xml:space="preserve">  </v>
      </c>
      <c r="I31" s="88"/>
      <c r="J31" s="88"/>
      <c r="K31" s="88"/>
      <c r="L31" s="88"/>
      <c r="M31" s="88"/>
      <c r="N31" s="88"/>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1"/>
      <c r="AR31" s="75"/>
      <c r="AS31" s="91"/>
      <c r="AT31" s="91"/>
      <c r="AU31" s="90"/>
      <c r="AV31" s="91"/>
      <c r="AW31" s="91"/>
      <c r="AX31" s="91"/>
      <c r="AY31" s="91"/>
      <c r="AZ31" s="91"/>
      <c r="BA31" s="91"/>
      <c r="BB31" s="90"/>
      <c r="BC31" s="91"/>
      <c r="BD31" s="75"/>
      <c r="BE31" s="91"/>
      <c r="BF31" s="91"/>
      <c r="BG31" s="90"/>
      <c r="BH31" s="91"/>
      <c r="BI31" s="91"/>
      <c r="BJ31" s="91"/>
      <c r="BK31" s="91"/>
      <c r="BL31" s="91"/>
      <c r="BM31" s="91"/>
      <c r="BN31" s="90"/>
      <c r="BO31" s="91"/>
      <c r="BP31" s="75"/>
      <c r="BQ31" s="91"/>
      <c r="BR31" s="91"/>
      <c r="BS31" s="90"/>
      <c r="BT31" s="91"/>
      <c r="BU31" s="91"/>
      <c r="BV31" s="91"/>
      <c r="BW31" s="91"/>
      <c r="BX31" s="91"/>
      <c r="BY31" s="91"/>
      <c r="BZ31" s="90"/>
      <c r="CA31" s="91"/>
      <c r="CB31" s="75"/>
      <c r="CC31" s="91"/>
      <c r="CD31" s="91"/>
      <c r="CE31" s="90"/>
      <c r="CF31" s="91"/>
      <c r="CG31" s="91"/>
      <c r="CH31" s="91"/>
      <c r="CI31" s="91"/>
      <c r="CJ31" s="91"/>
      <c r="CK31" s="91"/>
      <c r="CL31" s="90"/>
      <c r="CM31" s="91"/>
      <c r="CN31" s="75"/>
      <c r="CO31" s="91"/>
      <c r="CP31" s="91"/>
      <c r="CQ31" s="90"/>
      <c r="CR31" s="91"/>
      <c r="CS31" s="91"/>
      <c r="CT31" s="91"/>
      <c r="CU31" s="91"/>
      <c r="CV31" s="91"/>
      <c r="CW31" s="91"/>
      <c r="CX31" s="90"/>
      <c r="CY31" s="91"/>
      <c r="CZ31" s="75"/>
      <c r="DA31" s="91"/>
      <c r="DB31" s="91"/>
      <c r="DC31" s="90"/>
      <c r="DD31" s="91"/>
      <c r="DE31" s="91"/>
      <c r="DF31" s="91"/>
      <c r="DG31" s="91"/>
      <c r="DH31" s="91"/>
      <c r="DI31" s="91"/>
      <c r="DJ31" s="90"/>
      <c r="DK31" s="91"/>
      <c r="DL31" s="75"/>
      <c r="DM31" s="75"/>
      <c r="DN31" s="75">
        <f t="shared" si="1"/>
        <v>0</v>
      </c>
      <c r="DO31" s="75" t="str">
        <f t="shared" si="2"/>
        <v/>
      </c>
      <c r="DP31" s="91"/>
      <c r="DQ31" s="91"/>
      <c r="DR31" s="90"/>
      <c r="DS31" s="91"/>
      <c r="DT31" s="91"/>
      <c r="DU31" s="91"/>
      <c r="DV31" s="91"/>
      <c r="DW31" s="91"/>
      <c r="DX31" s="91"/>
      <c r="DY31" s="90"/>
      <c r="DZ31" s="91"/>
      <c r="EA31" s="75"/>
      <c r="EB31" s="91"/>
      <c r="EC31" s="91"/>
      <c r="ED31" s="90"/>
      <c r="EE31" s="91"/>
      <c r="EF31" s="91"/>
      <c r="EG31" s="91"/>
      <c r="EH31" s="91"/>
      <c r="EI31" s="91"/>
      <c r="EJ31" s="91"/>
      <c r="EK31" s="90"/>
      <c r="EL31" s="90"/>
      <c r="EM31" s="88"/>
      <c r="EN31" s="92"/>
      <c r="EO31" s="92"/>
      <c r="EP31" s="92"/>
      <c r="EQ31" s="92"/>
      <c r="ER31" s="92"/>
      <c r="ES31" s="92"/>
      <c r="ET31" s="92"/>
      <c r="EU31" s="92"/>
      <c r="EV31" s="92"/>
      <c r="EW31" s="92"/>
      <c r="EX31" s="92"/>
      <c r="EY31" s="92"/>
      <c r="EZ31" s="92"/>
      <c r="FA31" s="92"/>
      <c r="FB31" s="92"/>
      <c r="FC31" s="92"/>
      <c r="FD31" s="92"/>
      <c r="FE31" s="92"/>
      <c r="FF31" s="92"/>
      <c r="FG31" s="92"/>
      <c r="FH31" s="92"/>
      <c r="FI31" s="92"/>
      <c r="FJ31" s="92"/>
      <c r="FK31" s="92"/>
      <c r="FL31" s="92"/>
      <c r="FM31" s="92"/>
      <c r="FN31" s="92"/>
      <c r="FO31" s="92"/>
      <c r="FP31" s="92"/>
      <c r="FQ31" s="92"/>
      <c r="FR31" s="92"/>
      <c r="FS31" s="92"/>
      <c r="FT31" s="92"/>
      <c r="FU31" s="92"/>
      <c r="FV31" s="92"/>
      <c r="FW31" s="92"/>
      <c r="FX31" s="92"/>
      <c r="FY31" s="92"/>
      <c r="FZ31" s="92"/>
      <c r="GA31" s="92"/>
      <c r="GB31" s="92"/>
      <c r="GC31" s="92"/>
      <c r="GD31" s="92"/>
      <c r="GE31" s="92"/>
      <c r="GF31" s="92"/>
      <c r="GG31" s="92"/>
      <c r="GH31" s="92"/>
      <c r="GI31" s="92"/>
      <c r="GJ31" s="92"/>
      <c r="GK31" s="92"/>
      <c r="GL31" s="92"/>
      <c r="GM31" s="92"/>
      <c r="GN31" s="92"/>
      <c r="GO31" s="92"/>
      <c r="GP31" s="92"/>
      <c r="GQ31" s="92"/>
      <c r="GR31" s="92"/>
      <c r="GS31" s="92"/>
      <c r="GT31" s="92"/>
      <c r="GU31" s="92"/>
      <c r="GV31" s="92"/>
      <c r="GW31" s="92"/>
      <c r="GX31" s="92"/>
      <c r="GY31" s="92"/>
      <c r="GZ31" s="92"/>
      <c r="HA31" s="92"/>
      <c r="HB31" s="92"/>
      <c r="HC31" s="92"/>
      <c r="HD31" s="92"/>
      <c r="HE31" s="92"/>
      <c r="HF31" s="92"/>
      <c r="HG31" s="92"/>
      <c r="HH31" s="92"/>
      <c r="HI31" s="92"/>
      <c r="HJ31" s="92"/>
      <c r="HK31" s="92"/>
      <c r="HL31" s="92"/>
      <c r="HM31" s="92"/>
      <c r="HN31" s="92"/>
      <c r="HO31" s="92"/>
      <c r="HP31" s="92"/>
      <c r="HQ31" s="92"/>
      <c r="HR31" s="92"/>
      <c r="HS31" s="92"/>
      <c r="HT31" s="92"/>
      <c r="HU31" s="92"/>
      <c r="HV31" s="92"/>
      <c r="HW31" s="92"/>
      <c r="HX31" s="92"/>
      <c r="HY31" s="92"/>
      <c r="HZ31" s="92"/>
      <c r="IA31" s="92"/>
      <c r="IB31" s="92"/>
      <c r="IC31" s="92"/>
      <c r="ID31" s="92"/>
      <c r="IE31" s="92"/>
      <c r="IF31" s="92"/>
      <c r="IG31" s="92"/>
      <c r="IH31" s="92"/>
      <c r="II31" s="92"/>
      <c r="IJ31" s="92"/>
      <c r="IK31" s="92"/>
      <c r="IL31" s="92"/>
      <c r="IM31" s="92"/>
      <c r="IN31" s="92"/>
      <c r="IO31" s="92"/>
      <c r="IP31" s="92"/>
      <c r="IQ31" s="92"/>
      <c r="IR31" s="92"/>
      <c r="IS31" s="92"/>
      <c r="IT31" s="92"/>
      <c r="IU31" s="92"/>
      <c r="IV31" s="92"/>
      <c r="IW31" s="92"/>
      <c r="IX31" s="92"/>
      <c r="IY31" s="92"/>
      <c r="IZ31" s="92"/>
      <c r="JA31" s="92"/>
      <c r="JB31" s="92"/>
      <c r="JC31" s="92"/>
      <c r="JD31" s="92"/>
      <c r="JE31" s="92"/>
      <c r="JF31" s="92"/>
      <c r="JG31" s="92"/>
      <c r="JH31" s="92"/>
      <c r="JI31" s="92"/>
      <c r="JJ31" s="92"/>
      <c r="JK31" s="92"/>
      <c r="JL31" s="92"/>
      <c r="JM31" s="92"/>
      <c r="JN31" s="92"/>
      <c r="JO31" s="92"/>
      <c r="JP31" s="92"/>
      <c r="JQ31" s="92"/>
      <c r="JR31" s="92"/>
      <c r="JS31" s="92"/>
      <c r="JT31" s="92"/>
      <c r="JU31" s="92"/>
      <c r="JV31" s="92"/>
      <c r="JW31" s="92"/>
      <c r="JX31" s="92"/>
      <c r="JY31" s="92"/>
      <c r="JZ31" s="92"/>
      <c r="KA31" s="92"/>
      <c r="KB31" s="92"/>
      <c r="KC31" s="92"/>
      <c r="KD31" s="92"/>
      <c r="KE31" s="92"/>
      <c r="KF31" s="92"/>
      <c r="KG31" s="92"/>
      <c r="KH31" s="92"/>
      <c r="KI31" s="92"/>
      <c r="KJ31" s="92"/>
      <c r="KK31" s="92"/>
      <c r="KL31" s="92"/>
      <c r="KM31" s="92"/>
      <c r="KN31" s="92"/>
      <c r="KO31" s="92"/>
      <c r="KP31" s="92"/>
      <c r="KQ31" s="88"/>
      <c r="KR31" s="92"/>
      <c r="KS31" s="92"/>
      <c r="KT31" s="92"/>
      <c r="KU31" s="93"/>
      <c r="KV31" s="92"/>
      <c r="KW31" s="93"/>
      <c r="KX31" s="92"/>
      <c r="KY31" s="93"/>
      <c r="KZ31" s="92"/>
      <c r="LA31" s="93"/>
      <c r="LB31" s="92"/>
      <c r="LC31" s="93"/>
      <c r="LD31" s="92"/>
      <c r="LE31" s="93"/>
      <c r="LF31" s="92"/>
      <c r="LG31" s="92"/>
      <c r="LH31" s="92"/>
      <c r="LI31" s="92"/>
      <c r="LJ31" s="92"/>
      <c r="LK31" s="92"/>
      <c r="LL31" s="92"/>
      <c r="LM31" s="92"/>
      <c r="LN31" s="92"/>
      <c r="LO31" s="92"/>
      <c r="LP31" s="88"/>
      <c r="LQ31" s="93"/>
      <c r="LR31" s="88"/>
      <c r="LS31" s="93"/>
      <c r="LT31" s="93"/>
      <c r="LU31" s="93"/>
      <c r="LV31" s="93"/>
      <c r="LW31" s="93"/>
      <c r="LX31" s="93"/>
      <c r="LY31" s="93"/>
      <c r="LZ31" s="93"/>
      <c r="MA31" s="93"/>
      <c r="MB31" s="93"/>
      <c r="MC31" s="94"/>
      <c r="MD31" s="94"/>
      <c r="ME31" s="94"/>
      <c r="MF31" s="94"/>
      <c r="MG31" s="94"/>
      <c r="MH31" s="94"/>
      <c r="MI31" s="94"/>
      <c r="MJ31" s="94"/>
      <c r="MK31" s="94"/>
      <c r="ML31" s="94"/>
      <c r="MM31" s="94"/>
      <c r="MN31" s="94"/>
      <c r="MO31" s="95"/>
      <c r="MP31" s="95"/>
      <c r="MQ31" s="94"/>
      <c r="MR31" s="94"/>
      <c r="MS31" s="94"/>
      <c r="MT31" s="94"/>
      <c r="MU31" s="94"/>
      <c r="MV31" s="94"/>
      <c r="MW31" s="94"/>
      <c r="MX31" s="94"/>
      <c r="MY31" s="94"/>
      <c r="MZ31" s="94"/>
      <c r="NA31" s="94"/>
      <c r="NB31" s="94"/>
      <c r="NC31" s="94"/>
      <c r="ND31" s="94"/>
      <c r="NE31" s="94"/>
      <c r="NF31" s="94"/>
      <c r="NG31" s="94"/>
      <c r="NH31" s="94"/>
      <c r="NI31" s="94"/>
      <c r="NJ31" s="94"/>
    </row>
    <row r="32" spans="1:374" x14ac:dyDescent="0.25">
      <c r="A32" s="88"/>
      <c r="B32" s="88"/>
      <c r="C32" s="88"/>
      <c r="D32" s="88"/>
      <c r="E32" s="89"/>
      <c r="F32" s="88"/>
      <c r="G32" s="88"/>
      <c r="H32" s="88" t="str">
        <f t="shared" si="26"/>
        <v xml:space="preserve">  </v>
      </c>
      <c r="I32" s="88"/>
      <c r="J32" s="88"/>
      <c r="K32" s="88"/>
      <c r="L32" s="88"/>
      <c r="M32" s="88"/>
      <c r="N32" s="88"/>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1"/>
      <c r="AR32" s="75"/>
      <c r="AS32" s="91"/>
      <c r="AT32" s="91"/>
      <c r="AU32" s="90"/>
      <c r="AV32" s="91"/>
      <c r="AW32" s="91"/>
      <c r="AX32" s="91"/>
      <c r="AY32" s="91"/>
      <c r="AZ32" s="91"/>
      <c r="BA32" s="91"/>
      <c r="BB32" s="90"/>
      <c r="BC32" s="91"/>
      <c r="BD32" s="75"/>
      <c r="BE32" s="91"/>
      <c r="BF32" s="91"/>
      <c r="BG32" s="90"/>
      <c r="BH32" s="91"/>
      <c r="BI32" s="91"/>
      <c r="BJ32" s="91"/>
      <c r="BK32" s="91"/>
      <c r="BL32" s="91"/>
      <c r="BM32" s="91"/>
      <c r="BN32" s="90"/>
      <c r="BO32" s="91"/>
      <c r="BP32" s="75"/>
      <c r="BQ32" s="91"/>
      <c r="BR32" s="91"/>
      <c r="BS32" s="90"/>
      <c r="BT32" s="91"/>
      <c r="BU32" s="91"/>
      <c r="BV32" s="91"/>
      <c r="BW32" s="91"/>
      <c r="BX32" s="91"/>
      <c r="BY32" s="91"/>
      <c r="BZ32" s="90"/>
      <c r="CA32" s="91"/>
      <c r="CB32" s="75"/>
      <c r="CC32" s="91"/>
      <c r="CD32" s="91"/>
      <c r="CE32" s="90"/>
      <c r="CF32" s="91"/>
      <c r="CG32" s="91"/>
      <c r="CH32" s="91"/>
      <c r="CI32" s="91"/>
      <c r="CJ32" s="91"/>
      <c r="CK32" s="91"/>
      <c r="CL32" s="90"/>
      <c r="CM32" s="91"/>
      <c r="CN32" s="75"/>
      <c r="CO32" s="91"/>
      <c r="CP32" s="91"/>
      <c r="CQ32" s="90"/>
      <c r="CR32" s="91"/>
      <c r="CS32" s="91"/>
      <c r="CT32" s="91"/>
      <c r="CU32" s="91"/>
      <c r="CV32" s="91"/>
      <c r="CW32" s="91"/>
      <c r="CX32" s="90"/>
      <c r="CY32" s="91"/>
      <c r="CZ32" s="75"/>
      <c r="DA32" s="91"/>
      <c r="DB32" s="91"/>
      <c r="DC32" s="90"/>
      <c r="DD32" s="91"/>
      <c r="DE32" s="91"/>
      <c r="DF32" s="91"/>
      <c r="DG32" s="91"/>
      <c r="DH32" s="91"/>
      <c r="DI32" s="91"/>
      <c r="DJ32" s="90"/>
      <c r="DK32" s="91"/>
      <c r="DL32" s="75"/>
      <c r="DM32" s="75"/>
      <c r="DN32" s="75">
        <f t="shared" si="1"/>
        <v>0</v>
      </c>
      <c r="DO32" s="75" t="str">
        <f t="shared" si="2"/>
        <v/>
      </c>
      <c r="DP32" s="91"/>
      <c r="DQ32" s="91"/>
      <c r="DR32" s="90"/>
      <c r="DS32" s="91"/>
      <c r="DT32" s="91"/>
      <c r="DU32" s="91"/>
      <c r="DV32" s="91"/>
      <c r="DW32" s="91"/>
      <c r="DX32" s="91"/>
      <c r="DY32" s="90"/>
      <c r="DZ32" s="91"/>
      <c r="EA32" s="75"/>
      <c r="EB32" s="91"/>
      <c r="EC32" s="91"/>
      <c r="ED32" s="90"/>
      <c r="EE32" s="91"/>
      <c r="EF32" s="91"/>
      <c r="EG32" s="91"/>
      <c r="EH32" s="91"/>
      <c r="EI32" s="91"/>
      <c r="EJ32" s="91"/>
      <c r="EK32" s="90"/>
      <c r="EL32" s="90"/>
      <c r="EM32" s="88"/>
      <c r="EN32" s="92"/>
      <c r="EO32" s="92"/>
      <c r="EP32" s="92"/>
      <c r="EQ32" s="92"/>
      <c r="ER32" s="92"/>
      <c r="ES32" s="92"/>
      <c r="ET32" s="92"/>
      <c r="EU32" s="92"/>
      <c r="EV32" s="92"/>
      <c r="EW32" s="92"/>
      <c r="EX32" s="92"/>
      <c r="EY32" s="92"/>
      <c r="EZ32" s="92"/>
      <c r="FA32" s="92"/>
      <c r="FB32" s="92"/>
      <c r="FC32" s="92"/>
      <c r="FD32" s="92"/>
      <c r="FE32" s="92"/>
      <c r="FF32" s="92"/>
      <c r="FG32" s="92"/>
      <c r="FH32" s="92"/>
      <c r="FI32" s="92"/>
      <c r="FJ32" s="92"/>
      <c r="FK32" s="92"/>
      <c r="FL32" s="92"/>
      <c r="FM32" s="92"/>
      <c r="FN32" s="92"/>
      <c r="FO32" s="92"/>
      <c r="FP32" s="92"/>
      <c r="FQ32" s="92"/>
      <c r="FR32" s="92"/>
      <c r="FS32" s="92"/>
      <c r="FT32" s="92"/>
      <c r="FU32" s="92"/>
      <c r="FV32" s="92"/>
      <c r="FW32" s="92"/>
      <c r="FX32" s="92"/>
      <c r="FY32" s="92"/>
      <c r="FZ32" s="92"/>
      <c r="GA32" s="92"/>
      <c r="GB32" s="92"/>
      <c r="GC32" s="92"/>
      <c r="GD32" s="92"/>
      <c r="GE32" s="92"/>
      <c r="GF32" s="92"/>
      <c r="GG32" s="92"/>
      <c r="GH32" s="92"/>
      <c r="GI32" s="92"/>
      <c r="GJ32" s="92"/>
      <c r="GK32" s="92"/>
      <c r="GL32" s="92"/>
      <c r="GM32" s="92"/>
      <c r="GN32" s="92"/>
      <c r="GO32" s="92"/>
      <c r="GP32" s="92"/>
      <c r="GQ32" s="92"/>
      <c r="GR32" s="92"/>
      <c r="GS32" s="92"/>
      <c r="GT32" s="92"/>
      <c r="GU32" s="92"/>
      <c r="GV32" s="92"/>
      <c r="GW32" s="92"/>
      <c r="GX32" s="92"/>
      <c r="GY32" s="92"/>
      <c r="GZ32" s="92"/>
      <c r="HA32" s="92"/>
      <c r="HB32" s="92"/>
      <c r="HC32" s="92"/>
      <c r="HD32" s="92"/>
      <c r="HE32" s="92"/>
      <c r="HF32" s="92"/>
      <c r="HG32" s="92"/>
      <c r="HH32" s="92"/>
      <c r="HI32" s="92"/>
      <c r="HJ32" s="92"/>
      <c r="HK32" s="92"/>
      <c r="HL32" s="92"/>
      <c r="HM32" s="92"/>
      <c r="HN32" s="92"/>
      <c r="HO32" s="92"/>
      <c r="HP32" s="92"/>
      <c r="HQ32" s="92"/>
      <c r="HR32" s="92"/>
      <c r="HS32" s="92"/>
      <c r="HT32" s="92"/>
      <c r="HU32" s="92"/>
      <c r="HV32" s="92"/>
      <c r="HW32" s="92"/>
      <c r="HX32" s="92"/>
      <c r="HY32" s="92"/>
      <c r="HZ32" s="92"/>
      <c r="IA32" s="92"/>
      <c r="IB32" s="92"/>
      <c r="IC32" s="92"/>
      <c r="ID32" s="92"/>
      <c r="IE32" s="92"/>
      <c r="IF32" s="92"/>
      <c r="IG32" s="92"/>
      <c r="IH32" s="92"/>
      <c r="II32" s="92"/>
      <c r="IJ32" s="92"/>
      <c r="IK32" s="92"/>
      <c r="IL32" s="92"/>
      <c r="IM32" s="92"/>
      <c r="IN32" s="92"/>
      <c r="IO32" s="92"/>
      <c r="IP32" s="92"/>
      <c r="IQ32" s="92"/>
      <c r="IR32" s="92"/>
      <c r="IS32" s="92"/>
      <c r="IT32" s="92"/>
      <c r="IU32" s="92"/>
      <c r="IV32" s="92"/>
      <c r="IW32" s="92"/>
      <c r="IX32" s="92"/>
      <c r="IY32" s="92"/>
      <c r="IZ32" s="92"/>
      <c r="JA32" s="92"/>
      <c r="JB32" s="92"/>
      <c r="JC32" s="92"/>
      <c r="JD32" s="92"/>
      <c r="JE32" s="92"/>
      <c r="JF32" s="92"/>
      <c r="JG32" s="92"/>
      <c r="JH32" s="92"/>
      <c r="JI32" s="92"/>
      <c r="JJ32" s="92"/>
      <c r="JK32" s="92"/>
      <c r="JL32" s="92"/>
      <c r="JM32" s="92"/>
      <c r="JN32" s="92"/>
      <c r="JO32" s="92"/>
      <c r="JP32" s="92"/>
      <c r="JQ32" s="92"/>
      <c r="JR32" s="92"/>
      <c r="JS32" s="92"/>
      <c r="JT32" s="92"/>
      <c r="JU32" s="92"/>
      <c r="JV32" s="92"/>
      <c r="JW32" s="92"/>
      <c r="JX32" s="92"/>
      <c r="JY32" s="92"/>
      <c r="JZ32" s="92"/>
      <c r="KA32" s="92"/>
      <c r="KB32" s="92"/>
      <c r="KC32" s="92"/>
      <c r="KD32" s="92"/>
      <c r="KE32" s="92"/>
      <c r="KF32" s="92"/>
      <c r="KG32" s="92"/>
      <c r="KH32" s="92"/>
      <c r="KI32" s="92"/>
      <c r="KJ32" s="92"/>
      <c r="KK32" s="92"/>
      <c r="KL32" s="92"/>
      <c r="KM32" s="92"/>
      <c r="KN32" s="92"/>
      <c r="KO32" s="92"/>
      <c r="KP32" s="92"/>
      <c r="KQ32" s="88"/>
      <c r="KR32" s="92"/>
      <c r="KS32" s="92"/>
      <c r="KT32" s="92"/>
      <c r="KU32" s="93"/>
      <c r="KV32" s="92"/>
      <c r="KW32" s="93"/>
      <c r="KX32" s="92"/>
      <c r="KY32" s="93"/>
      <c r="KZ32" s="92"/>
      <c r="LA32" s="93"/>
      <c r="LB32" s="92"/>
      <c r="LC32" s="93"/>
      <c r="LD32" s="92"/>
      <c r="LE32" s="93"/>
      <c r="LF32" s="92"/>
      <c r="LG32" s="92"/>
      <c r="LH32" s="92"/>
      <c r="LI32" s="92"/>
      <c r="LJ32" s="92"/>
      <c r="LK32" s="92"/>
      <c r="LL32" s="92"/>
      <c r="LM32" s="92"/>
      <c r="LN32" s="92"/>
      <c r="LO32" s="92"/>
      <c r="LP32" s="88"/>
      <c r="LQ32" s="93"/>
      <c r="LR32" s="88"/>
      <c r="LS32" s="93"/>
      <c r="LT32" s="93"/>
      <c r="LU32" s="93"/>
      <c r="LV32" s="93"/>
      <c r="LW32" s="93"/>
      <c r="LX32" s="93"/>
      <c r="LY32" s="93"/>
      <c r="LZ32" s="93"/>
      <c r="MA32" s="93"/>
      <c r="MB32" s="93"/>
      <c r="MC32" s="94"/>
      <c r="MD32" s="94"/>
      <c r="ME32" s="94"/>
      <c r="MF32" s="94"/>
      <c r="MG32" s="94"/>
      <c r="MH32" s="94"/>
      <c r="MI32" s="94"/>
      <c r="MJ32" s="94"/>
      <c r="MK32" s="94"/>
      <c r="ML32" s="94"/>
      <c r="MM32" s="94"/>
      <c r="MN32" s="94"/>
      <c r="MO32" s="95"/>
      <c r="MP32" s="95"/>
      <c r="MQ32" s="94"/>
      <c r="MR32" s="94"/>
      <c r="MS32" s="94"/>
      <c r="MT32" s="94"/>
      <c r="MU32" s="94"/>
      <c r="MV32" s="94"/>
      <c r="MW32" s="94"/>
      <c r="MX32" s="94"/>
      <c r="MY32" s="94"/>
      <c r="MZ32" s="94"/>
      <c r="NA32" s="94"/>
      <c r="NB32" s="94"/>
      <c r="NC32" s="94"/>
      <c r="ND32" s="94"/>
      <c r="NE32" s="94"/>
      <c r="NF32" s="94"/>
      <c r="NG32" s="94"/>
      <c r="NH32" s="94"/>
      <c r="NI32" s="94"/>
      <c r="NJ32" s="94"/>
    </row>
    <row r="33" spans="1:374" x14ac:dyDescent="0.25">
      <c r="A33" s="88"/>
      <c r="B33" s="88"/>
      <c r="C33" s="88"/>
      <c r="D33" s="88"/>
      <c r="E33" s="89"/>
      <c r="F33" s="88"/>
      <c r="G33" s="88"/>
      <c r="H33" s="88" t="str">
        <f t="shared" si="26"/>
        <v xml:space="preserve">  </v>
      </c>
      <c r="I33" s="88"/>
      <c r="J33" s="88"/>
      <c r="K33" s="88"/>
      <c r="L33" s="88"/>
      <c r="M33" s="88"/>
      <c r="N33" s="88"/>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1"/>
      <c r="AR33" s="75"/>
      <c r="AS33" s="91"/>
      <c r="AT33" s="91"/>
      <c r="AU33" s="90"/>
      <c r="AV33" s="91"/>
      <c r="AW33" s="91"/>
      <c r="AX33" s="91"/>
      <c r="AY33" s="91"/>
      <c r="AZ33" s="91"/>
      <c r="BA33" s="91"/>
      <c r="BB33" s="90"/>
      <c r="BC33" s="91"/>
      <c r="BD33" s="75"/>
      <c r="BE33" s="91"/>
      <c r="BF33" s="91"/>
      <c r="BG33" s="90"/>
      <c r="BH33" s="91"/>
      <c r="BI33" s="91"/>
      <c r="BJ33" s="91"/>
      <c r="BK33" s="91"/>
      <c r="BL33" s="91"/>
      <c r="BM33" s="91"/>
      <c r="BN33" s="90"/>
      <c r="BO33" s="91"/>
      <c r="BP33" s="75"/>
      <c r="BQ33" s="91"/>
      <c r="BR33" s="91"/>
      <c r="BS33" s="90"/>
      <c r="BT33" s="91"/>
      <c r="BU33" s="91"/>
      <c r="BV33" s="91"/>
      <c r="BW33" s="91"/>
      <c r="BX33" s="91"/>
      <c r="BY33" s="91"/>
      <c r="BZ33" s="90"/>
      <c r="CA33" s="91"/>
      <c r="CB33" s="75"/>
      <c r="CC33" s="91"/>
      <c r="CD33" s="91"/>
      <c r="CE33" s="90"/>
      <c r="CF33" s="91"/>
      <c r="CG33" s="91"/>
      <c r="CH33" s="91"/>
      <c r="CI33" s="91"/>
      <c r="CJ33" s="91"/>
      <c r="CK33" s="91"/>
      <c r="CL33" s="90"/>
      <c r="CM33" s="91"/>
      <c r="CN33" s="75"/>
      <c r="CO33" s="91"/>
      <c r="CP33" s="91"/>
      <c r="CQ33" s="90"/>
      <c r="CR33" s="91"/>
      <c r="CS33" s="91"/>
      <c r="CT33" s="91"/>
      <c r="CU33" s="91"/>
      <c r="CV33" s="91"/>
      <c r="CW33" s="91"/>
      <c r="CX33" s="90"/>
      <c r="CY33" s="91"/>
      <c r="CZ33" s="75"/>
      <c r="DA33" s="91"/>
      <c r="DB33" s="91"/>
      <c r="DC33" s="90"/>
      <c r="DD33" s="91"/>
      <c r="DE33" s="91"/>
      <c r="DF33" s="91"/>
      <c r="DG33" s="91"/>
      <c r="DH33" s="91"/>
      <c r="DI33" s="91"/>
      <c r="DJ33" s="90"/>
      <c r="DK33" s="91"/>
      <c r="DL33" s="75"/>
      <c r="DM33" s="75"/>
      <c r="DN33" s="75">
        <f t="shared" si="1"/>
        <v>0</v>
      </c>
      <c r="DO33" s="75" t="str">
        <f t="shared" si="2"/>
        <v/>
      </c>
      <c r="DP33" s="91"/>
      <c r="DQ33" s="91"/>
      <c r="DR33" s="90"/>
      <c r="DS33" s="91"/>
      <c r="DT33" s="91"/>
      <c r="DU33" s="91"/>
      <c r="DV33" s="91"/>
      <c r="DW33" s="91"/>
      <c r="DX33" s="91"/>
      <c r="DY33" s="90"/>
      <c r="DZ33" s="91"/>
      <c r="EA33" s="75"/>
      <c r="EB33" s="91"/>
      <c r="EC33" s="91"/>
      <c r="ED33" s="90"/>
      <c r="EE33" s="91"/>
      <c r="EF33" s="91"/>
      <c r="EG33" s="91"/>
      <c r="EH33" s="91"/>
      <c r="EI33" s="91"/>
      <c r="EJ33" s="91"/>
      <c r="EK33" s="90"/>
      <c r="EL33" s="90"/>
      <c r="EM33" s="88"/>
      <c r="EN33" s="92"/>
      <c r="EO33" s="92"/>
      <c r="EP33" s="92"/>
      <c r="EQ33" s="92"/>
      <c r="ER33" s="92"/>
      <c r="ES33" s="92"/>
      <c r="ET33" s="92"/>
      <c r="EU33" s="92"/>
      <c r="EV33" s="92"/>
      <c r="EW33" s="92"/>
      <c r="EX33" s="92"/>
      <c r="EY33" s="92"/>
      <c r="EZ33" s="92"/>
      <c r="FA33" s="92"/>
      <c r="FB33" s="92"/>
      <c r="FC33" s="92"/>
      <c r="FD33" s="92"/>
      <c r="FE33" s="92"/>
      <c r="FF33" s="92"/>
      <c r="FG33" s="92"/>
      <c r="FH33" s="92"/>
      <c r="FI33" s="92"/>
      <c r="FJ33" s="92"/>
      <c r="FK33" s="92"/>
      <c r="FL33" s="92"/>
      <c r="FM33" s="92"/>
      <c r="FN33" s="92"/>
      <c r="FO33" s="92"/>
      <c r="FP33" s="92"/>
      <c r="FQ33" s="92"/>
      <c r="FR33" s="92"/>
      <c r="FS33" s="92"/>
      <c r="FT33" s="92"/>
      <c r="FU33" s="92"/>
      <c r="FV33" s="92"/>
      <c r="FW33" s="92"/>
      <c r="FX33" s="92"/>
      <c r="FY33" s="92"/>
      <c r="FZ33" s="92"/>
      <c r="GA33" s="92"/>
      <c r="GB33" s="92"/>
      <c r="GC33" s="92"/>
      <c r="GD33" s="92"/>
      <c r="GE33" s="92"/>
      <c r="GF33" s="92"/>
      <c r="GG33" s="92"/>
      <c r="GH33" s="92"/>
      <c r="GI33" s="92"/>
      <c r="GJ33" s="92"/>
      <c r="GK33" s="92"/>
      <c r="GL33" s="92"/>
      <c r="GM33" s="92"/>
      <c r="GN33" s="92"/>
      <c r="GO33" s="92"/>
      <c r="GP33" s="92"/>
      <c r="GQ33" s="92"/>
      <c r="GR33" s="92"/>
      <c r="GS33" s="92"/>
      <c r="GT33" s="92"/>
      <c r="GU33" s="92"/>
      <c r="GV33" s="92"/>
      <c r="GW33" s="92"/>
      <c r="GX33" s="92"/>
      <c r="GY33" s="92"/>
      <c r="GZ33" s="92"/>
      <c r="HA33" s="92"/>
      <c r="HB33" s="92"/>
      <c r="HC33" s="92"/>
      <c r="HD33" s="92"/>
      <c r="HE33" s="92"/>
      <c r="HF33" s="92"/>
      <c r="HG33" s="92"/>
      <c r="HH33" s="92"/>
      <c r="HI33" s="92"/>
      <c r="HJ33" s="92"/>
      <c r="HK33" s="92"/>
      <c r="HL33" s="92"/>
      <c r="HM33" s="92"/>
      <c r="HN33" s="92"/>
      <c r="HO33" s="92"/>
      <c r="HP33" s="92"/>
      <c r="HQ33" s="92"/>
      <c r="HR33" s="92"/>
      <c r="HS33" s="92"/>
      <c r="HT33" s="92"/>
      <c r="HU33" s="92"/>
      <c r="HV33" s="92"/>
      <c r="HW33" s="92"/>
      <c r="HX33" s="92"/>
      <c r="HY33" s="92"/>
      <c r="HZ33" s="92"/>
      <c r="IA33" s="92"/>
      <c r="IB33" s="92"/>
      <c r="IC33" s="92"/>
      <c r="ID33" s="92"/>
      <c r="IE33" s="92"/>
      <c r="IF33" s="92"/>
      <c r="IG33" s="92"/>
      <c r="IH33" s="92"/>
      <c r="II33" s="92"/>
      <c r="IJ33" s="92"/>
      <c r="IK33" s="92"/>
      <c r="IL33" s="92"/>
      <c r="IM33" s="92"/>
      <c r="IN33" s="92"/>
      <c r="IO33" s="92"/>
      <c r="IP33" s="92"/>
      <c r="IQ33" s="92"/>
      <c r="IR33" s="92"/>
      <c r="IS33" s="92"/>
      <c r="IT33" s="92"/>
      <c r="IU33" s="92"/>
      <c r="IV33" s="92"/>
      <c r="IW33" s="92"/>
      <c r="IX33" s="92"/>
      <c r="IY33" s="92"/>
      <c r="IZ33" s="92"/>
      <c r="JA33" s="92"/>
      <c r="JB33" s="92"/>
      <c r="JC33" s="92"/>
      <c r="JD33" s="92"/>
      <c r="JE33" s="92"/>
      <c r="JF33" s="92"/>
      <c r="JG33" s="92"/>
      <c r="JH33" s="92"/>
      <c r="JI33" s="92"/>
      <c r="JJ33" s="92"/>
      <c r="JK33" s="92"/>
      <c r="JL33" s="92"/>
      <c r="JM33" s="92"/>
      <c r="JN33" s="92"/>
      <c r="JO33" s="92"/>
      <c r="JP33" s="92"/>
      <c r="JQ33" s="92"/>
      <c r="JR33" s="92"/>
      <c r="JS33" s="92"/>
      <c r="JT33" s="92"/>
      <c r="JU33" s="92"/>
      <c r="JV33" s="92"/>
      <c r="JW33" s="92"/>
      <c r="JX33" s="92"/>
      <c r="JY33" s="92"/>
      <c r="JZ33" s="92"/>
      <c r="KA33" s="92"/>
      <c r="KB33" s="92"/>
      <c r="KC33" s="92"/>
      <c r="KD33" s="92"/>
      <c r="KE33" s="92"/>
      <c r="KF33" s="92"/>
      <c r="KG33" s="92"/>
      <c r="KH33" s="92"/>
      <c r="KI33" s="92"/>
      <c r="KJ33" s="92"/>
      <c r="KK33" s="92"/>
      <c r="KL33" s="92"/>
      <c r="KM33" s="92"/>
      <c r="KN33" s="92"/>
      <c r="KO33" s="92"/>
      <c r="KP33" s="92"/>
      <c r="KQ33" s="88"/>
      <c r="KR33" s="92"/>
      <c r="KS33" s="92"/>
      <c r="KT33" s="92"/>
      <c r="KU33" s="93"/>
      <c r="KV33" s="92"/>
      <c r="KW33" s="93"/>
      <c r="KX33" s="92"/>
      <c r="KY33" s="93"/>
      <c r="KZ33" s="92"/>
      <c r="LA33" s="93"/>
      <c r="LB33" s="92"/>
      <c r="LC33" s="93"/>
      <c r="LD33" s="92"/>
      <c r="LE33" s="93"/>
      <c r="LF33" s="92"/>
      <c r="LG33" s="92"/>
      <c r="LH33" s="92"/>
      <c r="LI33" s="92"/>
      <c r="LJ33" s="92"/>
      <c r="LK33" s="92"/>
      <c r="LL33" s="92"/>
      <c r="LM33" s="92"/>
      <c r="LN33" s="92"/>
      <c r="LO33" s="92"/>
      <c r="LP33" s="88"/>
      <c r="LQ33" s="93"/>
      <c r="LR33" s="88"/>
      <c r="LS33" s="93"/>
      <c r="LT33" s="93"/>
      <c r="LU33" s="93"/>
      <c r="LV33" s="93"/>
      <c r="LW33" s="93"/>
      <c r="LX33" s="93"/>
      <c r="LY33" s="93"/>
      <c r="LZ33" s="93"/>
      <c r="MA33" s="93"/>
      <c r="MB33" s="93"/>
      <c r="MC33" s="94"/>
      <c r="MD33" s="94"/>
      <c r="ME33" s="94"/>
      <c r="MF33" s="94"/>
      <c r="MG33" s="94"/>
      <c r="MH33" s="94"/>
      <c r="MI33" s="94"/>
      <c r="MJ33" s="94"/>
      <c r="MK33" s="94"/>
      <c r="ML33" s="94"/>
      <c r="MM33" s="94"/>
      <c r="MN33" s="94"/>
      <c r="MO33" s="95"/>
      <c r="MP33" s="95"/>
      <c r="MQ33" s="94"/>
      <c r="MR33" s="94"/>
      <c r="MS33" s="94"/>
      <c r="MT33" s="94"/>
      <c r="MU33" s="94"/>
      <c r="MV33" s="94"/>
      <c r="MW33" s="94"/>
      <c r="MX33" s="94"/>
      <c r="MY33" s="94"/>
      <c r="MZ33" s="94"/>
      <c r="NA33" s="94"/>
      <c r="NB33" s="94"/>
      <c r="NC33" s="94"/>
      <c r="ND33" s="94"/>
      <c r="NE33" s="94"/>
      <c r="NF33" s="94"/>
      <c r="NG33" s="94"/>
      <c r="NH33" s="94"/>
      <c r="NI33" s="94"/>
      <c r="NJ33" s="94"/>
    </row>
    <row r="34" spans="1:374" x14ac:dyDescent="0.25">
      <c r="A34" s="88"/>
      <c r="B34" s="88"/>
      <c r="C34" s="88"/>
      <c r="D34" s="88"/>
      <c r="E34" s="89"/>
      <c r="F34" s="88"/>
      <c r="G34" s="88"/>
      <c r="H34" s="88" t="str">
        <f t="shared" si="26"/>
        <v xml:space="preserve">  </v>
      </c>
      <c r="I34" s="88"/>
      <c r="J34" s="88"/>
      <c r="K34" s="88"/>
      <c r="L34" s="88"/>
      <c r="M34" s="88"/>
      <c r="N34" s="88"/>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1"/>
      <c r="AR34" s="75"/>
      <c r="AS34" s="91"/>
      <c r="AT34" s="91"/>
      <c r="AU34" s="90"/>
      <c r="AV34" s="91"/>
      <c r="AW34" s="91"/>
      <c r="AX34" s="91"/>
      <c r="AY34" s="91"/>
      <c r="AZ34" s="91"/>
      <c r="BA34" s="91"/>
      <c r="BB34" s="90"/>
      <c r="BC34" s="91"/>
      <c r="BD34" s="75"/>
      <c r="BE34" s="91"/>
      <c r="BF34" s="91"/>
      <c r="BG34" s="90"/>
      <c r="BH34" s="91"/>
      <c r="BI34" s="91"/>
      <c r="BJ34" s="91"/>
      <c r="BK34" s="91"/>
      <c r="BL34" s="91"/>
      <c r="BM34" s="91"/>
      <c r="BN34" s="90"/>
      <c r="BO34" s="91"/>
      <c r="BP34" s="75"/>
      <c r="BQ34" s="91"/>
      <c r="BR34" s="91"/>
      <c r="BS34" s="90"/>
      <c r="BT34" s="91"/>
      <c r="BU34" s="91"/>
      <c r="BV34" s="91"/>
      <c r="BW34" s="91"/>
      <c r="BX34" s="91"/>
      <c r="BY34" s="91"/>
      <c r="BZ34" s="90"/>
      <c r="CA34" s="91"/>
      <c r="CB34" s="75"/>
      <c r="CC34" s="91"/>
      <c r="CD34" s="91"/>
      <c r="CE34" s="90"/>
      <c r="CF34" s="91"/>
      <c r="CG34" s="91"/>
      <c r="CH34" s="91"/>
      <c r="CI34" s="91"/>
      <c r="CJ34" s="91"/>
      <c r="CK34" s="91"/>
      <c r="CL34" s="90"/>
      <c r="CM34" s="91"/>
      <c r="CN34" s="75"/>
      <c r="CO34" s="91"/>
      <c r="CP34" s="91"/>
      <c r="CQ34" s="90"/>
      <c r="CR34" s="91"/>
      <c r="CS34" s="91"/>
      <c r="CT34" s="91"/>
      <c r="CU34" s="91"/>
      <c r="CV34" s="91"/>
      <c r="CW34" s="91"/>
      <c r="CX34" s="90"/>
      <c r="CY34" s="91"/>
      <c r="CZ34" s="75"/>
      <c r="DA34" s="91"/>
      <c r="DB34" s="91"/>
      <c r="DC34" s="90"/>
      <c r="DD34" s="91"/>
      <c r="DE34" s="91"/>
      <c r="DF34" s="91"/>
      <c r="DG34" s="91"/>
      <c r="DH34" s="91"/>
      <c r="DI34" s="91"/>
      <c r="DJ34" s="90"/>
      <c r="DK34" s="91"/>
      <c r="DL34" s="75"/>
      <c r="DM34" s="75"/>
      <c r="DN34" s="75">
        <f t="shared" si="1"/>
        <v>0</v>
      </c>
      <c r="DO34" s="75" t="str">
        <f t="shared" si="2"/>
        <v/>
      </c>
      <c r="DP34" s="91"/>
      <c r="DQ34" s="91"/>
      <c r="DR34" s="90"/>
      <c r="DS34" s="91"/>
      <c r="DT34" s="91"/>
      <c r="DU34" s="91"/>
      <c r="DV34" s="91"/>
      <c r="DW34" s="91"/>
      <c r="DX34" s="91"/>
      <c r="DY34" s="90"/>
      <c r="DZ34" s="91"/>
      <c r="EA34" s="75"/>
      <c r="EB34" s="91"/>
      <c r="EC34" s="91"/>
      <c r="ED34" s="90"/>
      <c r="EE34" s="91"/>
      <c r="EF34" s="91"/>
      <c r="EG34" s="91"/>
      <c r="EH34" s="91"/>
      <c r="EI34" s="91"/>
      <c r="EJ34" s="91"/>
      <c r="EK34" s="90"/>
      <c r="EL34" s="90"/>
      <c r="EM34" s="88"/>
      <c r="EN34" s="92"/>
      <c r="EO34" s="92"/>
      <c r="EP34" s="92"/>
      <c r="EQ34" s="92"/>
      <c r="ER34" s="92"/>
      <c r="ES34" s="92"/>
      <c r="ET34" s="92"/>
      <c r="EU34" s="92"/>
      <c r="EV34" s="92"/>
      <c r="EW34" s="92"/>
      <c r="EX34" s="92"/>
      <c r="EY34" s="92"/>
      <c r="EZ34" s="92"/>
      <c r="FA34" s="92"/>
      <c r="FB34" s="92"/>
      <c r="FC34" s="92"/>
      <c r="FD34" s="92"/>
      <c r="FE34" s="92"/>
      <c r="FF34" s="92"/>
      <c r="FG34" s="92"/>
      <c r="FH34" s="92"/>
      <c r="FI34" s="92"/>
      <c r="FJ34" s="92"/>
      <c r="FK34" s="92"/>
      <c r="FL34" s="92"/>
      <c r="FM34" s="92"/>
      <c r="FN34" s="92"/>
      <c r="FO34" s="92"/>
      <c r="FP34" s="92"/>
      <c r="FQ34" s="92"/>
      <c r="FR34" s="92"/>
      <c r="FS34" s="92"/>
      <c r="FT34" s="92"/>
      <c r="FU34" s="92"/>
      <c r="FV34" s="92"/>
      <c r="FW34" s="92"/>
      <c r="FX34" s="92"/>
      <c r="FY34" s="92"/>
      <c r="FZ34" s="92"/>
      <c r="GA34" s="92"/>
      <c r="GB34" s="92"/>
      <c r="GC34" s="92"/>
      <c r="GD34" s="92"/>
      <c r="GE34" s="92"/>
      <c r="GF34" s="92"/>
      <c r="GG34" s="92"/>
      <c r="GH34" s="92"/>
      <c r="GI34" s="92"/>
      <c r="GJ34" s="92"/>
      <c r="GK34" s="92"/>
      <c r="GL34" s="92"/>
      <c r="GM34" s="92"/>
      <c r="GN34" s="92"/>
      <c r="GO34" s="92"/>
      <c r="GP34" s="92"/>
      <c r="GQ34" s="92"/>
      <c r="GR34" s="92"/>
      <c r="GS34" s="92"/>
      <c r="GT34" s="92"/>
      <c r="GU34" s="92"/>
      <c r="GV34" s="92"/>
      <c r="GW34" s="92"/>
      <c r="GX34" s="92"/>
      <c r="GY34" s="92"/>
      <c r="GZ34" s="92"/>
      <c r="HA34" s="92"/>
      <c r="HB34" s="92"/>
      <c r="HC34" s="92"/>
      <c r="HD34" s="92"/>
      <c r="HE34" s="92"/>
      <c r="HF34" s="92"/>
      <c r="HG34" s="92"/>
      <c r="HH34" s="92"/>
      <c r="HI34" s="92"/>
      <c r="HJ34" s="92"/>
      <c r="HK34" s="92"/>
      <c r="HL34" s="92"/>
      <c r="HM34" s="92"/>
      <c r="HN34" s="92"/>
      <c r="HO34" s="92"/>
      <c r="HP34" s="92"/>
      <c r="HQ34" s="92"/>
      <c r="HR34" s="92"/>
      <c r="HS34" s="92"/>
      <c r="HT34" s="92"/>
      <c r="HU34" s="92"/>
      <c r="HV34" s="92"/>
      <c r="HW34" s="92"/>
      <c r="HX34" s="92"/>
      <c r="HY34" s="92"/>
      <c r="HZ34" s="92"/>
      <c r="IA34" s="92"/>
      <c r="IB34" s="92"/>
      <c r="IC34" s="92"/>
      <c r="ID34" s="92"/>
      <c r="IE34" s="92"/>
      <c r="IF34" s="92"/>
      <c r="IG34" s="92"/>
      <c r="IH34" s="92"/>
      <c r="II34" s="92"/>
      <c r="IJ34" s="92"/>
      <c r="IK34" s="92"/>
      <c r="IL34" s="92"/>
      <c r="IM34" s="92"/>
      <c r="IN34" s="92"/>
      <c r="IO34" s="92"/>
      <c r="IP34" s="92"/>
      <c r="IQ34" s="92"/>
      <c r="IR34" s="92"/>
      <c r="IS34" s="92"/>
      <c r="IT34" s="92"/>
      <c r="IU34" s="92"/>
      <c r="IV34" s="92"/>
      <c r="IW34" s="92"/>
      <c r="IX34" s="92"/>
      <c r="IY34" s="92"/>
      <c r="IZ34" s="92"/>
      <c r="JA34" s="92"/>
      <c r="JB34" s="92"/>
      <c r="JC34" s="92"/>
      <c r="JD34" s="92"/>
      <c r="JE34" s="92"/>
      <c r="JF34" s="92"/>
      <c r="JG34" s="92"/>
      <c r="JH34" s="92"/>
      <c r="JI34" s="92"/>
      <c r="JJ34" s="92"/>
      <c r="JK34" s="92"/>
      <c r="JL34" s="92"/>
      <c r="JM34" s="92"/>
      <c r="JN34" s="92"/>
      <c r="JO34" s="92"/>
      <c r="JP34" s="92"/>
      <c r="JQ34" s="92"/>
      <c r="JR34" s="92"/>
      <c r="JS34" s="92"/>
      <c r="JT34" s="92"/>
      <c r="JU34" s="92"/>
      <c r="JV34" s="92"/>
      <c r="JW34" s="92"/>
      <c r="JX34" s="92"/>
      <c r="JY34" s="92"/>
      <c r="JZ34" s="92"/>
      <c r="KA34" s="92"/>
      <c r="KB34" s="92"/>
      <c r="KC34" s="92"/>
      <c r="KD34" s="92"/>
      <c r="KE34" s="92"/>
      <c r="KF34" s="92"/>
      <c r="KG34" s="92"/>
      <c r="KH34" s="92"/>
      <c r="KI34" s="92"/>
      <c r="KJ34" s="92"/>
      <c r="KK34" s="92"/>
      <c r="KL34" s="92"/>
      <c r="KM34" s="92"/>
      <c r="KN34" s="92"/>
      <c r="KO34" s="92"/>
      <c r="KP34" s="92"/>
      <c r="KQ34" s="88"/>
      <c r="KR34" s="92"/>
      <c r="KS34" s="92"/>
      <c r="KT34" s="92"/>
      <c r="KU34" s="93"/>
      <c r="KV34" s="92"/>
      <c r="KW34" s="93"/>
      <c r="KX34" s="92"/>
      <c r="KY34" s="93"/>
      <c r="KZ34" s="92"/>
      <c r="LA34" s="93"/>
      <c r="LB34" s="92"/>
      <c r="LC34" s="93"/>
      <c r="LD34" s="92"/>
      <c r="LE34" s="93"/>
      <c r="LF34" s="92"/>
      <c r="LG34" s="92"/>
      <c r="LH34" s="92"/>
      <c r="LI34" s="92"/>
      <c r="LJ34" s="92"/>
      <c r="LK34" s="92"/>
      <c r="LL34" s="92"/>
      <c r="LM34" s="92"/>
      <c r="LN34" s="92"/>
      <c r="LO34" s="92"/>
      <c r="LP34" s="88"/>
      <c r="LQ34" s="93"/>
      <c r="LR34" s="88"/>
      <c r="LS34" s="93"/>
      <c r="LT34" s="93"/>
      <c r="LU34" s="93"/>
      <c r="LV34" s="93"/>
      <c r="LW34" s="93"/>
      <c r="LX34" s="93"/>
      <c r="LY34" s="93"/>
      <c r="LZ34" s="93"/>
      <c r="MA34" s="93"/>
      <c r="MB34" s="93"/>
      <c r="MC34" s="94"/>
      <c r="MD34" s="94"/>
      <c r="ME34" s="94"/>
      <c r="MF34" s="94"/>
      <c r="MG34" s="94"/>
      <c r="MH34" s="94"/>
      <c r="MI34" s="94"/>
      <c r="MJ34" s="94"/>
      <c r="MK34" s="94"/>
      <c r="ML34" s="94"/>
      <c r="MM34" s="94"/>
      <c r="MN34" s="94"/>
      <c r="MO34" s="95"/>
      <c r="MP34" s="95"/>
      <c r="MQ34" s="94"/>
      <c r="MR34" s="94"/>
      <c r="MS34" s="94"/>
      <c r="MT34" s="94"/>
      <c r="MU34" s="94"/>
      <c r="MV34" s="94"/>
      <c r="MW34" s="94"/>
      <c r="MX34" s="94"/>
      <c r="MY34" s="94"/>
      <c r="MZ34" s="94"/>
      <c r="NA34" s="94"/>
      <c r="NB34" s="94"/>
      <c r="NC34" s="94"/>
      <c r="ND34" s="94"/>
      <c r="NE34" s="94"/>
      <c r="NF34" s="94"/>
      <c r="NG34" s="94"/>
      <c r="NH34" s="94"/>
      <c r="NI34" s="94"/>
      <c r="NJ34" s="94"/>
    </row>
    <row r="35" spans="1:374" x14ac:dyDescent="0.25">
      <c r="A35" s="88"/>
      <c r="B35" s="88"/>
      <c r="C35" s="88"/>
      <c r="D35" s="88"/>
      <c r="E35" s="89"/>
      <c r="F35" s="88"/>
      <c r="G35" s="88"/>
      <c r="H35" s="88" t="str">
        <f t="shared" si="26"/>
        <v xml:space="preserve">  </v>
      </c>
      <c r="I35" s="88"/>
      <c r="J35" s="88"/>
      <c r="K35" s="88"/>
      <c r="L35" s="88"/>
      <c r="M35" s="88"/>
      <c r="N35" s="88"/>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1"/>
      <c r="AR35" s="75"/>
      <c r="AS35" s="91"/>
      <c r="AT35" s="91"/>
      <c r="AU35" s="90"/>
      <c r="AV35" s="91"/>
      <c r="AW35" s="91"/>
      <c r="AX35" s="91"/>
      <c r="AY35" s="91"/>
      <c r="AZ35" s="91"/>
      <c r="BA35" s="91"/>
      <c r="BB35" s="90"/>
      <c r="BC35" s="91"/>
      <c r="BD35" s="75"/>
      <c r="BE35" s="91"/>
      <c r="BF35" s="91"/>
      <c r="BG35" s="90"/>
      <c r="BH35" s="91"/>
      <c r="BI35" s="91"/>
      <c r="BJ35" s="91"/>
      <c r="BK35" s="91"/>
      <c r="BL35" s="91"/>
      <c r="BM35" s="91"/>
      <c r="BN35" s="90"/>
      <c r="BO35" s="91"/>
      <c r="BP35" s="75"/>
      <c r="BQ35" s="91"/>
      <c r="BR35" s="91"/>
      <c r="BS35" s="90"/>
      <c r="BT35" s="91"/>
      <c r="BU35" s="91"/>
      <c r="BV35" s="91"/>
      <c r="BW35" s="91"/>
      <c r="BX35" s="91"/>
      <c r="BY35" s="91"/>
      <c r="BZ35" s="90"/>
      <c r="CA35" s="91"/>
      <c r="CB35" s="75"/>
      <c r="CC35" s="91"/>
      <c r="CD35" s="91"/>
      <c r="CE35" s="90"/>
      <c r="CF35" s="91"/>
      <c r="CG35" s="91"/>
      <c r="CH35" s="91"/>
      <c r="CI35" s="91"/>
      <c r="CJ35" s="91"/>
      <c r="CK35" s="91"/>
      <c r="CL35" s="90"/>
      <c r="CM35" s="91"/>
      <c r="CN35" s="75"/>
      <c r="CO35" s="91"/>
      <c r="CP35" s="91"/>
      <c r="CQ35" s="90"/>
      <c r="CR35" s="91"/>
      <c r="CS35" s="91"/>
      <c r="CT35" s="91"/>
      <c r="CU35" s="91"/>
      <c r="CV35" s="91"/>
      <c r="CW35" s="91"/>
      <c r="CX35" s="90"/>
      <c r="CY35" s="91"/>
      <c r="CZ35" s="75"/>
      <c r="DA35" s="91"/>
      <c r="DB35" s="91"/>
      <c r="DC35" s="90"/>
      <c r="DD35" s="91"/>
      <c r="DE35" s="91"/>
      <c r="DF35" s="91"/>
      <c r="DG35" s="91"/>
      <c r="DH35" s="91"/>
      <c r="DI35" s="91"/>
      <c r="DJ35" s="90"/>
      <c r="DK35" s="91"/>
      <c r="DL35" s="75"/>
      <c r="DM35" s="75"/>
      <c r="DN35" s="75">
        <f t="shared" si="1"/>
        <v>0</v>
      </c>
      <c r="DO35" s="75" t="str">
        <f t="shared" si="2"/>
        <v/>
      </c>
      <c r="DP35" s="91"/>
      <c r="DQ35" s="91"/>
      <c r="DR35" s="90"/>
      <c r="DS35" s="91"/>
      <c r="DT35" s="91"/>
      <c r="DU35" s="91"/>
      <c r="DV35" s="91"/>
      <c r="DW35" s="91"/>
      <c r="DX35" s="91"/>
      <c r="DY35" s="90"/>
      <c r="DZ35" s="91"/>
      <c r="EA35" s="75"/>
      <c r="EB35" s="91"/>
      <c r="EC35" s="91"/>
      <c r="ED35" s="90"/>
      <c r="EE35" s="91"/>
      <c r="EF35" s="91"/>
      <c r="EG35" s="91"/>
      <c r="EH35" s="91"/>
      <c r="EI35" s="91"/>
      <c r="EJ35" s="91"/>
      <c r="EK35" s="90"/>
      <c r="EL35" s="90"/>
      <c r="EM35" s="88"/>
      <c r="EN35" s="92"/>
      <c r="EO35" s="92"/>
      <c r="EP35" s="92"/>
      <c r="EQ35" s="92"/>
      <c r="ER35" s="92"/>
      <c r="ES35" s="92"/>
      <c r="ET35" s="92"/>
      <c r="EU35" s="92"/>
      <c r="EV35" s="92"/>
      <c r="EW35" s="92"/>
      <c r="EX35" s="92"/>
      <c r="EY35" s="92"/>
      <c r="EZ35" s="92"/>
      <c r="FA35" s="92"/>
      <c r="FB35" s="92"/>
      <c r="FC35" s="92"/>
      <c r="FD35" s="92"/>
      <c r="FE35" s="92"/>
      <c r="FF35" s="92"/>
      <c r="FG35" s="92"/>
      <c r="FH35" s="92"/>
      <c r="FI35" s="92"/>
      <c r="FJ35" s="92"/>
      <c r="FK35" s="92"/>
      <c r="FL35" s="92"/>
      <c r="FM35" s="92"/>
      <c r="FN35" s="92"/>
      <c r="FO35" s="92"/>
      <c r="FP35" s="92"/>
      <c r="FQ35" s="92"/>
      <c r="FR35" s="92"/>
      <c r="FS35" s="92"/>
      <c r="FT35" s="92"/>
      <c r="FU35" s="92"/>
      <c r="FV35" s="92"/>
      <c r="FW35" s="92"/>
      <c r="FX35" s="92"/>
      <c r="FY35" s="92"/>
      <c r="FZ35" s="92"/>
      <c r="GA35" s="92"/>
      <c r="GB35" s="92"/>
      <c r="GC35" s="92"/>
      <c r="GD35" s="92"/>
      <c r="GE35" s="92"/>
      <c r="GF35" s="92"/>
      <c r="GG35" s="92"/>
      <c r="GH35" s="92"/>
      <c r="GI35" s="92"/>
      <c r="GJ35" s="92"/>
      <c r="GK35" s="92"/>
      <c r="GL35" s="92"/>
      <c r="GM35" s="92"/>
      <c r="GN35" s="92"/>
      <c r="GO35" s="92"/>
      <c r="GP35" s="92"/>
      <c r="GQ35" s="92"/>
      <c r="GR35" s="92"/>
      <c r="GS35" s="92"/>
      <c r="GT35" s="92"/>
      <c r="GU35" s="92"/>
      <c r="GV35" s="92"/>
      <c r="GW35" s="92"/>
      <c r="GX35" s="92"/>
      <c r="GY35" s="92"/>
      <c r="GZ35" s="92"/>
      <c r="HA35" s="92"/>
      <c r="HB35" s="92"/>
      <c r="HC35" s="92"/>
      <c r="HD35" s="92"/>
      <c r="HE35" s="92"/>
      <c r="HF35" s="92"/>
      <c r="HG35" s="92"/>
      <c r="HH35" s="92"/>
      <c r="HI35" s="92"/>
      <c r="HJ35" s="92"/>
      <c r="HK35" s="92"/>
      <c r="HL35" s="92"/>
      <c r="HM35" s="92"/>
      <c r="HN35" s="92"/>
      <c r="HO35" s="92"/>
      <c r="HP35" s="92"/>
      <c r="HQ35" s="92"/>
      <c r="HR35" s="92"/>
      <c r="HS35" s="92"/>
      <c r="HT35" s="92"/>
      <c r="HU35" s="92"/>
      <c r="HV35" s="92"/>
      <c r="HW35" s="92"/>
      <c r="HX35" s="92"/>
      <c r="HY35" s="92"/>
      <c r="HZ35" s="92"/>
      <c r="IA35" s="92"/>
      <c r="IB35" s="92"/>
      <c r="IC35" s="92"/>
      <c r="ID35" s="92"/>
      <c r="IE35" s="92"/>
      <c r="IF35" s="92"/>
      <c r="IG35" s="92"/>
      <c r="IH35" s="92"/>
      <c r="II35" s="92"/>
      <c r="IJ35" s="92"/>
      <c r="IK35" s="92"/>
      <c r="IL35" s="92"/>
      <c r="IM35" s="92"/>
      <c r="IN35" s="92"/>
      <c r="IO35" s="92"/>
      <c r="IP35" s="92"/>
      <c r="IQ35" s="92"/>
      <c r="IR35" s="92"/>
      <c r="IS35" s="92"/>
      <c r="IT35" s="92"/>
      <c r="IU35" s="92"/>
      <c r="IV35" s="92"/>
      <c r="IW35" s="92"/>
      <c r="IX35" s="92"/>
      <c r="IY35" s="92"/>
      <c r="IZ35" s="92"/>
      <c r="JA35" s="92"/>
      <c r="JB35" s="92"/>
      <c r="JC35" s="92"/>
      <c r="JD35" s="92"/>
      <c r="JE35" s="92"/>
      <c r="JF35" s="92"/>
      <c r="JG35" s="92"/>
      <c r="JH35" s="92"/>
      <c r="JI35" s="92"/>
      <c r="JJ35" s="92"/>
      <c r="JK35" s="92"/>
      <c r="JL35" s="92"/>
      <c r="JM35" s="92"/>
      <c r="JN35" s="92"/>
      <c r="JO35" s="92"/>
      <c r="JP35" s="92"/>
      <c r="JQ35" s="92"/>
      <c r="JR35" s="92"/>
      <c r="JS35" s="92"/>
      <c r="JT35" s="92"/>
      <c r="JU35" s="92"/>
      <c r="JV35" s="92"/>
      <c r="JW35" s="92"/>
      <c r="JX35" s="92"/>
      <c r="JY35" s="92"/>
      <c r="JZ35" s="92"/>
      <c r="KA35" s="92"/>
      <c r="KB35" s="92"/>
      <c r="KC35" s="92"/>
      <c r="KD35" s="92"/>
      <c r="KE35" s="92"/>
      <c r="KF35" s="92"/>
      <c r="KG35" s="92"/>
      <c r="KH35" s="92"/>
      <c r="KI35" s="92"/>
      <c r="KJ35" s="92"/>
      <c r="KK35" s="92"/>
      <c r="KL35" s="92"/>
      <c r="KM35" s="92"/>
      <c r="KN35" s="92"/>
      <c r="KO35" s="92"/>
      <c r="KP35" s="92"/>
      <c r="KQ35" s="88"/>
      <c r="KR35" s="92"/>
      <c r="KS35" s="92"/>
      <c r="KT35" s="92"/>
      <c r="KU35" s="93"/>
      <c r="KV35" s="92"/>
      <c r="KW35" s="93"/>
      <c r="KX35" s="92"/>
      <c r="KY35" s="93"/>
      <c r="KZ35" s="92"/>
      <c r="LA35" s="93"/>
      <c r="LB35" s="92"/>
      <c r="LC35" s="93"/>
      <c r="LD35" s="92"/>
      <c r="LE35" s="93"/>
      <c r="LF35" s="92"/>
      <c r="LG35" s="92"/>
      <c r="LH35" s="92"/>
      <c r="LI35" s="92"/>
      <c r="LJ35" s="92"/>
      <c r="LK35" s="92"/>
      <c r="LL35" s="92"/>
      <c r="LM35" s="92"/>
      <c r="LN35" s="92"/>
      <c r="LO35" s="92"/>
      <c r="LP35" s="88"/>
      <c r="LQ35" s="93"/>
      <c r="LR35" s="88"/>
      <c r="LS35" s="93"/>
      <c r="LT35" s="93"/>
      <c r="LU35" s="93"/>
      <c r="LV35" s="93"/>
      <c r="LW35" s="93"/>
      <c r="LX35" s="93"/>
      <c r="LY35" s="93"/>
      <c r="LZ35" s="93"/>
      <c r="MA35" s="93"/>
      <c r="MB35" s="93"/>
      <c r="MC35" s="94"/>
      <c r="MD35" s="94"/>
      <c r="ME35" s="94"/>
      <c r="MF35" s="94"/>
      <c r="MG35" s="94"/>
      <c r="MH35" s="94"/>
      <c r="MI35" s="94"/>
      <c r="MJ35" s="94"/>
      <c r="MK35" s="94"/>
      <c r="ML35" s="94"/>
      <c r="MM35" s="94"/>
      <c r="MN35" s="94"/>
      <c r="MO35" s="95"/>
      <c r="MP35" s="95"/>
      <c r="MQ35" s="94"/>
      <c r="MR35" s="94"/>
      <c r="MS35" s="94"/>
      <c r="MT35" s="94"/>
      <c r="MU35" s="94"/>
      <c r="MV35" s="94"/>
      <c r="MW35" s="94"/>
      <c r="MX35" s="94"/>
      <c r="MY35" s="94"/>
      <c r="MZ35" s="94"/>
      <c r="NA35" s="94"/>
      <c r="NB35" s="94"/>
      <c r="NC35" s="94"/>
      <c r="ND35" s="94"/>
      <c r="NE35" s="94"/>
      <c r="NF35" s="94"/>
      <c r="NG35" s="94"/>
      <c r="NH35" s="94"/>
      <c r="NI35" s="94"/>
      <c r="NJ35" s="94"/>
    </row>
    <row r="36" spans="1:374" x14ac:dyDescent="0.25">
      <c r="A36" s="88"/>
      <c r="B36" s="88"/>
      <c r="C36" s="88"/>
      <c r="D36" s="88"/>
      <c r="E36" s="89"/>
      <c r="F36" s="88"/>
      <c r="G36" s="88"/>
      <c r="H36" s="88" t="str">
        <f t="shared" si="26"/>
        <v xml:space="preserve">  </v>
      </c>
      <c r="I36" s="88"/>
      <c r="J36" s="88"/>
      <c r="K36" s="88"/>
      <c r="L36" s="88"/>
      <c r="M36" s="88"/>
      <c r="N36" s="88"/>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1"/>
      <c r="AR36" s="75"/>
      <c r="AS36" s="91"/>
      <c r="AT36" s="91"/>
      <c r="AU36" s="90"/>
      <c r="AV36" s="91"/>
      <c r="AW36" s="91"/>
      <c r="AX36" s="91"/>
      <c r="AY36" s="91"/>
      <c r="AZ36" s="91"/>
      <c r="BA36" s="91"/>
      <c r="BB36" s="90"/>
      <c r="BC36" s="91"/>
      <c r="BD36" s="75"/>
      <c r="BE36" s="91"/>
      <c r="BF36" s="91"/>
      <c r="BG36" s="90"/>
      <c r="BH36" s="91"/>
      <c r="BI36" s="91"/>
      <c r="BJ36" s="91"/>
      <c r="BK36" s="91"/>
      <c r="BL36" s="91"/>
      <c r="BM36" s="91"/>
      <c r="BN36" s="90"/>
      <c r="BO36" s="91"/>
      <c r="BP36" s="75"/>
      <c r="BQ36" s="91"/>
      <c r="BR36" s="91"/>
      <c r="BS36" s="90"/>
      <c r="BT36" s="91"/>
      <c r="BU36" s="91"/>
      <c r="BV36" s="91"/>
      <c r="BW36" s="91"/>
      <c r="BX36" s="91"/>
      <c r="BY36" s="91"/>
      <c r="BZ36" s="90"/>
      <c r="CA36" s="91"/>
      <c r="CB36" s="75"/>
      <c r="CC36" s="91"/>
      <c r="CD36" s="91"/>
      <c r="CE36" s="90"/>
      <c r="CF36" s="91"/>
      <c r="CG36" s="91"/>
      <c r="CH36" s="91"/>
      <c r="CI36" s="91"/>
      <c r="CJ36" s="91"/>
      <c r="CK36" s="91"/>
      <c r="CL36" s="90"/>
      <c r="CM36" s="91"/>
      <c r="CN36" s="75"/>
      <c r="CO36" s="91"/>
      <c r="CP36" s="91"/>
      <c r="CQ36" s="90"/>
      <c r="CR36" s="91"/>
      <c r="CS36" s="91"/>
      <c r="CT36" s="91"/>
      <c r="CU36" s="91"/>
      <c r="CV36" s="91"/>
      <c r="CW36" s="91"/>
      <c r="CX36" s="90"/>
      <c r="CY36" s="91"/>
      <c r="CZ36" s="75"/>
      <c r="DA36" s="91"/>
      <c r="DB36" s="91"/>
      <c r="DC36" s="90"/>
      <c r="DD36" s="91"/>
      <c r="DE36" s="91"/>
      <c r="DF36" s="91"/>
      <c r="DG36" s="91"/>
      <c r="DH36" s="91"/>
      <c r="DI36" s="91"/>
      <c r="DJ36" s="90"/>
      <c r="DK36" s="91"/>
      <c r="DL36" s="75"/>
      <c r="DM36" s="75"/>
      <c r="DN36" s="75">
        <f t="shared" si="1"/>
        <v>0</v>
      </c>
      <c r="DO36" s="75" t="str">
        <f t="shared" si="2"/>
        <v/>
      </c>
      <c r="DP36" s="91"/>
      <c r="DQ36" s="91"/>
      <c r="DR36" s="90"/>
      <c r="DS36" s="91"/>
      <c r="DT36" s="91"/>
      <c r="DU36" s="91"/>
      <c r="DV36" s="91"/>
      <c r="DW36" s="91"/>
      <c r="DX36" s="91"/>
      <c r="DY36" s="90"/>
      <c r="DZ36" s="91"/>
      <c r="EA36" s="75"/>
      <c r="EB36" s="91"/>
      <c r="EC36" s="91"/>
      <c r="ED36" s="90"/>
      <c r="EE36" s="91"/>
      <c r="EF36" s="91"/>
      <c r="EG36" s="91"/>
      <c r="EH36" s="91"/>
      <c r="EI36" s="91"/>
      <c r="EJ36" s="91"/>
      <c r="EK36" s="90"/>
      <c r="EL36" s="90"/>
      <c r="EM36" s="88"/>
      <c r="EN36" s="92"/>
      <c r="EO36" s="92"/>
      <c r="EP36" s="92"/>
      <c r="EQ36" s="92"/>
      <c r="ER36" s="92"/>
      <c r="ES36" s="92"/>
      <c r="ET36" s="92"/>
      <c r="EU36" s="92"/>
      <c r="EV36" s="92"/>
      <c r="EW36" s="92"/>
      <c r="EX36" s="92"/>
      <c r="EY36" s="92"/>
      <c r="EZ36" s="92"/>
      <c r="FA36" s="92"/>
      <c r="FB36" s="92"/>
      <c r="FC36" s="92"/>
      <c r="FD36" s="92"/>
      <c r="FE36" s="92"/>
      <c r="FF36" s="92"/>
      <c r="FG36" s="92"/>
      <c r="FH36" s="92"/>
      <c r="FI36" s="92"/>
      <c r="FJ36" s="92"/>
      <c r="FK36" s="92"/>
      <c r="FL36" s="92"/>
      <c r="FM36" s="92"/>
      <c r="FN36" s="92"/>
      <c r="FO36" s="92"/>
      <c r="FP36" s="92"/>
      <c r="FQ36" s="92"/>
      <c r="FR36" s="92"/>
      <c r="FS36" s="92"/>
      <c r="FT36" s="92"/>
      <c r="FU36" s="92"/>
      <c r="FV36" s="92"/>
      <c r="FW36" s="92"/>
      <c r="FX36" s="92"/>
      <c r="FY36" s="92"/>
      <c r="FZ36" s="92"/>
      <c r="GA36" s="92"/>
      <c r="GB36" s="92"/>
      <c r="GC36" s="92"/>
      <c r="GD36" s="92"/>
      <c r="GE36" s="92"/>
      <c r="GF36" s="92"/>
      <c r="GG36" s="92"/>
      <c r="GH36" s="92"/>
      <c r="GI36" s="92"/>
      <c r="GJ36" s="92"/>
      <c r="GK36" s="92"/>
      <c r="GL36" s="92"/>
      <c r="GM36" s="92"/>
      <c r="GN36" s="92"/>
      <c r="GO36" s="92"/>
      <c r="GP36" s="92"/>
      <c r="GQ36" s="92"/>
      <c r="GR36" s="92"/>
      <c r="GS36" s="92"/>
      <c r="GT36" s="92"/>
      <c r="GU36" s="92"/>
      <c r="GV36" s="92"/>
      <c r="GW36" s="92"/>
      <c r="GX36" s="92"/>
      <c r="GY36" s="92"/>
      <c r="GZ36" s="92"/>
      <c r="HA36" s="92"/>
      <c r="HB36" s="92"/>
      <c r="HC36" s="92"/>
      <c r="HD36" s="92"/>
      <c r="HE36" s="92"/>
      <c r="HF36" s="92"/>
      <c r="HG36" s="92"/>
      <c r="HH36" s="92"/>
      <c r="HI36" s="92"/>
      <c r="HJ36" s="92"/>
      <c r="HK36" s="92"/>
      <c r="HL36" s="92"/>
      <c r="HM36" s="92"/>
      <c r="HN36" s="92"/>
      <c r="HO36" s="92"/>
      <c r="HP36" s="92"/>
      <c r="HQ36" s="92"/>
      <c r="HR36" s="92"/>
      <c r="HS36" s="92"/>
      <c r="HT36" s="92"/>
      <c r="HU36" s="92"/>
      <c r="HV36" s="92"/>
      <c r="HW36" s="92"/>
      <c r="HX36" s="92"/>
      <c r="HY36" s="92"/>
      <c r="HZ36" s="92"/>
      <c r="IA36" s="92"/>
      <c r="IB36" s="92"/>
      <c r="IC36" s="92"/>
      <c r="ID36" s="92"/>
      <c r="IE36" s="92"/>
      <c r="IF36" s="92"/>
      <c r="IG36" s="92"/>
      <c r="IH36" s="92"/>
      <c r="II36" s="92"/>
      <c r="IJ36" s="92"/>
      <c r="IK36" s="92"/>
      <c r="IL36" s="92"/>
      <c r="IM36" s="92"/>
      <c r="IN36" s="92"/>
      <c r="IO36" s="92"/>
      <c r="IP36" s="92"/>
      <c r="IQ36" s="92"/>
      <c r="IR36" s="92"/>
      <c r="IS36" s="92"/>
      <c r="IT36" s="92"/>
      <c r="IU36" s="92"/>
      <c r="IV36" s="92"/>
      <c r="IW36" s="92"/>
      <c r="IX36" s="92"/>
      <c r="IY36" s="92"/>
      <c r="IZ36" s="92"/>
      <c r="JA36" s="92"/>
      <c r="JB36" s="92"/>
      <c r="JC36" s="92"/>
      <c r="JD36" s="92"/>
      <c r="JE36" s="92"/>
      <c r="JF36" s="92"/>
      <c r="JG36" s="92"/>
      <c r="JH36" s="92"/>
      <c r="JI36" s="92"/>
      <c r="JJ36" s="92"/>
      <c r="JK36" s="92"/>
      <c r="JL36" s="92"/>
      <c r="JM36" s="92"/>
      <c r="JN36" s="92"/>
      <c r="JO36" s="92"/>
      <c r="JP36" s="92"/>
      <c r="JQ36" s="92"/>
      <c r="JR36" s="92"/>
      <c r="JS36" s="92"/>
      <c r="JT36" s="92"/>
      <c r="JU36" s="92"/>
      <c r="JV36" s="92"/>
      <c r="JW36" s="92"/>
      <c r="JX36" s="92"/>
      <c r="JY36" s="92"/>
      <c r="JZ36" s="92"/>
      <c r="KA36" s="92"/>
      <c r="KB36" s="92"/>
      <c r="KC36" s="92"/>
      <c r="KD36" s="92"/>
      <c r="KE36" s="92"/>
      <c r="KF36" s="92"/>
      <c r="KG36" s="92"/>
      <c r="KH36" s="92"/>
      <c r="KI36" s="92"/>
      <c r="KJ36" s="92"/>
      <c r="KK36" s="92"/>
      <c r="KL36" s="92"/>
      <c r="KM36" s="92"/>
      <c r="KN36" s="92"/>
      <c r="KO36" s="92"/>
      <c r="KP36" s="92"/>
      <c r="KQ36" s="88"/>
      <c r="KR36" s="92"/>
      <c r="KS36" s="92"/>
      <c r="KT36" s="92"/>
      <c r="KU36" s="93"/>
      <c r="KV36" s="92"/>
      <c r="KW36" s="93"/>
      <c r="KX36" s="92"/>
      <c r="KY36" s="93"/>
      <c r="KZ36" s="92"/>
      <c r="LA36" s="93"/>
      <c r="LB36" s="92"/>
      <c r="LC36" s="93"/>
      <c r="LD36" s="92"/>
      <c r="LE36" s="93"/>
      <c r="LF36" s="92"/>
      <c r="LG36" s="92"/>
      <c r="LH36" s="92"/>
      <c r="LI36" s="92"/>
      <c r="LJ36" s="92"/>
      <c r="LK36" s="92"/>
      <c r="LL36" s="92"/>
      <c r="LM36" s="92"/>
      <c r="LN36" s="92"/>
      <c r="LO36" s="92"/>
      <c r="LP36" s="88"/>
      <c r="LQ36" s="93"/>
      <c r="LR36" s="88"/>
      <c r="LS36" s="93"/>
      <c r="LT36" s="93"/>
      <c r="LU36" s="93"/>
      <c r="LV36" s="93"/>
      <c r="LW36" s="93"/>
      <c r="LX36" s="93"/>
      <c r="LY36" s="93"/>
      <c r="LZ36" s="93"/>
      <c r="MA36" s="93"/>
      <c r="MB36" s="93"/>
      <c r="MC36" s="94"/>
      <c r="MD36" s="94"/>
      <c r="ME36" s="94"/>
      <c r="MF36" s="94"/>
      <c r="MG36" s="94"/>
      <c r="MH36" s="94"/>
      <c r="MI36" s="94"/>
      <c r="MJ36" s="94"/>
      <c r="MK36" s="94"/>
      <c r="ML36" s="94"/>
      <c r="MM36" s="94"/>
      <c r="MN36" s="94"/>
      <c r="MO36" s="95"/>
      <c r="MP36" s="95"/>
      <c r="MQ36" s="94"/>
      <c r="MR36" s="94"/>
      <c r="MS36" s="94"/>
      <c r="MT36" s="94"/>
      <c r="MU36" s="94"/>
      <c r="MV36" s="94"/>
      <c r="MW36" s="94"/>
      <c r="MX36" s="94"/>
      <c r="MY36" s="94"/>
      <c r="MZ36" s="94"/>
      <c r="NA36" s="94"/>
      <c r="NB36" s="94"/>
      <c r="NC36" s="94"/>
      <c r="ND36" s="94"/>
      <c r="NE36" s="94"/>
      <c r="NF36" s="94"/>
      <c r="NG36" s="94"/>
      <c r="NH36" s="94"/>
      <c r="NI36" s="94"/>
      <c r="NJ36" s="94"/>
    </row>
    <row r="37" spans="1:374" x14ac:dyDescent="0.25">
      <c r="A37" s="88"/>
      <c r="B37" s="88"/>
      <c r="C37" s="88"/>
      <c r="D37" s="88"/>
      <c r="E37" s="89"/>
      <c r="F37" s="88"/>
      <c r="G37" s="88"/>
      <c r="H37" s="88" t="str">
        <f t="shared" si="26"/>
        <v xml:space="preserve">  </v>
      </c>
      <c r="I37" s="88"/>
      <c r="J37" s="88"/>
      <c r="K37" s="88"/>
      <c r="L37" s="88"/>
      <c r="M37" s="88"/>
      <c r="N37" s="88"/>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1"/>
      <c r="AR37" s="75"/>
      <c r="AS37" s="91"/>
      <c r="AT37" s="91"/>
      <c r="AU37" s="90"/>
      <c r="AV37" s="91"/>
      <c r="AW37" s="91"/>
      <c r="AX37" s="91"/>
      <c r="AY37" s="91"/>
      <c r="AZ37" s="91"/>
      <c r="BA37" s="91"/>
      <c r="BB37" s="90"/>
      <c r="BC37" s="91"/>
      <c r="BD37" s="75"/>
      <c r="BE37" s="91"/>
      <c r="BF37" s="91"/>
      <c r="BG37" s="90"/>
      <c r="BH37" s="91"/>
      <c r="BI37" s="91"/>
      <c r="BJ37" s="91"/>
      <c r="BK37" s="91"/>
      <c r="BL37" s="91"/>
      <c r="BM37" s="91"/>
      <c r="BN37" s="90"/>
      <c r="BO37" s="91"/>
      <c r="BP37" s="75"/>
      <c r="BQ37" s="91"/>
      <c r="BR37" s="91"/>
      <c r="BS37" s="90"/>
      <c r="BT37" s="91"/>
      <c r="BU37" s="91"/>
      <c r="BV37" s="91"/>
      <c r="BW37" s="91"/>
      <c r="BX37" s="91"/>
      <c r="BY37" s="91"/>
      <c r="BZ37" s="90"/>
      <c r="CA37" s="91"/>
      <c r="CB37" s="75"/>
      <c r="CC37" s="91"/>
      <c r="CD37" s="91"/>
      <c r="CE37" s="90"/>
      <c r="CF37" s="91"/>
      <c r="CG37" s="91"/>
      <c r="CH37" s="91"/>
      <c r="CI37" s="91"/>
      <c r="CJ37" s="91"/>
      <c r="CK37" s="91"/>
      <c r="CL37" s="90"/>
      <c r="CM37" s="91"/>
      <c r="CN37" s="75"/>
      <c r="CO37" s="91"/>
      <c r="CP37" s="91"/>
      <c r="CQ37" s="90"/>
      <c r="CR37" s="91"/>
      <c r="CS37" s="91"/>
      <c r="CT37" s="91"/>
      <c r="CU37" s="91"/>
      <c r="CV37" s="91"/>
      <c r="CW37" s="91"/>
      <c r="CX37" s="90"/>
      <c r="CY37" s="91"/>
      <c r="CZ37" s="75"/>
      <c r="DA37" s="91"/>
      <c r="DB37" s="91"/>
      <c r="DC37" s="90"/>
      <c r="DD37" s="91"/>
      <c r="DE37" s="91"/>
      <c r="DF37" s="91"/>
      <c r="DG37" s="91"/>
      <c r="DH37" s="91"/>
      <c r="DI37" s="91"/>
      <c r="DJ37" s="90"/>
      <c r="DK37" s="91"/>
      <c r="DL37" s="75"/>
      <c r="DM37" s="75"/>
      <c r="DN37" s="75">
        <f t="shared" si="1"/>
        <v>0</v>
      </c>
      <c r="DO37" s="75" t="str">
        <f t="shared" si="2"/>
        <v/>
      </c>
      <c r="DP37" s="91"/>
      <c r="DQ37" s="91"/>
      <c r="DR37" s="90"/>
      <c r="DS37" s="91"/>
      <c r="DT37" s="91"/>
      <c r="DU37" s="91"/>
      <c r="DV37" s="91"/>
      <c r="DW37" s="91"/>
      <c r="DX37" s="91"/>
      <c r="DY37" s="90"/>
      <c r="DZ37" s="91"/>
      <c r="EA37" s="75"/>
      <c r="EB37" s="91"/>
      <c r="EC37" s="91"/>
      <c r="ED37" s="90"/>
      <c r="EE37" s="91"/>
      <c r="EF37" s="91"/>
      <c r="EG37" s="91"/>
      <c r="EH37" s="91"/>
      <c r="EI37" s="91"/>
      <c r="EJ37" s="91"/>
      <c r="EK37" s="90"/>
      <c r="EL37" s="90"/>
      <c r="EM37" s="88"/>
      <c r="EN37" s="92"/>
      <c r="EO37" s="92"/>
      <c r="EP37" s="92"/>
      <c r="EQ37" s="92"/>
      <c r="ER37" s="92"/>
      <c r="ES37" s="92"/>
      <c r="ET37" s="92"/>
      <c r="EU37" s="92"/>
      <c r="EV37" s="92"/>
      <c r="EW37" s="92"/>
      <c r="EX37" s="92"/>
      <c r="EY37" s="92"/>
      <c r="EZ37" s="92"/>
      <c r="FA37" s="92"/>
      <c r="FB37" s="92"/>
      <c r="FC37" s="92"/>
      <c r="FD37" s="92"/>
      <c r="FE37" s="92"/>
      <c r="FF37" s="92"/>
      <c r="FG37" s="92"/>
      <c r="FH37" s="92"/>
      <c r="FI37" s="92"/>
      <c r="FJ37" s="92"/>
      <c r="FK37" s="92"/>
      <c r="FL37" s="92"/>
      <c r="FM37" s="92"/>
      <c r="FN37" s="92"/>
      <c r="FO37" s="92"/>
      <c r="FP37" s="92"/>
      <c r="FQ37" s="92"/>
      <c r="FR37" s="92"/>
      <c r="FS37" s="92"/>
      <c r="FT37" s="92"/>
      <c r="FU37" s="92"/>
      <c r="FV37" s="92"/>
      <c r="FW37" s="92"/>
      <c r="FX37" s="92"/>
      <c r="FY37" s="92"/>
      <c r="FZ37" s="92"/>
      <c r="GA37" s="92"/>
      <c r="GB37" s="92"/>
      <c r="GC37" s="92"/>
      <c r="GD37" s="92"/>
      <c r="GE37" s="92"/>
      <c r="GF37" s="92"/>
      <c r="GG37" s="92"/>
      <c r="GH37" s="92"/>
      <c r="GI37" s="92"/>
      <c r="GJ37" s="92"/>
      <c r="GK37" s="92"/>
      <c r="GL37" s="92"/>
      <c r="GM37" s="92"/>
      <c r="GN37" s="92"/>
      <c r="GO37" s="92"/>
      <c r="GP37" s="92"/>
      <c r="GQ37" s="92"/>
      <c r="GR37" s="92"/>
      <c r="GS37" s="92"/>
      <c r="GT37" s="92"/>
      <c r="GU37" s="92"/>
      <c r="GV37" s="92"/>
      <c r="GW37" s="92"/>
      <c r="GX37" s="92"/>
      <c r="GY37" s="92"/>
      <c r="GZ37" s="92"/>
      <c r="HA37" s="92"/>
      <c r="HB37" s="92"/>
      <c r="HC37" s="92"/>
      <c r="HD37" s="92"/>
      <c r="HE37" s="92"/>
      <c r="HF37" s="92"/>
      <c r="HG37" s="92"/>
      <c r="HH37" s="92"/>
      <c r="HI37" s="92"/>
      <c r="HJ37" s="92"/>
      <c r="HK37" s="92"/>
      <c r="HL37" s="92"/>
      <c r="HM37" s="92"/>
      <c r="HN37" s="92"/>
      <c r="HO37" s="92"/>
      <c r="HP37" s="92"/>
      <c r="HQ37" s="92"/>
      <c r="HR37" s="92"/>
      <c r="HS37" s="92"/>
      <c r="HT37" s="92"/>
      <c r="HU37" s="92"/>
      <c r="HV37" s="92"/>
      <c r="HW37" s="92"/>
      <c r="HX37" s="92"/>
      <c r="HY37" s="92"/>
      <c r="HZ37" s="92"/>
      <c r="IA37" s="92"/>
      <c r="IB37" s="92"/>
      <c r="IC37" s="92"/>
      <c r="ID37" s="92"/>
      <c r="IE37" s="92"/>
      <c r="IF37" s="92"/>
      <c r="IG37" s="92"/>
      <c r="IH37" s="92"/>
      <c r="II37" s="92"/>
      <c r="IJ37" s="92"/>
      <c r="IK37" s="92"/>
      <c r="IL37" s="92"/>
      <c r="IM37" s="92"/>
      <c r="IN37" s="92"/>
      <c r="IO37" s="92"/>
      <c r="IP37" s="92"/>
      <c r="IQ37" s="92"/>
      <c r="IR37" s="92"/>
      <c r="IS37" s="92"/>
      <c r="IT37" s="92"/>
      <c r="IU37" s="92"/>
      <c r="IV37" s="92"/>
      <c r="IW37" s="92"/>
      <c r="IX37" s="92"/>
      <c r="IY37" s="92"/>
      <c r="IZ37" s="92"/>
      <c r="JA37" s="92"/>
      <c r="JB37" s="92"/>
      <c r="JC37" s="92"/>
      <c r="JD37" s="92"/>
      <c r="JE37" s="92"/>
      <c r="JF37" s="92"/>
      <c r="JG37" s="92"/>
      <c r="JH37" s="92"/>
      <c r="JI37" s="92"/>
      <c r="JJ37" s="92"/>
      <c r="JK37" s="92"/>
      <c r="JL37" s="92"/>
      <c r="JM37" s="92"/>
      <c r="JN37" s="92"/>
      <c r="JO37" s="92"/>
      <c r="JP37" s="92"/>
      <c r="JQ37" s="92"/>
      <c r="JR37" s="92"/>
      <c r="JS37" s="92"/>
      <c r="JT37" s="92"/>
      <c r="JU37" s="92"/>
      <c r="JV37" s="92"/>
      <c r="JW37" s="92"/>
      <c r="JX37" s="92"/>
      <c r="JY37" s="92"/>
      <c r="JZ37" s="92"/>
      <c r="KA37" s="92"/>
      <c r="KB37" s="92"/>
      <c r="KC37" s="92"/>
      <c r="KD37" s="92"/>
      <c r="KE37" s="92"/>
      <c r="KF37" s="92"/>
      <c r="KG37" s="92"/>
      <c r="KH37" s="92"/>
      <c r="KI37" s="92"/>
      <c r="KJ37" s="92"/>
      <c r="KK37" s="92"/>
      <c r="KL37" s="92"/>
      <c r="KM37" s="92"/>
      <c r="KN37" s="92"/>
      <c r="KO37" s="92"/>
      <c r="KP37" s="92"/>
      <c r="KQ37" s="88"/>
      <c r="KR37" s="92"/>
      <c r="KS37" s="92"/>
      <c r="KT37" s="92"/>
      <c r="KU37" s="93"/>
      <c r="KV37" s="92"/>
      <c r="KW37" s="93"/>
      <c r="KX37" s="92"/>
      <c r="KY37" s="93"/>
      <c r="KZ37" s="92"/>
      <c r="LA37" s="93"/>
      <c r="LB37" s="92"/>
      <c r="LC37" s="93"/>
      <c r="LD37" s="92"/>
      <c r="LE37" s="93"/>
      <c r="LF37" s="92"/>
      <c r="LG37" s="92"/>
      <c r="LH37" s="92"/>
      <c r="LI37" s="92"/>
      <c r="LJ37" s="92"/>
      <c r="LK37" s="92"/>
      <c r="LL37" s="92"/>
      <c r="LM37" s="92"/>
      <c r="LN37" s="92"/>
      <c r="LO37" s="92"/>
      <c r="LP37" s="88"/>
      <c r="LQ37" s="93"/>
      <c r="LR37" s="88"/>
      <c r="LS37" s="93"/>
      <c r="LT37" s="93"/>
      <c r="LU37" s="93"/>
      <c r="LV37" s="93"/>
      <c r="LW37" s="93"/>
      <c r="LX37" s="93"/>
      <c r="LY37" s="93"/>
      <c r="LZ37" s="93"/>
      <c r="MA37" s="93"/>
      <c r="MB37" s="93"/>
      <c r="MC37" s="94"/>
      <c r="MD37" s="94"/>
      <c r="ME37" s="94"/>
      <c r="MF37" s="94"/>
      <c r="MG37" s="94"/>
      <c r="MH37" s="94"/>
      <c r="MI37" s="94"/>
      <c r="MJ37" s="94"/>
      <c r="MK37" s="94"/>
      <c r="ML37" s="94"/>
      <c r="MM37" s="94"/>
      <c r="MN37" s="94"/>
      <c r="MO37" s="95"/>
      <c r="MP37" s="95"/>
      <c r="MQ37" s="94"/>
      <c r="MR37" s="94"/>
      <c r="MS37" s="94"/>
      <c r="MT37" s="94"/>
      <c r="MU37" s="94"/>
      <c r="MV37" s="94"/>
      <c r="MW37" s="94"/>
      <c r="MX37" s="94"/>
      <c r="MY37" s="94"/>
      <c r="MZ37" s="94"/>
      <c r="NA37" s="94"/>
      <c r="NB37" s="94"/>
      <c r="NC37" s="94"/>
      <c r="ND37" s="94"/>
      <c r="NE37" s="94"/>
      <c r="NF37" s="94"/>
      <c r="NG37" s="94"/>
      <c r="NH37" s="94"/>
      <c r="NI37" s="94"/>
      <c r="NJ37" s="94"/>
    </row>
    <row r="38" spans="1:374" x14ac:dyDescent="0.25">
      <c r="A38" s="88"/>
      <c r="B38" s="88"/>
      <c r="C38" s="88"/>
      <c r="D38" s="88"/>
      <c r="E38" s="89"/>
      <c r="F38" s="88"/>
      <c r="G38" s="88"/>
      <c r="H38" s="88" t="str">
        <f t="shared" si="26"/>
        <v xml:space="preserve">  </v>
      </c>
      <c r="I38" s="88"/>
      <c r="J38" s="88"/>
      <c r="K38" s="88"/>
      <c r="L38" s="88"/>
      <c r="M38" s="88"/>
      <c r="N38" s="88"/>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1"/>
      <c r="AR38" s="75"/>
      <c r="AS38" s="91"/>
      <c r="AT38" s="91"/>
      <c r="AU38" s="90"/>
      <c r="AV38" s="91"/>
      <c r="AW38" s="91"/>
      <c r="AX38" s="91"/>
      <c r="AY38" s="91"/>
      <c r="AZ38" s="91"/>
      <c r="BA38" s="91"/>
      <c r="BB38" s="90"/>
      <c r="BC38" s="91"/>
      <c r="BD38" s="75"/>
      <c r="BE38" s="91"/>
      <c r="BF38" s="91"/>
      <c r="BG38" s="90"/>
      <c r="BH38" s="91"/>
      <c r="BI38" s="91"/>
      <c r="BJ38" s="91"/>
      <c r="BK38" s="91"/>
      <c r="BL38" s="91"/>
      <c r="BM38" s="91"/>
      <c r="BN38" s="90"/>
      <c r="BO38" s="91"/>
      <c r="BP38" s="75"/>
      <c r="BQ38" s="91"/>
      <c r="BR38" s="91"/>
      <c r="BS38" s="90"/>
      <c r="BT38" s="91"/>
      <c r="BU38" s="91"/>
      <c r="BV38" s="91"/>
      <c r="BW38" s="91"/>
      <c r="BX38" s="91"/>
      <c r="BY38" s="91"/>
      <c r="BZ38" s="90"/>
      <c r="CA38" s="91"/>
      <c r="CB38" s="75"/>
      <c r="CC38" s="91"/>
      <c r="CD38" s="91"/>
      <c r="CE38" s="90"/>
      <c r="CF38" s="91"/>
      <c r="CG38" s="91"/>
      <c r="CH38" s="91"/>
      <c r="CI38" s="91"/>
      <c r="CJ38" s="91"/>
      <c r="CK38" s="91"/>
      <c r="CL38" s="90"/>
      <c r="CM38" s="91"/>
      <c r="CN38" s="75"/>
      <c r="CO38" s="91"/>
      <c r="CP38" s="91"/>
      <c r="CQ38" s="90"/>
      <c r="CR38" s="91"/>
      <c r="CS38" s="91"/>
      <c r="CT38" s="91"/>
      <c r="CU38" s="91"/>
      <c r="CV38" s="91"/>
      <c r="CW38" s="91"/>
      <c r="CX38" s="90"/>
      <c r="CY38" s="91"/>
      <c r="CZ38" s="75"/>
      <c r="DA38" s="91"/>
      <c r="DB38" s="91"/>
      <c r="DC38" s="90"/>
      <c r="DD38" s="91"/>
      <c r="DE38" s="91"/>
      <c r="DF38" s="91"/>
      <c r="DG38" s="91"/>
      <c r="DH38" s="91"/>
      <c r="DI38" s="91"/>
      <c r="DJ38" s="90"/>
      <c r="DK38" s="91"/>
      <c r="DL38" s="75"/>
      <c r="DM38" s="75"/>
      <c r="DN38" s="75">
        <f t="shared" si="1"/>
        <v>0</v>
      </c>
      <c r="DO38" s="75" t="str">
        <f t="shared" si="2"/>
        <v/>
      </c>
      <c r="DP38" s="91"/>
      <c r="DQ38" s="91"/>
      <c r="DR38" s="90"/>
      <c r="DS38" s="91"/>
      <c r="DT38" s="91"/>
      <c r="DU38" s="91"/>
      <c r="DV38" s="91"/>
      <c r="DW38" s="91"/>
      <c r="DX38" s="91"/>
      <c r="DY38" s="90"/>
      <c r="DZ38" s="91"/>
      <c r="EA38" s="75"/>
      <c r="EB38" s="91"/>
      <c r="EC38" s="91"/>
      <c r="ED38" s="90"/>
      <c r="EE38" s="91"/>
      <c r="EF38" s="91"/>
      <c r="EG38" s="91"/>
      <c r="EH38" s="91"/>
      <c r="EI38" s="91"/>
      <c r="EJ38" s="91"/>
      <c r="EK38" s="90"/>
      <c r="EL38" s="90"/>
      <c r="EM38" s="88"/>
      <c r="EN38" s="92"/>
      <c r="EO38" s="92"/>
      <c r="EP38" s="92"/>
      <c r="EQ38" s="92"/>
      <c r="ER38" s="92"/>
      <c r="ES38" s="92"/>
      <c r="ET38" s="92"/>
      <c r="EU38" s="92"/>
      <c r="EV38" s="92"/>
      <c r="EW38" s="92"/>
      <c r="EX38" s="92"/>
      <c r="EY38" s="92"/>
      <c r="EZ38" s="92"/>
      <c r="FA38" s="92"/>
      <c r="FB38" s="92"/>
      <c r="FC38" s="92"/>
      <c r="FD38" s="92"/>
      <c r="FE38" s="92"/>
      <c r="FF38" s="92"/>
      <c r="FG38" s="92"/>
      <c r="FH38" s="92"/>
      <c r="FI38" s="92"/>
      <c r="FJ38" s="92"/>
      <c r="FK38" s="92"/>
      <c r="FL38" s="92"/>
      <c r="FM38" s="92"/>
      <c r="FN38" s="92"/>
      <c r="FO38" s="92"/>
      <c r="FP38" s="92"/>
      <c r="FQ38" s="92"/>
      <c r="FR38" s="92"/>
      <c r="FS38" s="92"/>
      <c r="FT38" s="92"/>
      <c r="FU38" s="92"/>
      <c r="FV38" s="92"/>
      <c r="FW38" s="92"/>
      <c r="FX38" s="92"/>
      <c r="FY38" s="92"/>
      <c r="FZ38" s="92"/>
      <c r="GA38" s="92"/>
      <c r="GB38" s="92"/>
      <c r="GC38" s="92"/>
      <c r="GD38" s="92"/>
      <c r="GE38" s="92"/>
      <c r="GF38" s="92"/>
      <c r="GG38" s="92"/>
      <c r="GH38" s="92"/>
      <c r="GI38" s="92"/>
      <c r="GJ38" s="92"/>
      <c r="GK38" s="92"/>
      <c r="GL38" s="92"/>
      <c r="GM38" s="92"/>
      <c r="GN38" s="92"/>
      <c r="GO38" s="92"/>
      <c r="GP38" s="92"/>
      <c r="GQ38" s="92"/>
      <c r="GR38" s="92"/>
      <c r="GS38" s="92"/>
      <c r="GT38" s="92"/>
      <c r="GU38" s="92"/>
      <c r="GV38" s="92"/>
      <c r="GW38" s="92"/>
      <c r="GX38" s="92"/>
      <c r="GY38" s="92"/>
      <c r="GZ38" s="92"/>
      <c r="HA38" s="92"/>
      <c r="HB38" s="92"/>
      <c r="HC38" s="92"/>
      <c r="HD38" s="92"/>
      <c r="HE38" s="92"/>
      <c r="HF38" s="92"/>
      <c r="HG38" s="92"/>
      <c r="HH38" s="92"/>
      <c r="HI38" s="92"/>
      <c r="HJ38" s="92"/>
      <c r="HK38" s="92"/>
      <c r="HL38" s="92"/>
      <c r="HM38" s="92"/>
      <c r="HN38" s="92"/>
      <c r="HO38" s="92"/>
      <c r="HP38" s="92"/>
      <c r="HQ38" s="92"/>
      <c r="HR38" s="92"/>
      <c r="HS38" s="92"/>
      <c r="HT38" s="92"/>
      <c r="HU38" s="92"/>
      <c r="HV38" s="92"/>
      <c r="HW38" s="92"/>
      <c r="HX38" s="92"/>
      <c r="HY38" s="92"/>
      <c r="HZ38" s="92"/>
      <c r="IA38" s="92"/>
      <c r="IB38" s="92"/>
      <c r="IC38" s="92"/>
      <c r="ID38" s="92"/>
      <c r="IE38" s="92"/>
      <c r="IF38" s="92"/>
      <c r="IG38" s="92"/>
      <c r="IH38" s="92"/>
      <c r="II38" s="92"/>
      <c r="IJ38" s="92"/>
      <c r="IK38" s="92"/>
      <c r="IL38" s="92"/>
      <c r="IM38" s="92"/>
      <c r="IN38" s="92"/>
      <c r="IO38" s="92"/>
      <c r="IP38" s="92"/>
      <c r="IQ38" s="92"/>
      <c r="IR38" s="92"/>
      <c r="IS38" s="92"/>
      <c r="IT38" s="92"/>
      <c r="IU38" s="92"/>
      <c r="IV38" s="92"/>
      <c r="IW38" s="92"/>
      <c r="IX38" s="92"/>
      <c r="IY38" s="92"/>
      <c r="IZ38" s="92"/>
      <c r="JA38" s="92"/>
      <c r="JB38" s="92"/>
      <c r="JC38" s="92"/>
      <c r="JD38" s="92"/>
      <c r="JE38" s="92"/>
      <c r="JF38" s="92"/>
      <c r="JG38" s="92"/>
      <c r="JH38" s="92"/>
      <c r="JI38" s="92"/>
      <c r="JJ38" s="92"/>
      <c r="JK38" s="92"/>
      <c r="JL38" s="92"/>
      <c r="JM38" s="92"/>
      <c r="JN38" s="92"/>
      <c r="JO38" s="92"/>
      <c r="JP38" s="92"/>
      <c r="JQ38" s="92"/>
      <c r="JR38" s="92"/>
      <c r="JS38" s="92"/>
      <c r="JT38" s="92"/>
      <c r="JU38" s="92"/>
      <c r="JV38" s="92"/>
      <c r="JW38" s="92"/>
      <c r="JX38" s="92"/>
      <c r="JY38" s="92"/>
      <c r="JZ38" s="92"/>
      <c r="KA38" s="92"/>
      <c r="KB38" s="92"/>
      <c r="KC38" s="92"/>
      <c r="KD38" s="92"/>
      <c r="KE38" s="92"/>
      <c r="KF38" s="92"/>
      <c r="KG38" s="92"/>
      <c r="KH38" s="92"/>
      <c r="KI38" s="92"/>
      <c r="KJ38" s="92"/>
      <c r="KK38" s="92"/>
      <c r="KL38" s="92"/>
      <c r="KM38" s="92"/>
      <c r="KN38" s="92"/>
      <c r="KO38" s="92"/>
      <c r="KP38" s="92"/>
      <c r="KQ38" s="88"/>
      <c r="KR38" s="92"/>
      <c r="KS38" s="92"/>
      <c r="KT38" s="92"/>
      <c r="KU38" s="93"/>
      <c r="KV38" s="92"/>
      <c r="KW38" s="93"/>
      <c r="KX38" s="92"/>
      <c r="KY38" s="93"/>
      <c r="KZ38" s="92"/>
      <c r="LA38" s="93"/>
      <c r="LB38" s="92"/>
      <c r="LC38" s="93"/>
      <c r="LD38" s="92"/>
      <c r="LE38" s="93"/>
      <c r="LF38" s="92"/>
      <c r="LG38" s="92"/>
      <c r="LH38" s="92"/>
      <c r="LI38" s="92"/>
      <c r="LJ38" s="92"/>
      <c r="LK38" s="92"/>
      <c r="LL38" s="92"/>
      <c r="LM38" s="92"/>
      <c r="LN38" s="92"/>
      <c r="LO38" s="92"/>
      <c r="LP38" s="88"/>
      <c r="LQ38" s="93"/>
      <c r="LR38" s="88"/>
      <c r="LS38" s="93"/>
      <c r="LT38" s="93"/>
      <c r="LU38" s="93"/>
      <c r="LV38" s="93"/>
      <c r="LW38" s="93"/>
      <c r="LX38" s="93"/>
      <c r="LY38" s="93"/>
      <c r="LZ38" s="93"/>
      <c r="MA38" s="93"/>
      <c r="MB38" s="93"/>
      <c r="MC38" s="94"/>
      <c r="MD38" s="94"/>
      <c r="ME38" s="94"/>
      <c r="MF38" s="94"/>
      <c r="MG38" s="94"/>
      <c r="MH38" s="94"/>
      <c r="MI38" s="94"/>
      <c r="MJ38" s="94"/>
      <c r="MK38" s="94"/>
      <c r="ML38" s="94"/>
      <c r="MM38" s="94"/>
      <c r="MN38" s="94"/>
      <c r="MO38" s="95"/>
      <c r="MP38" s="95"/>
      <c r="MQ38" s="94"/>
      <c r="MR38" s="94"/>
      <c r="MS38" s="94"/>
      <c r="MT38" s="94"/>
      <c r="MU38" s="94"/>
      <c r="MV38" s="94"/>
      <c r="MW38" s="94"/>
      <c r="MX38" s="94"/>
      <c r="MY38" s="94"/>
      <c r="MZ38" s="94"/>
      <c r="NA38" s="94"/>
      <c r="NB38" s="94"/>
      <c r="NC38" s="94"/>
      <c r="ND38" s="94"/>
      <c r="NE38" s="94"/>
      <c r="NF38" s="94"/>
      <c r="NG38" s="94"/>
      <c r="NH38" s="94"/>
      <c r="NI38" s="94"/>
      <c r="NJ38" s="94"/>
    </row>
    <row r="39" spans="1:374" x14ac:dyDescent="0.25">
      <c r="A39" s="88"/>
      <c r="B39" s="88"/>
      <c r="C39" s="88"/>
      <c r="D39" s="88"/>
      <c r="E39" s="89"/>
      <c r="F39" s="88"/>
      <c r="G39" s="88"/>
      <c r="H39" s="88" t="str">
        <f t="shared" si="26"/>
        <v xml:space="preserve">  </v>
      </c>
      <c r="I39" s="88"/>
      <c r="J39" s="88"/>
      <c r="K39" s="88"/>
      <c r="L39" s="88"/>
      <c r="M39" s="88"/>
      <c r="N39" s="88"/>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1"/>
      <c r="AR39" s="75"/>
      <c r="AS39" s="91"/>
      <c r="AT39" s="91"/>
      <c r="AU39" s="90"/>
      <c r="AV39" s="91"/>
      <c r="AW39" s="91"/>
      <c r="AX39" s="91"/>
      <c r="AY39" s="91"/>
      <c r="AZ39" s="91"/>
      <c r="BA39" s="91"/>
      <c r="BB39" s="90"/>
      <c r="BC39" s="91"/>
      <c r="BD39" s="75"/>
      <c r="BE39" s="91"/>
      <c r="BF39" s="91"/>
      <c r="BG39" s="90"/>
      <c r="BH39" s="91"/>
      <c r="BI39" s="91"/>
      <c r="BJ39" s="91"/>
      <c r="BK39" s="91"/>
      <c r="BL39" s="91"/>
      <c r="BM39" s="91"/>
      <c r="BN39" s="90"/>
      <c r="BO39" s="91"/>
      <c r="BP39" s="75"/>
      <c r="BQ39" s="91"/>
      <c r="BR39" s="91"/>
      <c r="BS39" s="90"/>
      <c r="BT39" s="91"/>
      <c r="BU39" s="91"/>
      <c r="BV39" s="91"/>
      <c r="BW39" s="91"/>
      <c r="BX39" s="91"/>
      <c r="BY39" s="91"/>
      <c r="BZ39" s="90"/>
      <c r="CA39" s="91"/>
      <c r="CB39" s="75"/>
      <c r="CC39" s="91"/>
      <c r="CD39" s="91"/>
      <c r="CE39" s="90"/>
      <c r="CF39" s="91"/>
      <c r="CG39" s="91"/>
      <c r="CH39" s="91"/>
      <c r="CI39" s="91"/>
      <c r="CJ39" s="91"/>
      <c r="CK39" s="91"/>
      <c r="CL39" s="90"/>
      <c r="CM39" s="91"/>
      <c r="CN39" s="75"/>
      <c r="CO39" s="91"/>
      <c r="CP39" s="91"/>
      <c r="CQ39" s="90"/>
      <c r="CR39" s="91"/>
      <c r="CS39" s="91"/>
      <c r="CT39" s="91"/>
      <c r="CU39" s="91"/>
      <c r="CV39" s="91"/>
      <c r="CW39" s="91"/>
      <c r="CX39" s="90"/>
      <c r="CY39" s="91"/>
      <c r="CZ39" s="75"/>
      <c r="DA39" s="91"/>
      <c r="DB39" s="91"/>
      <c r="DC39" s="90"/>
      <c r="DD39" s="91"/>
      <c r="DE39" s="91"/>
      <c r="DF39" s="91"/>
      <c r="DG39" s="91"/>
      <c r="DH39" s="91"/>
      <c r="DI39" s="91"/>
      <c r="DJ39" s="90"/>
      <c r="DK39" s="91"/>
      <c r="DL39" s="75"/>
      <c r="DM39" s="75"/>
      <c r="DN39" s="75">
        <f t="shared" si="1"/>
        <v>0</v>
      </c>
      <c r="DO39" s="75" t="str">
        <f t="shared" si="2"/>
        <v/>
      </c>
      <c r="DP39" s="91"/>
      <c r="DQ39" s="91"/>
      <c r="DR39" s="90"/>
      <c r="DS39" s="91"/>
      <c r="DT39" s="91"/>
      <c r="DU39" s="91"/>
      <c r="DV39" s="91"/>
      <c r="DW39" s="91"/>
      <c r="DX39" s="91"/>
      <c r="DY39" s="90"/>
      <c r="DZ39" s="91"/>
      <c r="EA39" s="75"/>
      <c r="EB39" s="91"/>
      <c r="EC39" s="91"/>
      <c r="ED39" s="90"/>
      <c r="EE39" s="91"/>
      <c r="EF39" s="91"/>
      <c r="EG39" s="91"/>
      <c r="EH39" s="91"/>
      <c r="EI39" s="91"/>
      <c r="EJ39" s="91"/>
      <c r="EK39" s="90"/>
      <c r="EL39" s="90"/>
      <c r="EM39" s="88"/>
      <c r="EN39" s="92"/>
      <c r="EO39" s="92"/>
      <c r="EP39" s="92"/>
      <c r="EQ39" s="92"/>
      <c r="ER39" s="92"/>
      <c r="ES39" s="92"/>
      <c r="ET39" s="92"/>
      <c r="EU39" s="92"/>
      <c r="EV39" s="92"/>
      <c r="EW39" s="92"/>
      <c r="EX39" s="92"/>
      <c r="EY39" s="92"/>
      <c r="EZ39" s="92"/>
      <c r="FA39" s="92"/>
      <c r="FB39" s="92"/>
      <c r="FC39" s="92"/>
      <c r="FD39" s="92"/>
      <c r="FE39" s="92"/>
      <c r="FF39" s="92"/>
      <c r="FG39" s="92"/>
      <c r="FH39" s="92"/>
      <c r="FI39" s="92"/>
      <c r="FJ39" s="92"/>
      <c r="FK39" s="92"/>
      <c r="FL39" s="92"/>
      <c r="FM39" s="92"/>
      <c r="FN39" s="92"/>
      <c r="FO39" s="92"/>
      <c r="FP39" s="92"/>
      <c r="FQ39" s="92"/>
      <c r="FR39" s="92"/>
      <c r="FS39" s="92"/>
      <c r="FT39" s="92"/>
      <c r="FU39" s="92"/>
      <c r="FV39" s="92"/>
      <c r="FW39" s="92"/>
      <c r="FX39" s="92"/>
      <c r="FY39" s="92"/>
      <c r="FZ39" s="92"/>
      <c r="GA39" s="92"/>
      <c r="GB39" s="92"/>
      <c r="GC39" s="92"/>
      <c r="GD39" s="92"/>
      <c r="GE39" s="92"/>
      <c r="GF39" s="92"/>
      <c r="GG39" s="92"/>
      <c r="GH39" s="92"/>
      <c r="GI39" s="92"/>
      <c r="GJ39" s="92"/>
      <c r="GK39" s="92"/>
      <c r="GL39" s="92"/>
      <c r="GM39" s="92"/>
      <c r="GN39" s="92"/>
      <c r="GO39" s="92"/>
      <c r="GP39" s="92"/>
      <c r="GQ39" s="92"/>
      <c r="GR39" s="92"/>
      <c r="GS39" s="92"/>
      <c r="GT39" s="92"/>
      <c r="GU39" s="92"/>
      <c r="GV39" s="92"/>
      <c r="GW39" s="92"/>
      <c r="GX39" s="92"/>
      <c r="GY39" s="92"/>
      <c r="GZ39" s="92"/>
      <c r="HA39" s="92"/>
      <c r="HB39" s="92"/>
      <c r="HC39" s="92"/>
      <c r="HD39" s="92"/>
      <c r="HE39" s="92"/>
      <c r="HF39" s="92"/>
      <c r="HG39" s="92"/>
      <c r="HH39" s="92"/>
      <c r="HI39" s="92"/>
      <c r="HJ39" s="92"/>
      <c r="HK39" s="92"/>
      <c r="HL39" s="92"/>
      <c r="HM39" s="92"/>
      <c r="HN39" s="92"/>
      <c r="HO39" s="92"/>
      <c r="HP39" s="92"/>
      <c r="HQ39" s="92"/>
      <c r="HR39" s="92"/>
      <c r="HS39" s="92"/>
      <c r="HT39" s="92"/>
      <c r="HU39" s="92"/>
      <c r="HV39" s="92"/>
      <c r="HW39" s="92"/>
      <c r="HX39" s="92"/>
      <c r="HY39" s="92"/>
      <c r="HZ39" s="92"/>
      <c r="IA39" s="92"/>
      <c r="IB39" s="92"/>
      <c r="IC39" s="92"/>
      <c r="ID39" s="92"/>
      <c r="IE39" s="92"/>
      <c r="IF39" s="92"/>
      <c r="IG39" s="92"/>
      <c r="IH39" s="92"/>
      <c r="II39" s="92"/>
      <c r="IJ39" s="92"/>
      <c r="IK39" s="92"/>
      <c r="IL39" s="92"/>
      <c r="IM39" s="92"/>
      <c r="IN39" s="92"/>
      <c r="IO39" s="92"/>
      <c r="IP39" s="92"/>
      <c r="IQ39" s="92"/>
      <c r="IR39" s="92"/>
      <c r="IS39" s="92"/>
      <c r="IT39" s="92"/>
      <c r="IU39" s="92"/>
      <c r="IV39" s="92"/>
      <c r="IW39" s="92"/>
      <c r="IX39" s="92"/>
      <c r="IY39" s="92"/>
      <c r="IZ39" s="92"/>
      <c r="JA39" s="92"/>
      <c r="JB39" s="92"/>
      <c r="JC39" s="92"/>
      <c r="JD39" s="92"/>
      <c r="JE39" s="92"/>
      <c r="JF39" s="92"/>
      <c r="JG39" s="92"/>
      <c r="JH39" s="92"/>
      <c r="JI39" s="92"/>
      <c r="JJ39" s="92"/>
      <c r="JK39" s="92"/>
      <c r="JL39" s="92"/>
      <c r="JM39" s="92"/>
      <c r="JN39" s="92"/>
      <c r="JO39" s="92"/>
      <c r="JP39" s="92"/>
      <c r="JQ39" s="92"/>
      <c r="JR39" s="92"/>
      <c r="JS39" s="92"/>
      <c r="JT39" s="92"/>
      <c r="JU39" s="92"/>
      <c r="JV39" s="92"/>
      <c r="JW39" s="92"/>
      <c r="JX39" s="92"/>
      <c r="JY39" s="92"/>
      <c r="JZ39" s="92"/>
      <c r="KA39" s="92"/>
      <c r="KB39" s="92"/>
      <c r="KC39" s="92"/>
      <c r="KD39" s="92"/>
      <c r="KE39" s="92"/>
      <c r="KF39" s="92"/>
      <c r="KG39" s="92"/>
      <c r="KH39" s="92"/>
      <c r="KI39" s="92"/>
      <c r="KJ39" s="92"/>
      <c r="KK39" s="92"/>
      <c r="KL39" s="92"/>
      <c r="KM39" s="92"/>
      <c r="KN39" s="92"/>
      <c r="KO39" s="92"/>
      <c r="KP39" s="92"/>
      <c r="KQ39" s="88"/>
      <c r="KR39" s="92"/>
      <c r="KS39" s="92"/>
      <c r="KT39" s="92"/>
      <c r="KU39" s="93"/>
      <c r="KV39" s="92"/>
      <c r="KW39" s="93"/>
      <c r="KX39" s="92"/>
      <c r="KY39" s="93"/>
      <c r="KZ39" s="92"/>
      <c r="LA39" s="93"/>
      <c r="LB39" s="92"/>
      <c r="LC39" s="93"/>
      <c r="LD39" s="92"/>
      <c r="LE39" s="93"/>
      <c r="LF39" s="92"/>
      <c r="LG39" s="92"/>
      <c r="LH39" s="92"/>
      <c r="LI39" s="92"/>
      <c r="LJ39" s="92"/>
      <c r="LK39" s="92"/>
      <c r="LL39" s="92"/>
      <c r="LM39" s="92"/>
      <c r="LN39" s="92"/>
      <c r="LO39" s="92"/>
      <c r="LP39" s="88"/>
      <c r="LQ39" s="93"/>
      <c r="LR39" s="88"/>
      <c r="LS39" s="93"/>
      <c r="LT39" s="93"/>
      <c r="LU39" s="93"/>
      <c r="LV39" s="93"/>
      <c r="LW39" s="93"/>
      <c r="LX39" s="93"/>
      <c r="LY39" s="93"/>
      <c r="LZ39" s="93"/>
      <c r="MA39" s="93"/>
      <c r="MB39" s="93"/>
      <c r="MC39" s="94"/>
      <c r="MD39" s="94"/>
      <c r="ME39" s="94"/>
      <c r="MF39" s="94"/>
      <c r="MG39" s="94"/>
      <c r="MH39" s="94"/>
      <c r="MI39" s="94"/>
      <c r="MJ39" s="94"/>
      <c r="MK39" s="94"/>
      <c r="ML39" s="94"/>
      <c r="MM39" s="94"/>
      <c r="MN39" s="94"/>
      <c r="MO39" s="95"/>
      <c r="MP39" s="95"/>
      <c r="MQ39" s="94"/>
      <c r="MR39" s="94"/>
      <c r="MS39" s="94"/>
      <c r="MT39" s="94"/>
      <c r="MU39" s="94"/>
      <c r="MV39" s="94"/>
      <c r="MW39" s="94"/>
      <c r="MX39" s="94"/>
      <c r="MY39" s="94"/>
      <c r="MZ39" s="94"/>
      <c r="NA39" s="94"/>
      <c r="NB39" s="94"/>
      <c r="NC39" s="94"/>
      <c r="ND39" s="94"/>
      <c r="NE39" s="94"/>
      <c r="NF39" s="94"/>
      <c r="NG39" s="94"/>
      <c r="NH39" s="94"/>
      <c r="NI39" s="94"/>
      <c r="NJ39" s="94"/>
    </row>
    <row r="40" spans="1:374" x14ac:dyDescent="0.25">
      <c r="A40" s="88"/>
      <c r="B40" s="88"/>
      <c r="C40" s="88"/>
      <c r="D40" s="88"/>
      <c r="E40" s="89"/>
      <c r="F40" s="88"/>
      <c r="G40" s="88"/>
      <c r="H40" s="88" t="str">
        <f t="shared" si="26"/>
        <v xml:space="preserve">  </v>
      </c>
      <c r="I40" s="88"/>
      <c r="J40" s="88"/>
      <c r="K40" s="88"/>
      <c r="L40" s="88"/>
      <c r="M40" s="88"/>
      <c r="N40" s="88"/>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1"/>
      <c r="AR40" s="75"/>
      <c r="AS40" s="91"/>
      <c r="AT40" s="91"/>
      <c r="AU40" s="90"/>
      <c r="AV40" s="91"/>
      <c r="AW40" s="91"/>
      <c r="AX40" s="91"/>
      <c r="AY40" s="91"/>
      <c r="AZ40" s="91"/>
      <c r="BA40" s="91"/>
      <c r="BB40" s="90"/>
      <c r="BC40" s="91"/>
      <c r="BD40" s="75"/>
      <c r="BE40" s="91"/>
      <c r="BF40" s="91"/>
      <c r="BG40" s="90"/>
      <c r="BH40" s="91"/>
      <c r="BI40" s="91"/>
      <c r="BJ40" s="91"/>
      <c r="BK40" s="91"/>
      <c r="BL40" s="91"/>
      <c r="BM40" s="91"/>
      <c r="BN40" s="90"/>
      <c r="BO40" s="91"/>
      <c r="BP40" s="75"/>
      <c r="BQ40" s="91"/>
      <c r="BR40" s="91"/>
      <c r="BS40" s="90"/>
      <c r="BT40" s="91"/>
      <c r="BU40" s="91"/>
      <c r="BV40" s="91"/>
      <c r="BW40" s="91"/>
      <c r="BX40" s="91"/>
      <c r="BY40" s="91"/>
      <c r="BZ40" s="90"/>
      <c r="CA40" s="91"/>
      <c r="CB40" s="75"/>
      <c r="CC40" s="91"/>
      <c r="CD40" s="91"/>
      <c r="CE40" s="90"/>
      <c r="CF40" s="91"/>
      <c r="CG40" s="91"/>
      <c r="CH40" s="91"/>
      <c r="CI40" s="91"/>
      <c r="CJ40" s="91"/>
      <c r="CK40" s="91"/>
      <c r="CL40" s="90"/>
      <c r="CM40" s="91"/>
      <c r="CN40" s="75"/>
      <c r="CO40" s="91"/>
      <c r="CP40" s="91"/>
      <c r="CQ40" s="90"/>
      <c r="CR40" s="91"/>
      <c r="CS40" s="91"/>
      <c r="CT40" s="91"/>
      <c r="CU40" s="91"/>
      <c r="CV40" s="91"/>
      <c r="CW40" s="91"/>
      <c r="CX40" s="90"/>
      <c r="CY40" s="91"/>
      <c r="CZ40" s="75"/>
      <c r="DA40" s="91"/>
      <c r="DB40" s="91"/>
      <c r="DC40" s="90"/>
      <c r="DD40" s="91"/>
      <c r="DE40" s="91"/>
      <c r="DF40" s="91"/>
      <c r="DG40" s="91"/>
      <c r="DH40" s="91"/>
      <c r="DI40" s="91"/>
      <c r="DJ40" s="90"/>
      <c r="DK40" s="91"/>
      <c r="DL40" s="75"/>
      <c r="DM40" s="75"/>
      <c r="DN40" s="75">
        <f t="shared" si="1"/>
        <v>0</v>
      </c>
      <c r="DO40" s="75" t="str">
        <f t="shared" si="2"/>
        <v/>
      </c>
      <c r="DP40" s="91"/>
      <c r="DQ40" s="91"/>
      <c r="DR40" s="90"/>
      <c r="DS40" s="91"/>
      <c r="DT40" s="91"/>
      <c r="DU40" s="91"/>
      <c r="DV40" s="91"/>
      <c r="DW40" s="91"/>
      <c r="DX40" s="91"/>
      <c r="DY40" s="90"/>
      <c r="DZ40" s="91"/>
      <c r="EA40" s="75"/>
      <c r="EB40" s="91"/>
      <c r="EC40" s="91"/>
      <c r="ED40" s="90"/>
      <c r="EE40" s="91"/>
      <c r="EF40" s="91"/>
      <c r="EG40" s="91"/>
      <c r="EH40" s="91"/>
      <c r="EI40" s="91"/>
      <c r="EJ40" s="91"/>
      <c r="EK40" s="90"/>
      <c r="EL40" s="90"/>
      <c r="EM40" s="88"/>
      <c r="EN40" s="92"/>
      <c r="EO40" s="92"/>
      <c r="EP40" s="92"/>
      <c r="EQ40" s="92"/>
      <c r="ER40" s="92"/>
      <c r="ES40" s="92"/>
      <c r="ET40" s="92"/>
      <c r="EU40" s="92"/>
      <c r="EV40" s="92"/>
      <c r="EW40" s="92"/>
      <c r="EX40" s="92"/>
      <c r="EY40" s="92"/>
      <c r="EZ40" s="92"/>
      <c r="FA40" s="92"/>
      <c r="FB40" s="92"/>
      <c r="FC40" s="92"/>
      <c r="FD40" s="92"/>
      <c r="FE40" s="92"/>
      <c r="FF40" s="92"/>
      <c r="FG40" s="92"/>
      <c r="FH40" s="92"/>
      <c r="FI40" s="92"/>
      <c r="FJ40" s="92"/>
      <c r="FK40" s="92"/>
      <c r="FL40" s="92"/>
      <c r="FM40" s="92"/>
      <c r="FN40" s="92"/>
      <c r="FO40" s="92"/>
      <c r="FP40" s="92"/>
      <c r="FQ40" s="92"/>
      <c r="FR40" s="92"/>
      <c r="FS40" s="92"/>
      <c r="FT40" s="92"/>
      <c r="FU40" s="92"/>
      <c r="FV40" s="92"/>
      <c r="FW40" s="92"/>
      <c r="FX40" s="92"/>
      <c r="FY40" s="92"/>
      <c r="FZ40" s="92"/>
      <c r="GA40" s="92"/>
      <c r="GB40" s="92"/>
      <c r="GC40" s="92"/>
      <c r="GD40" s="92"/>
      <c r="GE40" s="92"/>
      <c r="GF40" s="92"/>
      <c r="GG40" s="92"/>
      <c r="GH40" s="92"/>
      <c r="GI40" s="92"/>
      <c r="GJ40" s="92"/>
      <c r="GK40" s="92"/>
      <c r="GL40" s="92"/>
      <c r="GM40" s="92"/>
      <c r="GN40" s="92"/>
      <c r="GO40" s="92"/>
      <c r="GP40" s="92"/>
      <c r="GQ40" s="92"/>
      <c r="GR40" s="92"/>
      <c r="GS40" s="92"/>
      <c r="GT40" s="92"/>
      <c r="GU40" s="92"/>
      <c r="GV40" s="92"/>
      <c r="GW40" s="92"/>
      <c r="GX40" s="92"/>
      <c r="GY40" s="92"/>
      <c r="GZ40" s="92"/>
      <c r="HA40" s="92"/>
      <c r="HB40" s="92"/>
      <c r="HC40" s="92"/>
      <c r="HD40" s="92"/>
      <c r="HE40" s="92"/>
      <c r="HF40" s="92"/>
      <c r="HG40" s="92"/>
      <c r="HH40" s="92"/>
      <c r="HI40" s="92"/>
      <c r="HJ40" s="92"/>
      <c r="HK40" s="92"/>
      <c r="HL40" s="92"/>
      <c r="HM40" s="92"/>
      <c r="HN40" s="92"/>
      <c r="HO40" s="92"/>
      <c r="HP40" s="92"/>
      <c r="HQ40" s="92"/>
      <c r="HR40" s="92"/>
      <c r="HS40" s="92"/>
      <c r="HT40" s="92"/>
      <c r="HU40" s="92"/>
      <c r="HV40" s="92"/>
      <c r="HW40" s="92"/>
      <c r="HX40" s="92"/>
      <c r="HY40" s="92"/>
      <c r="HZ40" s="92"/>
      <c r="IA40" s="92"/>
      <c r="IB40" s="92"/>
      <c r="IC40" s="92"/>
      <c r="ID40" s="92"/>
      <c r="IE40" s="92"/>
      <c r="IF40" s="92"/>
      <c r="IG40" s="92"/>
      <c r="IH40" s="92"/>
      <c r="II40" s="92"/>
      <c r="IJ40" s="92"/>
      <c r="IK40" s="92"/>
      <c r="IL40" s="92"/>
      <c r="IM40" s="92"/>
      <c r="IN40" s="92"/>
      <c r="IO40" s="92"/>
      <c r="IP40" s="92"/>
      <c r="IQ40" s="92"/>
      <c r="IR40" s="92"/>
      <c r="IS40" s="92"/>
      <c r="IT40" s="92"/>
      <c r="IU40" s="92"/>
      <c r="IV40" s="92"/>
      <c r="IW40" s="92"/>
      <c r="IX40" s="92"/>
      <c r="IY40" s="92"/>
      <c r="IZ40" s="92"/>
      <c r="JA40" s="92"/>
      <c r="JB40" s="92"/>
      <c r="JC40" s="92"/>
      <c r="JD40" s="92"/>
      <c r="JE40" s="92"/>
      <c r="JF40" s="92"/>
      <c r="JG40" s="92"/>
      <c r="JH40" s="92"/>
      <c r="JI40" s="92"/>
      <c r="JJ40" s="92"/>
      <c r="JK40" s="92"/>
      <c r="JL40" s="92"/>
      <c r="JM40" s="92"/>
      <c r="JN40" s="92"/>
      <c r="JO40" s="92"/>
      <c r="JP40" s="92"/>
      <c r="JQ40" s="92"/>
      <c r="JR40" s="92"/>
      <c r="JS40" s="92"/>
      <c r="JT40" s="92"/>
      <c r="JU40" s="92"/>
      <c r="JV40" s="92"/>
      <c r="JW40" s="92"/>
      <c r="JX40" s="92"/>
      <c r="JY40" s="92"/>
      <c r="JZ40" s="92"/>
      <c r="KA40" s="92"/>
      <c r="KB40" s="92"/>
      <c r="KC40" s="92"/>
      <c r="KD40" s="92"/>
      <c r="KE40" s="92"/>
      <c r="KF40" s="92"/>
      <c r="KG40" s="92"/>
      <c r="KH40" s="92"/>
      <c r="KI40" s="92"/>
      <c r="KJ40" s="92"/>
      <c r="KK40" s="92"/>
      <c r="KL40" s="92"/>
      <c r="KM40" s="92"/>
      <c r="KN40" s="92"/>
      <c r="KO40" s="92"/>
      <c r="KP40" s="92"/>
      <c r="KQ40" s="88"/>
      <c r="KR40" s="92"/>
      <c r="KS40" s="92"/>
      <c r="KT40" s="92"/>
      <c r="KU40" s="93"/>
      <c r="KV40" s="92"/>
      <c r="KW40" s="93"/>
      <c r="KX40" s="92"/>
      <c r="KY40" s="93"/>
      <c r="KZ40" s="92"/>
      <c r="LA40" s="93"/>
      <c r="LB40" s="92"/>
      <c r="LC40" s="93"/>
      <c r="LD40" s="92"/>
      <c r="LE40" s="93"/>
      <c r="LF40" s="92"/>
      <c r="LG40" s="92"/>
      <c r="LH40" s="92"/>
      <c r="LI40" s="92"/>
      <c r="LJ40" s="92"/>
      <c r="LK40" s="92"/>
      <c r="LL40" s="92"/>
      <c r="LM40" s="92"/>
      <c r="LN40" s="92"/>
      <c r="LO40" s="92"/>
      <c r="LP40" s="88"/>
      <c r="LQ40" s="93"/>
      <c r="LR40" s="88"/>
      <c r="LS40" s="93"/>
      <c r="LT40" s="93"/>
      <c r="LU40" s="93"/>
      <c r="LV40" s="93"/>
      <c r="LW40" s="93"/>
      <c r="LX40" s="93"/>
      <c r="LY40" s="93"/>
      <c r="LZ40" s="93"/>
      <c r="MA40" s="93"/>
      <c r="MB40" s="93"/>
      <c r="MC40" s="94"/>
      <c r="MD40" s="94"/>
      <c r="ME40" s="94"/>
      <c r="MF40" s="94"/>
      <c r="MG40" s="94"/>
      <c r="MH40" s="94"/>
      <c r="MI40" s="94"/>
      <c r="MJ40" s="94"/>
      <c r="MK40" s="94"/>
      <c r="ML40" s="94"/>
      <c r="MM40" s="94"/>
      <c r="MN40" s="94"/>
      <c r="MO40" s="95"/>
      <c r="MP40" s="95"/>
      <c r="MQ40" s="94"/>
      <c r="MR40" s="94"/>
      <c r="MS40" s="94"/>
      <c r="MT40" s="94"/>
      <c r="MU40" s="94"/>
      <c r="MV40" s="94"/>
      <c r="MW40" s="94"/>
      <c r="MX40" s="94"/>
      <c r="MY40" s="94"/>
      <c r="MZ40" s="94"/>
      <c r="NA40" s="94"/>
      <c r="NB40" s="94"/>
      <c r="NC40" s="94"/>
      <c r="ND40" s="94"/>
      <c r="NE40" s="94"/>
      <c r="NF40" s="94"/>
      <c r="NG40" s="94"/>
      <c r="NH40" s="94"/>
      <c r="NI40" s="94"/>
      <c r="NJ40" s="94"/>
    </row>
    <row r="41" spans="1:374" x14ac:dyDescent="0.25">
      <c r="A41" s="88"/>
      <c r="B41" s="88"/>
      <c r="C41" s="88"/>
      <c r="D41" s="88"/>
      <c r="E41" s="89"/>
      <c r="F41" s="88"/>
      <c r="G41" s="88"/>
      <c r="H41" s="88" t="str">
        <f t="shared" si="26"/>
        <v xml:space="preserve">  </v>
      </c>
      <c r="I41" s="88"/>
      <c r="J41" s="88"/>
      <c r="K41" s="88"/>
      <c r="L41" s="88"/>
      <c r="M41" s="88"/>
      <c r="N41" s="88"/>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1"/>
      <c r="AR41" s="75"/>
      <c r="AS41" s="91"/>
      <c r="AT41" s="91"/>
      <c r="AU41" s="90"/>
      <c r="AV41" s="91"/>
      <c r="AW41" s="91"/>
      <c r="AX41" s="91"/>
      <c r="AY41" s="91"/>
      <c r="AZ41" s="91"/>
      <c r="BA41" s="91"/>
      <c r="BB41" s="90"/>
      <c r="BC41" s="91"/>
      <c r="BD41" s="75"/>
      <c r="BE41" s="91"/>
      <c r="BF41" s="91"/>
      <c r="BG41" s="90"/>
      <c r="BH41" s="91"/>
      <c r="BI41" s="91"/>
      <c r="BJ41" s="91"/>
      <c r="BK41" s="91"/>
      <c r="BL41" s="91"/>
      <c r="BM41" s="91"/>
      <c r="BN41" s="90"/>
      <c r="BO41" s="91"/>
      <c r="BP41" s="75"/>
      <c r="BQ41" s="91"/>
      <c r="BR41" s="91"/>
      <c r="BS41" s="90"/>
      <c r="BT41" s="91"/>
      <c r="BU41" s="91"/>
      <c r="BV41" s="91"/>
      <c r="BW41" s="91"/>
      <c r="BX41" s="91"/>
      <c r="BY41" s="91"/>
      <c r="BZ41" s="90"/>
      <c r="CA41" s="91"/>
      <c r="CB41" s="75"/>
      <c r="CC41" s="91"/>
      <c r="CD41" s="91"/>
      <c r="CE41" s="90"/>
      <c r="CF41" s="91"/>
      <c r="CG41" s="91"/>
      <c r="CH41" s="91"/>
      <c r="CI41" s="91"/>
      <c r="CJ41" s="91"/>
      <c r="CK41" s="91"/>
      <c r="CL41" s="90"/>
      <c r="CM41" s="91"/>
      <c r="CN41" s="75"/>
      <c r="CO41" s="91"/>
      <c r="CP41" s="91"/>
      <c r="CQ41" s="90"/>
      <c r="CR41" s="91"/>
      <c r="CS41" s="91"/>
      <c r="CT41" s="91"/>
      <c r="CU41" s="91"/>
      <c r="CV41" s="91"/>
      <c r="CW41" s="91"/>
      <c r="CX41" s="90"/>
      <c r="CY41" s="91"/>
      <c r="CZ41" s="75"/>
      <c r="DA41" s="91"/>
      <c r="DB41" s="91"/>
      <c r="DC41" s="90"/>
      <c r="DD41" s="91"/>
      <c r="DE41" s="91"/>
      <c r="DF41" s="91"/>
      <c r="DG41" s="91"/>
      <c r="DH41" s="91"/>
      <c r="DI41" s="91"/>
      <c r="DJ41" s="90"/>
      <c r="DK41" s="91"/>
      <c r="DL41" s="75"/>
      <c r="DM41" s="75"/>
      <c r="DN41" s="75">
        <f t="shared" si="1"/>
        <v>0</v>
      </c>
      <c r="DO41" s="75" t="str">
        <f t="shared" si="2"/>
        <v/>
      </c>
      <c r="DP41" s="91"/>
      <c r="DQ41" s="91"/>
      <c r="DR41" s="90"/>
      <c r="DS41" s="91"/>
      <c r="DT41" s="91"/>
      <c r="DU41" s="91"/>
      <c r="DV41" s="91"/>
      <c r="DW41" s="91"/>
      <c r="DX41" s="91"/>
      <c r="DY41" s="90"/>
      <c r="DZ41" s="91"/>
      <c r="EA41" s="75"/>
      <c r="EB41" s="91"/>
      <c r="EC41" s="91"/>
      <c r="ED41" s="90"/>
      <c r="EE41" s="91"/>
      <c r="EF41" s="91"/>
      <c r="EG41" s="91"/>
      <c r="EH41" s="91"/>
      <c r="EI41" s="91"/>
      <c r="EJ41" s="91"/>
      <c r="EK41" s="90"/>
      <c r="EL41" s="90"/>
      <c r="EM41" s="88"/>
      <c r="EN41" s="92"/>
      <c r="EO41" s="92"/>
      <c r="EP41" s="92"/>
      <c r="EQ41" s="92"/>
      <c r="ER41" s="92"/>
      <c r="ES41" s="92"/>
      <c r="ET41" s="92"/>
      <c r="EU41" s="92"/>
      <c r="EV41" s="92"/>
      <c r="EW41" s="92"/>
      <c r="EX41" s="92"/>
      <c r="EY41" s="92"/>
      <c r="EZ41" s="92"/>
      <c r="FA41" s="92"/>
      <c r="FB41" s="92"/>
      <c r="FC41" s="92"/>
      <c r="FD41" s="92"/>
      <c r="FE41" s="92"/>
      <c r="FF41" s="92"/>
      <c r="FG41" s="92"/>
      <c r="FH41" s="92"/>
      <c r="FI41" s="92"/>
      <c r="FJ41" s="92"/>
      <c r="FK41" s="92"/>
      <c r="FL41" s="92"/>
      <c r="FM41" s="92"/>
      <c r="FN41" s="92"/>
      <c r="FO41" s="92"/>
      <c r="FP41" s="92"/>
      <c r="FQ41" s="92"/>
      <c r="FR41" s="92"/>
      <c r="FS41" s="92"/>
      <c r="FT41" s="92"/>
      <c r="FU41" s="92"/>
      <c r="FV41" s="92"/>
      <c r="FW41" s="92"/>
      <c r="FX41" s="92"/>
      <c r="FY41" s="92"/>
      <c r="FZ41" s="92"/>
      <c r="GA41" s="92"/>
      <c r="GB41" s="92"/>
      <c r="GC41" s="92"/>
      <c r="GD41" s="92"/>
      <c r="GE41" s="92"/>
      <c r="GF41" s="92"/>
      <c r="GG41" s="92"/>
      <c r="GH41" s="92"/>
      <c r="GI41" s="92"/>
      <c r="GJ41" s="92"/>
      <c r="GK41" s="92"/>
      <c r="GL41" s="92"/>
      <c r="GM41" s="92"/>
      <c r="GN41" s="92"/>
      <c r="GO41" s="92"/>
      <c r="GP41" s="92"/>
      <c r="GQ41" s="92"/>
      <c r="GR41" s="92"/>
      <c r="GS41" s="92"/>
      <c r="GT41" s="92"/>
      <c r="GU41" s="92"/>
      <c r="GV41" s="92"/>
      <c r="GW41" s="92"/>
      <c r="GX41" s="92"/>
      <c r="GY41" s="92"/>
      <c r="GZ41" s="92"/>
      <c r="HA41" s="92"/>
      <c r="HB41" s="92"/>
      <c r="HC41" s="92"/>
      <c r="HD41" s="92"/>
      <c r="HE41" s="92"/>
      <c r="HF41" s="92"/>
      <c r="HG41" s="92"/>
      <c r="HH41" s="92"/>
      <c r="HI41" s="92"/>
      <c r="HJ41" s="92"/>
      <c r="HK41" s="92"/>
      <c r="HL41" s="92"/>
      <c r="HM41" s="92"/>
      <c r="HN41" s="92"/>
      <c r="HO41" s="92"/>
      <c r="HP41" s="92"/>
      <c r="HQ41" s="92"/>
      <c r="HR41" s="92"/>
      <c r="HS41" s="92"/>
      <c r="HT41" s="92"/>
      <c r="HU41" s="92"/>
      <c r="HV41" s="92"/>
      <c r="HW41" s="92"/>
      <c r="HX41" s="92"/>
      <c r="HY41" s="92"/>
      <c r="HZ41" s="92"/>
      <c r="IA41" s="92"/>
      <c r="IB41" s="92"/>
      <c r="IC41" s="92"/>
      <c r="ID41" s="92"/>
      <c r="IE41" s="92"/>
      <c r="IF41" s="92"/>
      <c r="IG41" s="92"/>
      <c r="IH41" s="92"/>
      <c r="II41" s="92"/>
      <c r="IJ41" s="92"/>
      <c r="IK41" s="92"/>
      <c r="IL41" s="92"/>
      <c r="IM41" s="92"/>
      <c r="IN41" s="92"/>
      <c r="IO41" s="92"/>
      <c r="IP41" s="92"/>
      <c r="IQ41" s="92"/>
      <c r="IR41" s="92"/>
      <c r="IS41" s="92"/>
      <c r="IT41" s="92"/>
      <c r="IU41" s="92"/>
      <c r="IV41" s="92"/>
      <c r="IW41" s="92"/>
      <c r="IX41" s="92"/>
      <c r="IY41" s="92"/>
      <c r="IZ41" s="92"/>
      <c r="JA41" s="92"/>
      <c r="JB41" s="92"/>
      <c r="JC41" s="92"/>
      <c r="JD41" s="92"/>
      <c r="JE41" s="92"/>
      <c r="JF41" s="92"/>
      <c r="JG41" s="92"/>
      <c r="JH41" s="92"/>
      <c r="JI41" s="92"/>
      <c r="JJ41" s="92"/>
      <c r="JK41" s="92"/>
      <c r="JL41" s="92"/>
      <c r="JM41" s="92"/>
      <c r="JN41" s="92"/>
      <c r="JO41" s="92"/>
      <c r="JP41" s="92"/>
      <c r="JQ41" s="92"/>
      <c r="JR41" s="92"/>
      <c r="JS41" s="92"/>
      <c r="JT41" s="92"/>
      <c r="JU41" s="92"/>
      <c r="JV41" s="92"/>
      <c r="JW41" s="92"/>
      <c r="JX41" s="92"/>
      <c r="JY41" s="92"/>
      <c r="JZ41" s="92"/>
      <c r="KA41" s="92"/>
      <c r="KB41" s="92"/>
      <c r="KC41" s="92"/>
      <c r="KD41" s="92"/>
      <c r="KE41" s="92"/>
      <c r="KF41" s="92"/>
      <c r="KG41" s="92"/>
      <c r="KH41" s="92"/>
      <c r="KI41" s="92"/>
      <c r="KJ41" s="92"/>
      <c r="KK41" s="92"/>
      <c r="KL41" s="92"/>
      <c r="KM41" s="92"/>
      <c r="KN41" s="92"/>
      <c r="KO41" s="92"/>
      <c r="KP41" s="92"/>
      <c r="KQ41" s="88"/>
      <c r="KR41" s="92"/>
      <c r="KS41" s="92"/>
      <c r="KT41" s="92"/>
      <c r="KU41" s="93"/>
      <c r="KV41" s="92"/>
      <c r="KW41" s="93"/>
      <c r="KX41" s="92"/>
      <c r="KY41" s="93"/>
      <c r="KZ41" s="92"/>
      <c r="LA41" s="93"/>
      <c r="LB41" s="92"/>
      <c r="LC41" s="93"/>
      <c r="LD41" s="92"/>
      <c r="LE41" s="93"/>
      <c r="LF41" s="92"/>
      <c r="LG41" s="92"/>
      <c r="LH41" s="92"/>
      <c r="LI41" s="92"/>
      <c r="LJ41" s="92"/>
      <c r="LK41" s="92"/>
      <c r="LL41" s="92"/>
      <c r="LM41" s="92"/>
      <c r="LN41" s="92"/>
      <c r="LO41" s="92"/>
      <c r="LP41" s="88"/>
      <c r="LQ41" s="93"/>
      <c r="LR41" s="88"/>
      <c r="LS41" s="93"/>
      <c r="LT41" s="93"/>
      <c r="LU41" s="93"/>
      <c r="LV41" s="93"/>
      <c r="LW41" s="93"/>
      <c r="LX41" s="93"/>
      <c r="LY41" s="93"/>
      <c r="LZ41" s="93"/>
      <c r="MA41" s="93"/>
      <c r="MB41" s="93"/>
      <c r="MC41" s="94"/>
      <c r="MD41" s="94"/>
      <c r="ME41" s="94"/>
      <c r="MF41" s="94"/>
      <c r="MG41" s="94"/>
      <c r="MH41" s="94"/>
      <c r="MI41" s="94"/>
      <c r="MJ41" s="94"/>
      <c r="MK41" s="94"/>
      <c r="ML41" s="94"/>
      <c r="MM41" s="94"/>
      <c r="MN41" s="94"/>
      <c r="MO41" s="95"/>
      <c r="MP41" s="95"/>
      <c r="MQ41" s="94"/>
      <c r="MR41" s="94"/>
      <c r="MS41" s="94"/>
      <c r="MT41" s="94"/>
      <c r="MU41" s="94"/>
      <c r="MV41" s="94"/>
      <c r="MW41" s="94"/>
      <c r="MX41" s="94"/>
      <c r="MY41" s="94"/>
      <c r="MZ41" s="94"/>
      <c r="NA41" s="94"/>
      <c r="NB41" s="94"/>
      <c r="NC41" s="94"/>
      <c r="ND41" s="94"/>
      <c r="NE41" s="94"/>
      <c r="NF41" s="94"/>
      <c r="NG41" s="94"/>
      <c r="NH41" s="94"/>
      <c r="NI41" s="94"/>
      <c r="NJ41" s="94"/>
    </row>
    <row r="42" spans="1:374" x14ac:dyDescent="0.25">
      <c r="A42" s="88"/>
      <c r="B42" s="88"/>
      <c r="C42" s="88"/>
      <c r="D42" s="88"/>
      <c r="E42" s="89"/>
      <c r="F42" s="88"/>
      <c r="G42" s="88"/>
      <c r="H42" s="88" t="str">
        <f t="shared" si="26"/>
        <v xml:space="preserve">  </v>
      </c>
      <c r="I42" s="88"/>
      <c r="J42" s="88"/>
      <c r="K42" s="88"/>
      <c r="L42" s="88"/>
      <c r="M42" s="88"/>
      <c r="N42" s="88"/>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1"/>
      <c r="AR42" s="75"/>
      <c r="AS42" s="91"/>
      <c r="AT42" s="91"/>
      <c r="AU42" s="90"/>
      <c r="AV42" s="91"/>
      <c r="AW42" s="91"/>
      <c r="AX42" s="91"/>
      <c r="AY42" s="91"/>
      <c r="AZ42" s="91"/>
      <c r="BA42" s="91"/>
      <c r="BB42" s="90"/>
      <c r="BC42" s="91"/>
      <c r="BD42" s="75"/>
      <c r="BE42" s="91"/>
      <c r="BF42" s="91"/>
      <c r="BG42" s="90"/>
      <c r="BH42" s="91"/>
      <c r="BI42" s="91"/>
      <c r="BJ42" s="91"/>
      <c r="BK42" s="91"/>
      <c r="BL42" s="91"/>
      <c r="BM42" s="91"/>
      <c r="BN42" s="90"/>
      <c r="BO42" s="91"/>
      <c r="BP42" s="75"/>
      <c r="BQ42" s="91"/>
      <c r="BR42" s="91"/>
      <c r="BS42" s="90"/>
      <c r="BT42" s="91"/>
      <c r="BU42" s="91"/>
      <c r="BV42" s="91"/>
      <c r="BW42" s="91"/>
      <c r="BX42" s="91"/>
      <c r="BY42" s="91"/>
      <c r="BZ42" s="90"/>
      <c r="CA42" s="91"/>
      <c r="CB42" s="75"/>
      <c r="CC42" s="91"/>
      <c r="CD42" s="91"/>
      <c r="CE42" s="90"/>
      <c r="CF42" s="91"/>
      <c r="CG42" s="91"/>
      <c r="CH42" s="91"/>
      <c r="CI42" s="91"/>
      <c r="CJ42" s="91"/>
      <c r="CK42" s="91"/>
      <c r="CL42" s="90"/>
      <c r="CM42" s="91"/>
      <c r="CN42" s="75"/>
      <c r="CO42" s="91"/>
      <c r="CP42" s="91"/>
      <c r="CQ42" s="90"/>
      <c r="CR42" s="91"/>
      <c r="CS42" s="91"/>
      <c r="CT42" s="91"/>
      <c r="CU42" s="91"/>
      <c r="CV42" s="91"/>
      <c r="CW42" s="91"/>
      <c r="CX42" s="90"/>
      <c r="CY42" s="91"/>
      <c r="CZ42" s="75"/>
      <c r="DA42" s="91"/>
      <c r="DB42" s="91"/>
      <c r="DC42" s="90"/>
      <c r="DD42" s="91"/>
      <c r="DE42" s="91"/>
      <c r="DF42" s="91"/>
      <c r="DG42" s="91"/>
      <c r="DH42" s="91"/>
      <c r="DI42" s="91"/>
      <c r="DJ42" s="90"/>
      <c r="DK42" s="91"/>
      <c r="DL42" s="75"/>
      <c r="DM42" s="75"/>
      <c r="DN42" s="75">
        <f t="shared" si="1"/>
        <v>0</v>
      </c>
      <c r="DO42" s="75" t="str">
        <f t="shared" si="2"/>
        <v/>
      </c>
      <c r="DP42" s="91"/>
      <c r="DQ42" s="91"/>
      <c r="DR42" s="90"/>
      <c r="DS42" s="91"/>
      <c r="DT42" s="91"/>
      <c r="DU42" s="91"/>
      <c r="DV42" s="91"/>
      <c r="DW42" s="91"/>
      <c r="DX42" s="91"/>
      <c r="DY42" s="90"/>
      <c r="DZ42" s="91"/>
      <c r="EA42" s="75"/>
      <c r="EB42" s="91"/>
      <c r="EC42" s="91"/>
      <c r="ED42" s="90"/>
      <c r="EE42" s="91"/>
      <c r="EF42" s="91"/>
      <c r="EG42" s="91"/>
      <c r="EH42" s="91"/>
      <c r="EI42" s="91"/>
      <c r="EJ42" s="91"/>
      <c r="EK42" s="90"/>
      <c r="EL42" s="90"/>
      <c r="EM42" s="88"/>
      <c r="EN42" s="92"/>
      <c r="EO42" s="92"/>
      <c r="EP42" s="92"/>
      <c r="EQ42" s="92"/>
      <c r="ER42" s="92"/>
      <c r="ES42" s="92"/>
      <c r="ET42" s="92"/>
      <c r="EU42" s="92"/>
      <c r="EV42" s="92"/>
      <c r="EW42" s="92"/>
      <c r="EX42" s="92"/>
      <c r="EY42" s="92"/>
      <c r="EZ42" s="92"/>
      <c r="FA42" s="92"/>
      <c r="FB42" s="92"/>
      <c r="FC42" s="92"/>
      <c r="FD42" s="92"/>
      <c r="FE42" s="92"/>
      <c r="FF42" s="92"/>
      <c r="FG42" s="92"/>
      <c r="FH42" s="92"/>
      <c r="FI42" s="92"/>
      <c r="FJ42" s="92"/>
      <c r="FK42" s="92"/>
      <c r="FL42" s="92"/>
      <c r="FM42" s="92"/>
      <c r="FN42" s="92"/>
      <c r="FO42" s="92"/>
      <c r="FP42" s="92"/>
      <c r="FQ42" s="92"/>
      <c r="FR42" s="92"/>
      <c r="FS42" s="92"/>
      <c r="FT42" s="92"/>
      <c r="FU42" s="92"/>
      <c r="FV42" s="92"/>
      <c r="FW42" s="92"/>
      <c r="FX42" s="92"/>
      <c r="FY42" s="92"/>
      <c r="FZ42" s="92"/>
      <c r="GA42" s="92"/>
      <c r="GB42" s="92"/>
      <c r="GC42" s="92"/>
      <c r="GD42" s="92"/>
      <c r="GE42" s="92"/>
      <c r="GF42" s="92"/>
      <c r="GG42" s="92"/>
      <c r="GH42" s="92"/>
      <c r="GI42" s="92"/>
      <c r="GJ42" s="92"/>
      <c r="GK42" s="92"/>
      <c r="GL42" s="92"/>
      <c r="GM42" s="92"/>
      <c r="GN42" s="92"/>
      <c r="GO42" s="92"/>
      <c r="GP42" s="92"/>
      <c r="GQ42" s="92"/>
      <c r="GR42" s="92"/>
      <c r="GS42" s="92"/>
      <c r="GT42" s="92"/>
      <c r="GU42" s="92"/>
      <c r="GV42" s="92"/>
      <c r="GW42" s="92"/>
      <c r="GX42" s="92"/>
      <c r="GY42" s="92"/>
      <c r="GZ42" s="92"/>
      <c r="HA42" s="92"/>
      <c r="HB42" s="92"/>
      <c r="HC42" s="92"/>
      <c r="HD42" s="92"/>
      <c r="HE42" s="92"/>
      <c r="HF42" s="92"/>
      <c r="HG42" s="92"/>
      <c r="HH42" s="92"/>
      <c r="HI42" s="92"/>
      <c r="HJ42" s="92"/>
      <c r="HK42" s="92"/>
      <c r="HL42" s="92"/>
      <c r="HM42" s="92"/>
      <c r="HN42" s="92"/>
      <c r="HO42" s="92"/>
      <c r="HP42" s="92"/>
      <c r="HQ42" s="92"/>
      <c r="HR42" s="92"/>
      <c r="HS42" s="92"/>
      <c r="HT42" s="92"/>
      <c r="HU42" s="92"/>
      <c r="HV42" s="92"/>
      <c r="HW42" s="92"/>
      <c r="HX42" s="92"/>
      <c r="HY42" s="92"/>
      <c r="HZ42" s="92"/>
      <c r="IA42" s="92"/>
      <c r="IB42" s="92"/>
      <c r="IC42" s="92"/>
      <c r="ID42" s="92"/>
      <c r="IE42" s="92"/>
      <c r="IF42" s="92"/>
      <c r="IG42" s="92"/>
      <c r="IH42" s="92"/>
      <c r="II42" s="92"/>
      <c r="IJ42" s="92"/>
      <c r="IK42" s="92"/>
      <c r="IL42" s="92"/>
      <c r="IM42" s="92"/>
      <c r="IN42" s="92"/>
      <c r="IO42" s="92"/>
      <c r="IP42" s="92"/>
      <c r="IQ42" s="92"/>
      <c r="IR42" s="92"/>
      <c r="IS42" s="92"/>
      <c r="IT42" s="92"/>
      <c r="IU42" s="92"/>
      <c r="IV42" s="92"/>
      <c r="IW42" s="92"/>
      <c r="IX42" s="92"/>
      <c r="IY42" s="92"/>
      <c r="IZ42" s="92"/>
      <c r="JA42" s="92"/>
      <c r="JB42" s="92"/>
      <c r="JC42" s="92"/>
      <c r="JD42" s="92"/>
      <c r="JE42" s="92"/>
      <c r="JF42" s="92"/>
      <c r="JG42" s="92"/>
      <c r="JH42" s="92"/>
      <c r="JI42" s="92"/>
      <c r="JJ42" s="92"/>
      <c r="JK42" s="92"/>
      <c r="JL42" s="92"/>
      <c r="JM42" s="92"/>
      <c r="JN42" s="92"/>
      <c r="JO42" s="92"/>
      <c r="JP42" s="92"/>
      <c r="JQ42" s="92"/>
      <c r="JR42" s="92"/>
      <c r="JS42" s="92"/>
      <c r="JT42" s="92"/>
      <c r="JU42" s="92"/>
      <c r="JV42" s="92"/>
      <c r="JW42" s="92"/>
      <c r="JX42" s="92"/>
      <c r="JY42" s="92"/>
      <c r="JZ42" s="92"/>
      <c r="KA42" s="92"/>
      <c r="KB42" s="92"/>
      <c r="KC42" s="92"/>
      <c r="KD42" s="92"/>
      <c r="KE42" s="92"/>
      <c r="KF42" s="92"/>
      <c r="KG42" s="92"/>
      <c r="KH42" s="92"/>
      <c r="KI42" s="92"/>
      <c r="KJ42" s="92"/>
      <c r="KK42" s="92"/>
      <c r="KL42" s="92"/>
      <c r="KM42" s="92"/>
      <c r="KN42" s="92"/>
      <c r="KO42" s="92"/>
      <c r="KP42" s="92"/>
      <c r="KQ42" s="88"/>
      <c r="KR42" s="92"/>
      <c r="KS42" s="92"/>
      <c r="KT42" s="92"/>
      <c r="KU42" s="93"/>
      <c r="KV42" s="92"/>
      <c r="KW42" s="93"/>
      <c r="KX42" s="92"/>
      <c r="KY42" s="93"/>
      <c r="KZ42" s="92"/>
      <c r="LA42" s="93"/>
      <c r="LB42" s="92"/>
      <c r="LC42" s="93"/>
      <c r="LD42" s="92"/>
      <c r="LE42" s="93"/>
      <c r="LF42" s="92"/>
      <c r="LG42" s="92"/>
      <c r="LH42" s="92"/>
      <c r="LI42" s="92"/>
      <c r="LJ42" s="92"/>
      <c r="LK42" s="92"/>
      <c r="LL42" s="92"/>
      <c r="LM42" s="92"/>
      <c r="LN42" s="92"/>
      <c r="LO42" s="92"/>
      <c r="LP42" s="88"/>
      <c r="LQ42" s="93"/>
      <c r="LR42" s="88"/>
      <c r="LS42" s="93"/>
      <c r="LT42" s="93"/>
      <c r="LU42" s="93"/>
      <c r="LV42" s="93"/>
      <c r="LW42" s="93"/>
      <c r="LX42" s="93"/>
      <c r="LY42" s="93"/>
      <c r="LZ42" s="93"/>
      <c r="MA42" s="93"/>
      <c r="MB42" s="93"/>
      <c r="MC42" s="94"/>
      <c r="MD42" s="94"/>
      <c r="ME42" s="94"/>
      <c r="MF42" s="94"/>
      <c r="MG42" s="94"/>
      <c r="MH42" s="94"/>
      <c r="MI42" s="94"/>
      <c r="MJ42" s="94"/>
      <c r="MK42" s="94"/>
      <c r="ML42" s="94"/>
      <c r="MM42" s="94"/>
      <c r="MN42" s="94"/>
      <c r="MO42" s="95"/>
      <c r="MP42" s="95"/>
      <c r="MQ42" s="94"/>
      <c r="MR42" s="94"/>
      <c r="MS42" s="94"/>
      <c r="MT42" s="94"/>
      <c r="MU42" s="94"/>
      <c r="MV42" s="94"/>
      <c r="MW42" s="94"/>
      <c r="MX42" s="94"/>
      <c r="MY42" s="94"/>
      <c r="MZ42" s="94"/>
      <c r="NA42" s="94"/>
      <c r="NB42" s="94"/>
      <c r="NC42" s="94"/>
      <c r="ND42" s="94"/>
      <c r="NE42" s="94"/>
      <c r="NF42" s="94"/>
      <c r="NG42" s="94"/>
      <c r="NH42" s="94"/>
      <c r="NI42" s="94"/>
      <c r="NJ42" s="94"/>
    </row>
    <row r="43" spans="1:374" x14ac:dyDescent="0.25">
      <c r="A43" s="88"/>
      <c r="B43" s="88"/>
      <c r="C43" s="88"/>
      <c r="D43" s="88"/>
      <c r="E43" s="89"/>
      <c r="F43" s="88"/>
      <c r="G43" s="88"/>
      <c r="H43" s="88" t="str">
        <f t="shared" si="26"/>
        <v xml:space="preserve">  </v>
      </c>
      <c r="I43" s="88"/>
      <c r="J43" s="88"/>
      <c r="K43" s="88"/>
      <c r="L43" s="88"/>
      <c r="M43" s="88"/>
      <c r="N43" s="88"/>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1"/>
      <c r="AR43" s="75"/>
      <c r="AS43" s="91"/>
      <c r="AT43" s="91"/>
      <c r="AU43" s="90"/>
      <c r="AV43" s="91"/>
      <c r="AW43" s="91"/>
      <c r="AX43" s="91"/>
      <c r="AY43" s="91"/>
      <c r="AZ43" s="91"/>
      <c r="BA43" s="91"/>
      <c r="BB43" s="90"/>
      <c r="BC43" s="91"/>
      <c r="BD43" s="75"/>
      <c r="BE43" s="91"/>
      <c r="BF43" s="91"/>
      <c r="BG43" s="90"/>
      <c r="BH43" s="91"/>
      <c r="BI43" s="91"/>
      <c r="BJ43" s="91"/>
      <c r="BK43" s="91"/>
      <c r="BL43" s="91"/>
      <c r="BM43" s="91"/>
      <c r="BN43" s="90"/>
      <c r="BO43" s="91"/>
      <c r="BP43" s="75"/>
      <c r="BQ43" s="91"/>
      <c r="BR43" s="91"/>
      <c r="BS43" s="90"/>
      <c r="BT43" s="91"/>
      <c r="BU43" s="91"/>
      <c r="BV43" s="91"/>
      <c r="BW43" s="91"/>
      <c r="BX43" s="91"/>
      <c r="BY43" s="91"/>
      <c r="BZ43" s="90"/>
      <c r="CA43" s="91"/>
      <c r="CB43" s="75"/>
      <c r="CC43" s="91"/>
      <c r="CD43" s="91"/>
      <c r="CE43" s="90"/>
      <c r="CF43" s="91"/>
      <c r="CG43" s="91"/>
      <c r="CH43" s="91"/>
      <c r="CI43" s="91"/>
      <c r="CJ43" s="91"/>
      <c r="CK43" s="91"/>
      <c r="CL43" s="90"/>
      <c r="CM43" s="91"/>
      <c r="CN43" s="75"/>
      <c r="CO43" s="91"/>
      <c r="CP43" s="91"/>
      <c r="CQ43" s="90"/>
      <c r="CR43" s="91"/>
      <c r="CS43" s="91"/>
      <c r="CT43" s="91"/>
      <c r="CU43" s="91"/>
      <c r="CV43" s="91"/>
      <c r="CW43" s="91"/>
      <c r="CX43" s="90"/>
      <c r="CY43" s="91"/>
      <c r="CZ43" s="75"/>
      <c r="DA43" s="91"/>
      <c r="DB43" s="91"/>
      <c r="DC43" s="90"/>
      <c r="DD43" s="91"/>
      <c r="DE43" s="91"/>
      <c r="DF43" s="91"/>
      <c r="DG43" s="91"/>
      <c r="DH43" s="91"/>
      <c r="DI43" s="91"/>
      <c r="DJ43" s="90"/>
      <c r="DK43" s="91"/>
      <c r="DL43" s="75"/>
      <c r="DM43" s="75"/>
      <c r="DN43" s="75">
        <f t="shared" si="1"/>
        <v>0</v>
      </c>
      <c r="DO43" s="75" t="str">
        <f t="shared" si="2"/>
        <v/>
      </c>
      <c r="DP43" s="91"/>
      <c r="DQ43" s="91"/>
      <c r="DR43" s="90"/>
      <c r="DS43" s="91"/>
      <c r="DT43" s="91"/>
      <c r="DU43" s="91"/>
      <c r="DV43" s="91"/>
      <c r="DW43" s="91"/>
      <c r="DX43" s="91"/>
      <c r="DY43" s="90"/>
      <c r="DZ43" s="91"/>
      <c r="EA43" s="75"/>
      <c r="EB43" s="91"/>
      <c r="EC43" s="91"/>
      <c r="ED43" s="90"/>
      <c r="EE43" s="91"/>
      <c r="EF43" s="91"/>
      <c r="EG43" s="91"/>
      <c r="EH43" s="91"/>
      <c r="EI43" s="91"/>
      <c r="EJ43" s="91"/>
      <c r="EK43" s="90"/>
      <c r="EL43" s="90"/>
      <c r="EM43" s="88"/>
      <c r="EN43" s="92"/>
      <c r="EO43" s="92"/>
      <c r="EP43" s="92"/>
      <c r="EQ43" s="92"/>
      <c r="ER43" s="92"/>
      <c r="ES43" s="92"/>
      <c r="ET43" s="92"/>
      <c r="EU43" s="92"/>
      <c r="EV43" s="92"/>
      <c r="EW43" s="92"/>
      <c r="EX43" s="92"/>
      <c r="EY43" s="92"/>
      <c r="EZ43" s="92"/>
      <c r="FA43" s="92"/>
      <c r="FB43" s="92"/>
      <c r="FC43" s="92"/>
      <c r="FD43" s="92"/>
      <c r="FE43" s="92"/>
      <c r="FF43" s="92"/>
      <c r="FG43" s="92"/>
      <c r="FH43" s="92"/>
      <c r="FI43" s="92"/>
      <c r="FJ43" s="92"/>
      <c r="FK43" s="92"/>
      <c r="FL43" s="92"/>
      <c r="FM43" s="92"/>
      <c r="FN43" s="92"/>
      <c r="FO43" s="92"/>
      <c r="FP43" s="92"/>
      <c r="FQ43" s="92"/>
      <c r="FR43" s="92"/>
      <c r="FS43" s="92"/>
      <c r="FT43" s="92"/>
      <c r="FU43" s="92"/>
      <c r="FV43" s="92"/>
      <c r="FW43" s="92"/>
      <c r="FX43" s="92"/>
      <c r="FY43" s="92"/>
      <c r="FZ43" s="92"/>
      <c r="GA43" s="92"/>
      <c r="GB43" s="92"/>
      <c r="GC43" s="92"/>
      <c r="GD43" s="92"/>
      <c r="GE43" s="92"/>
      <c r="GF43" s="92"/>
      <c r="GG43" s="92"/>
      <c r="GH43" s="92"/>
      <c r="GI43" s="92"/>
      <c r="GJ43" s="92"/>
      <c r="GK43" s="92"/>
      <c r="GL43" s="92"/>
      <c r="GM43" s="92"/>
      <c r="GN43" s="92"/>
      <c r="GO43" s="92"/>
      <c r="GP43" s="92"/>
      <c r="GQ43" s="92"/>
      <c r="GR43" s="92"/>
      <c r="GS43" s="92"/>
      <c r="GT43" s="92"/>
      <c r="GU43" s="92"/>
      <c r="GV43" s="92"/>
      <c r="GW43" s="92"/>
      <c r="GX43" s="92"/>
      <c r="GY43" s="92"/>
      <c r="GZ43" s="92"/>
      <c r="HA43" s="92"/>
      <c r="HB43" s="92"/>
      <c r="HC43" s="92"/>
      <c r="HD43" s="92"/>
      <c r="HE43" s="92"/>
      <c r="HF43" s="92"/>
      <c r="HG43" s="92"/>
      <c r="HH43" s="92"/>
      <c r="HI43" s="92"/>
      <c r="HJ43" s="92"/>
      <c r="HK43" s="92"/>
      <c r="HL43" s="92"/>
      <c r="HM43" s="92"/>
      <c r="HN43" s="92"/>
      <c r="HO43" s="92"/>
      <c r="HP43" s="92"/>
      <c r="HQ43" s="92"/>
      <c r="HR43" s="92"/>
      <c r="HS43" s="92"/>
      <c r="HT43" s="92"/>
      <c r="HU43" s="92"/>
      <c r="HV43" s="92"/>
      <c r="HW43" s="92"/>
      <c r="HX43" s="92"/>
      <c r="HY43" s="92"/>
      <c r="HZ43" s="92"/>
      <c r="IA43" s="92"/>
      <c r="IB43" s="92"/>
      <c r="IC43" s="92"/>
      <c r="ID43" s="92"/>
      <c r="IE43" s="92"/>
      <c r="IF43" s="92"/>
      <c r="IG43" s="92"/>
      <c r="IH43" s="92"/>
      <c r="II43" s="92"/>
      <c r="IJ43" s="92"/>
      <c r="IK43" s="92"/>
      <c r="IL43" s="92"/>
      <c r="IM43" s="92"/>
      <c r="IN43" s="92"/>
      <c r="IO43" s="92"/>
      <c r="IP43" s="92"/>
      <c r="IQ43" s="92"/>
      <c r="IR43" s="92"/>
      <c r="IS43" s="92"/>
      <c r="IT43" s="92"/>
      <c r="IU43" s="92"/>
      <c r="IV43" s="92"/>
      <c r="IW43" s="92"/>
      <c r="IX43" s="92"/>
      <c r="IY43" s="92"/>
      <c r="IZ43" s="92"/>
      <c r="JA43" s="92"/>
      <c r="JB43" s="92"/>
      <c r="JC43" s="92"/>
      <c r="JD43" s="92"/>
      <c r="JE43" s="92"/>
      <c r="JF43" s="92"/>
      <c r="JG43" s="92"/>
      <c r="JH43" s="92"/>
      <c r="JI43" s="92"/>
      <c r="JJ43" s="92"/>
      <c r="JK43" s="92"/>
      <c r="JL43" s="92"/>
      <c r="JM43" s="92"/>
      <c r="JN43" s="92"/>
      <c r="JO43" s="92"/>
      <c r="JP43" s="92"/>
      <c r="JQ43" s="92"/>
      <c r="JR43" s="92"/>
      <c r="JS43" s="92"/>
      <c r="JT43" s="92"/>
      <c r="JU43" s="92"/>
      <c r="JV43" s="92"/>
      <c r="JW43" s="92"/>
      <c r="JX43" s="92"/>
      <c r="JY43" s="92"/>
      <c r="JZ43" s="92"/>
      <c r="KA43" s="92"/>
      <c r="KB43" s="92"/>
      <c r="KC43" s="92"/>
      <c r="KD43" s="92"/>
      <c r="KE43" s="92"/>
      <c r="KF43" s="92"/>
      <c r="KG43" s="92"/>
      <c r="KH43" s="92"/>
      <c r="KI43" s="92"/>
      <c r="KJ43" s="92"/>
      <c r="KK43" s="92"/>
      <c r="KL43" s="92"/>
      <c r="KM43" s="92"/>
      <c r="KN43" s="92"/>
      <c r="KO43" s="92"/>
      <c r="KP43" s="92"/>
      <c r="KQ43" s="88"/>
      <c r="KR43" s="92"/>
      <c r="KS43" s="92"/>
      <c r="KT43" s="92"/>
      <c r="KU43" s="93"/>
      <c r="KV43" s="92"/>
      <c r="KW43" s="93"/>
      <c r="KX43" s="92"/>
      <c r="KY43" s="93"/>
      <c r="KZ43" s="92"/>
      <c r="LA43" s="93"/>
      <c r="LB43" s="92"/>
      <c r="LC43" s="93"/>
      <c r="LD43" s="92"/>
      <c r="LE43" s="93"/>
      <c r="LF43" s="92"/>
      <c r="LG43" s="92"/>
      <c r="LH43" s="92"/>
      <c r="LI43" s="92"/>
      <c r="LJ43" s="92"/>
      <c r="LK43" s="92"/>
      <c r="LL43" s="92"/>
      <c r="LM43" s="92"/>
      <c r="LN43" s="92"/>
      <c r="LO43" s="92"/>
      <c r="LP43" s="88"/>
      <c r="LQ43" s="93"/>
      <c r="LR43" s="88"/>
      <c r="LS43" s="93"/>
      <c r="LT43" s="93"/>
      <c r="LU43" s="93"/>
      <c r="LV43" s="93"/>
      <c r="LW43" s="93"/>
      <c r="LX43" s="93"/>
      <c r="LY43" s="93"/>
      <c r="LZ43" s="93"/>
      <c r="MA43" s="93"/>
      <c r="MB43" s="93"/>
      <c r="MC43" s="94"/>
      <c r="MD43" s="94"/>
      <c r="ME43" s="94"/>
      <c r="MF43" s="94"/>
      <c r="MG43" s="94"/>
      <c r="MH43" s="94"/>
      <c r="MI43" s="94"/>
      <c r="MJ43" s="94"/>
      <c r="MK43" s="94"/>
      <c r="ML43" s="94"/>
      <c r="MM43" s="94"/>
      <c r="MN43" s="94"/>
      <c r="MO43" s="95"/>
      <c r="MP43" s="95"/>
      <c r="MQ43" s="94"/>
      <c r="MR43" s="94"/>
      <c r="MS43" s="94"/>
      <c r="MT43" s="94"/>
      <c r="MU43" s="94"/>
      <c r="MV43" s="94"/>
      <c r="MW43" s="94"/>
      <c r="MX43" s="94"/>
      <c r="MY43" s="94"/>
      <c r="MZ43" s="94"/>
      <c r="NA43" s="94"/>
      <c r="NB43" s="94"/>
      <c r="NC43" s="94"/>
      <c r="ND43" s="94"/>
      <c r="NE43" s="94"/>
      <c r="NF43" s="94"/>
      <c r="NG43" s="94"/>
      <c r="NH43" s="94"/>
      <c r="NI43" s="94"/>
      <c r="NJ43" s="94"/>
    </row>
    <row r="44" spans="1:374" x14ac:dyDescent="0.25">
      <c r="A44" s="88"/>
      <c r="B44" s="88"/>
      <c r="C44" s="88"/>
      <c r="D44" s="88"/>
      <c r="E44" s="89"/>
      <c r="F44" s="88"/>
      <c r="G44" s="88"/>
      <c r="H44" s="88" t="str">
        <f t="shared" si="26"/>
        <v xml:space="preserve">  </v>
      </c>
      <c r="I44" s="88"/>
      <c r="J44" s="88"/>
      <c r="K44" s="88"/>
      <c r="L44" s="88"/>
      <c r="M44" s="88"/>
      <c r="N44" s="88"/>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1"/>
      <c r="AR44" s="75"/>
      <c r="AS44" s="91"/>
      <c r="AT44" s="91"/>
      <c r="AU44" s="90"/>
      <c r="AV44" s="91"/>
      <c r="AW44" s="91"/>
      <c r="AX44" s="91"/>
      <c r="AY44" s="91"/>
      <c r="AZ44" s="91"/>
      <c r="BA44" s="91"/>
      <c r="BB44" s="90"/>
      <c r="BC44" s="91"/>
      <c r="BD44" s="75"/>
      <c r="BE44" s="91"/>
      <c r="BF44" s="91"/>
      <c r="BG44" s="90"/>
      <c r="BH44" s="91"/>
      <c r="BI44" s="91"/>
      <c r="BJ44" s="91"/>
      <c r="BK44" s="91"/>
      <c r="BL44" s="91"/>
      <c r="BM44" s="91"/>
      <c r="BN44" s="90"/>
      <c r="BO44" s="91"/>
      <c r="BP44" s="75"/>
      <c r="BQ44" s="91"/>
      <c r="BR44" s="91"/>
      <c r="BS44" s="90"/>
      <c r="BT44" s="91"/>
      <c r="BU44" s="91"/>
      <c r="BV44" s="91"/>
      <c r="BW44" s="91"/>
      <c r="BX44" s="91"/>
      <c r="BY44" s="91"/>
      <c r="BZ44" s="90"/>
      <c r="CA44" s="91"/>
      <c r="CB44" s="75"/>
      <c r="CC44" s="91"/>
      <c r="CD44" s="91"/>
      <c r="CE44" s="90"/>
      <c r="CF44" s="91"/>
      <c r="CG44" s="91"/>
      <c r="CH44" s="91"/>
      <c r="CI44" s="91"/>
      <c r="CJ44" s="91"/>
      <c r="CK44" s="91"/>
      <c r="CL44" s="90"/>
      <c r="CM44" s="91"/>
      <c r="CN44" s="75"/>
      <c r="CO44" s="91"/>
      <c r="CP44" s="91"/>
      <c r="CQ44" s="90"/>
      <c r="CR44" s="91"/>
      <c r="CS44" s="91"/>
      <c r="CT44" s="91"/>
      <c r="CU44" s="91"/>
      <c r="CV44" s="91"/>
      <c r="CW44" s="91"/>
      <c r="CX44" s="90"/>
      <c r="CY44" s="91"/>
      <c r="CZ44" s="75"/>
      <c r="DA44" s="91"/>
      <c r="DB44" s="91"/>
      <c r="DC44" s="90"/>
      <c r="DD44" s="91"/>
      <c r="DE44" s="91"/>
      <c r="DF44" s="91"/>
      <c r="DG44" s="91"/>
      <c r="DH44" s="91"/>
      <c r="DI44" s="91"/>
      <c r="DJ44" s="90"/>
      <c r="DK44" s="91"/>
      <c r="DL44" s="75"/>
      <c r="DM44" s="75"/>
      <c r="DN44" s="75">
        <f t="shared" si="1"/>
        <v>0</v>
      </c>
      <c r="DO44" s="75" t="str">
        <f t="shared" si="2"/>
        <v/>
      </c>
      <c r="DP44" s="91"/>
      <c r="DQ44" s="91"/>
      <c r="DR44" s="90"/>
      <c r="DS44" s="91"/>
      <c r="DT44" s="91"/>
      <c r="DU44" s="91"/>
      <c r="DV44" s="91"/>
      <c r="DW44" s="91"/>
      <c r="DX44" s="91"/>
      <c r="DY44" s="90"/>
      <c r="DZ44" s="91"/>
      <c r="EA44" s="75"/>
      <c r="EB44" s="91"/>
      <c r="EC44" s="91"/>
      <c r="ED44" s="90"/>
      <c r="EE44" s="91"/>
      <c r="EF44" s="91"/>
      <c r="EG44" s="91"/>
      <c r="EH44" s="91"/>
      <c r="EI44" s="91"/>
      <c r="EJ44" s="91"/>
      <c r="EK44" s="90"/>
      <c r="EL44" s="90"/>
      <c r="EM44" s="88"/>
      <c r="EN44" s="92"/>
      <c r="EO44" s="92"/>
      <c r="EP44" s="92"/>
      <c r="EQ44" s="92"/>
      <c r="ER44" s="92"/>
      <c r="ES44" s="92"/>
      <c r="ET44" s="92"/>
      <c r="EU44" s="92"/>
      <c r="EV44" s="92"/>
      <c r="EW44" s="92"/>
      <c r="EX44" s="92"/>
      <c r="EY44" s="92"/>
      <c r="EZ44" s="92"/>
      <c r="FA44" s="92"/>
      <c r="FB44" s="92"/>
      <c r="FC44" s="92"/>
      <c r="FD44" s="92"/>
      <c r="FE44" s="92"/>
      <c r="FF44" s="92"/>
      <c r="FG44" s="92"/>
      <c r="FH44" s="92"/>
      <c r="FI44" s="92"/>
      <c r="FJ44" s="92"/>
      <c r="FK44" s="92"/>
      <c r="FL44" s="92"/>
      <c r="FM44" s="92"/>
      <c r="FN44" s="92"/>
      <c r="FO44" s="92"/>
      <c r="FP44" s="92"/>
      <c r="FQ44" s="92"/>
      <c r="FR44" s="92"/>
      <c r="FS44" s="92"/>
      <c r="FT44" s="92"/>
      <c r="FU44" s="92"/>
      <c r="FV44" s="92"/>
      <c r="FW44" s="92"/>
      <c r="FX44" s="92"/>
      <c r="FY44" s="92"/>
      <c r="FZ44" s="92"/>
      <c r="GA44" s="92"/>
      <c r="GB44" s="92"/>
      <c r="GC44" s="92"/>
      <c r="GD44" s="92"/>
      <c r="GE44" s="92"/>
      <c r="GF44" s="92"/>
      <c r="GG44" s="92"/>
      <c r="GH44" s="92"/>
      <c r="GI44" s="92"/>
      <c r="GJ44" s="92"/>
      <c r="GK44" s="92"/>
      <c r="GL44" s="92"/>
      <c r="GM44" s="92"/>
      <c r="GN44" s="92"/>
      <c r="GO44" s="92"/>
      <c r="GP44" s="92"/>
      <c r="GQ44" s="92"/>
      <c r="GR44" s="92"/>
      <c r="GS44" s="92"/>
      <c r="GT44" s="92"/>
      <c r="GU44" s="92"/>
      <c r="GV44" s="92"/>
      <c r="GW44" s="92"/>
      <c r="GX44" s="92"/>
      <c r="GY44" s="92"/>
      <c r="GZ44" s="92"/>
      <c r="HA44" s="92"/>
      <c r="HB44" s="92"/>
      <c r="HC44" s="92"/>
      <c r="HD44" s="92"/>
      <c r="HE44" s="92"/>
      <c r="HF44" s="92"/>
      <c r="HG44" s="92"/>
      <c r="HH44" s="92"/>
      <c r="HI44" s="92"/>
      <c r="HJ44" s="92"/>
      <c r="HK44" s="92"/>
      <c r="HL44" s="92"/>
      <c r="HM44" s="92"/>
      <c r="HN44" s="92"/>
      <c r="HO44" s="92"/>
      <c r="HP44" s="92"/>
      <c r="HQ44" s="92"/>
      <c r="HR44" s="92"/>
      <c r="HS44" s="92"/>
      <c r="HT44" s="92"/>
      <c r="HU44" s="92"/>
      <c r="HV44" s="92"/>
      <c r="HW44" s="92"/>
      <c r="HX44" s="92"/>
      <c r="HY44" s="92"/>
      <c r="HZ44" s="92"/>
      <c r="IA44" s="92"/>
      <c r="IB44" s="92"/>
      <c r="IC44" s="92"/>
      <c r="ID44" s="92"/>
      <c r="IE44" s="92"/>
      <c r="IF44" s="92"/>
      <c r="IG44" s="92"/>
      <c r="IH44" s="92"/>
      <c r="II44" s="92"/>
      <c r="IJ44" s="92"/>
      <c r="IK44" s="92"/>
      <c r="IL44" s="92"/>
      <c r="IM44" s="92"/>
      <c r="IN44" s="92"/>
      <c r="IO44" s="92"/>
      <c r="IP44" s="92"/>
      <c r="IQ44" s="92"/>
      <c r="IR44" s="92"/>
      <c r="IS44" s="92"/>
      <c r="IT44" s="92"/>
      <c r="IU44" s="92"/>
      <c r="IV44" s="92"/>
      <c r="IW44" s="92"/>
      <c r="IX44" s="92"/>
      <c r="IY44" s="92"/>
      <c r="IZ44" s="92"/>
      <c r="JA44" s="92"/>
      <c r="JB44" s="92"/>
      <c r="JC44" s="92"/>
      <c r="JD44" s="92"/>
      <c r="JE44" s="92"/>
      <c r="JF44" s="92"/>
      <c r="JG44" s="92"/>
      <c r="JH44" s="92"/>
      <c r="JI44" s="92"/>
      <c r="JJ44" s="92"/>
      <c r="JK44" s="92"/>
      <c r="JL44" s="92"/>
      <c r="JM44" s="92"/>
      <c r="JN44" s="92"/>
      <c r="JO44" s="92"/>
      <c r="JP44" s="92"/>
      <c r="JQ44" s="92"/>
      <c r="JR44" s="92"/>
      <c r="JS44" s="92"/>
      <c r="JT44" s="92"/>
      <c r="JU44" s="92"/>
      <c r="JV44" s="92"/>
      <c r="JW44" s="92"/>
      <c r="JX44" s="92"/>
      <c r="JY44" s="92"/>
      <c r="JZ44" s="92"/>
      <c r="KA44" s="92"/>
      <c r="KB44" s="92"/>
      <c r="KC44" s="92"/>
      <c r="KD44" s="92"/>
      <c r="KE44" s="92"/>
      <c r="KF44" s="92"/>
      <c r="KG44" s="92"/>
      <c r="KH44" s="92"/>
      <c r="KI44" s="92"/>
      <c r="KJ44" s="92"/>
      <c r="KK44" s="92"/>
      <c r="KL44" s="92"/>
      <c r="KM44" s="92"/>
      <c r="KN44" s="92"/>
      <c r="KO44" s="92"/>
      <c r="KP44" s="92"/>
      <c r="KQ44" s="88"/>
      <c r="KR44" s="92"/>
      <c r="KS44" s="92"/>
      <c r="KT44" s="92"/>
      <c r="KU44" s="93"/>
      <c r="KV44" s="92"/>
      <c r="KW44" s="93"/>
      <c r="KX44" s="92"/>
      <c r="KY44" s="93"/>
      <c r="KZ44" s="92"/>
      <c r="LA44" s="93"/>
      <c r="LB44" s="92"/>
      <c r="LC44" s="93"/>
      <c r="LD44" s="92"/>
      <c r="LE44" s="93"/>
      <c r="LF44" s="92"/>
      <c r="LG44" s="92"/>
      <c r="LH44" s="92"/>
      <c r="LI44" s="92"/>
      <c r="LJ44" s="92"/>
      <c r="LK44" s="92"/>
      <c r="LL44" s="92"/>
      <c r="LM44" s="92"/>
      <c r="LN44" s="92"/>
      <c r="LO44" s="92"/>
      <c r="LP44" s="88"/>
      <c r="LQ44" s="93"/>
      <c r="LR44" s="88"/>
      <c r="LS44" s="93"/>
      <c r="LT44" s="93"/>
      <c r="LU44" s="93"/>
      <c r="LV44" s="93"/>
      <c r="LW44" s="93"/>
      <c r="LX44" s="93"/>
      <c r="LY44" s="93"/>
      <c r="LZ44" s="93"/>
      <c r="MA44" s="93"/>
      <c r="MB44" s="93"/>
      <c r="MC44" s="94"/>
      <c r="MD44" s="94"/>
      <c r="ME44" s="94"/>
      <c r="MF44" s="94"/>
      <c r="MG44" s="94"/>
      <c r="MH44" s="94"/>
      <c r="MI44" s="94"/>
      <c r="MJ44" s="94"/>
      <c r="MK44" s="94"/>
      <c r="ML44" s="94"/>
      <c r="MM44" s="94"/>
      <c r="MN44" s="94"/>
      <c r="MO44" s="95"/>
      <c r="MP44" s="95"/>
      <c r="MQ44" s="94"/>
      <c r="MR44" s="94"/>
      <c r="MS44" s="94"/>
      <c r="MT44" s="94"/>
      <c r="MU44" s="94"/>
      <c r="MV44" s="94"/>
      <c r="MW44" s="94"/>
      <c r="MX44" s="94"/>
      <c r="MY44" s="94"/>
      <c r="MZ44" s="94"/>
      <c r="NA44" s="94"/>
      <c r="NB44" s="94"/>
      <c r="NC44" s="94"/>
      <c r="ND44" s="94"/>
      <c r="NE44" s="94"/>
      <c r="NF44" s="94"/>
      <c r="NG44" s="94"/>
      <c r="NH44" s="94"/>
      <c r="NI44" s="94"/>
      <c r="NJ44" s="94"/>
    </row>
    <row r="45" spans="1:374" x14ac:dyDescent="0.25">
      <c r="A45" s="88"/>
      <c r="B45" s="88"/>
      <c r="C45" s="88"/>
      <c r="D45" s="88"/>
      <c r="E45" s="89"/>
      <c r="F45" s="88"/>
      <c r="G45" s="88"/>
      <c r="H45" s="88" t="str">
        <f t="shared" si="26"/>
        <v xml:space="preserve">  </v>
      </c>
      <c r="I45" s="88"/>
      <c r="J45" s="88"/>
      <c r="K45" s="88"/>
      <c r="L45" s="88"/>
      <c r="M45" s="88"/>
      <c r="N45" s="88"/>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1"/>
      <c r="AR45" s="75"/>
      <c r="AS45" s="91"/>
      <c r="AT45" s="91"/>
      <c r="AU45" s="90"/>
      <c r="AV45" s="91"/>
      <c r="AW45" s="91"/>
      <c r="AX45" s="91"/>
      <c r="AY45" s="91"/>
      <c r="AZ45" s="91"/>
      <c r="BA45" s="91"/>
      <c r="BB45" s="90"/>
      <c r="BC45" s="91"/>
      <c r="BD45" s="75"/>
      <c r="BE45" s="91"/>
      <c r="BF45" s="91"/>
      <c r="BG45" s="90"/>
      <c r="BH45" s="91"/>
      <c r="BI45" s="91"/>
      <c r="BJ45" s="91"/>
      <c r="BK45" s="91"/>
      <c r="BL45" s="91"/>
      <c r="BM45" s="91"/>
      <c r="BN45" s="90"/>
      <c r="BO45" s="91"/>
      <c r="BP45" s="75"/>
      <c r="BQ45" s="91"/>
      <c r="BR45" s="91"/>
      <c r="BS45" s="90"/>
      <c r="BT45" s="91"/>
      <c r="BU45" s="91"/>
      <c r="BV45" s="91"/>
      <c r="BW45" s="91"/>
      <c r="BX45" s="91"/>
      <c r="BY45" s="91"/>
      <c r="BZ45" s="90"/>
      <c r="CA45" s="91"/>
      <c r="CB45" s="75"/>
      <c r="CC45" s="91"/>
      <c r="CD45" s="91"/>
      <c r="CE45" s="90"/>
      <c r="CF45" s="91"/>
      <c r="CG45" s="91"/>
      <c r="CH45" s="91"/>
      <c r="CI45" s="91"/>
      <c r="CJ45" s="91"/>
      <c r="CK45" s="91"/>
      <c r="CL45" s="90"/>
      <c r="CM45" s="91"/>
      <c r="CN45" s="75"/>
      <c r="CO45" s="91"/>
      <c r="CP45" s="91"/>
      <c r="CQ45" s="90"/>
      <c r="CR45" s="91"/>
      <c r="CS45" s="91"/>
      <c r="CT45" s="91"/>
      <c r="CU45" s="91"/>
      <c r="CV45" s="91"/>
      <c r="CW45" s="91"/>
      <c r="CX45" s="90"/>
      <c r="CY45" s="91"/>
      <c r="CZ45" s="75"/>
      <c r="DA45" s="91"/>
      <c r="DB45" s="91"/>
      <c r="DC45" s="90"/>
      <c r="DD45" s="91"/>
      <c r="DE45" s="91"/>
      <c r="DF45" s="91"/>
      <c r="DG45" s="91"/>
      <c r="DH45" s="91"/>
      <c r="DI45" s="91"/>
      <c r="DJ45" s="90"/>
      <c r="DK45" s="91"/>
      <c r="DL45" s="75"/>
      <c r="DM45" s="75"/>
      <c r="DN45" s="75">
        <f t="shared" si="1"/>
        <v>0</v>
      </c>
      <c r="DO45" s="75" t="str">
        <f t="shared" si="2"/>
        <v/>
      </c>
      <c r="DP45" s="91" t="str">
        <f>IFERROR(#REF!/#REF!*1000,"")</f>
        <v/>
      </c>
      <c r="DQ45" s="91" t="str">
        <f>IFERROR(#REF!/#REF!*1000,"")</f>
        <v/>
      </c>
      <c r="DR45" s="90"/>
      <c r="DS45" s="91" t="str">
        <f>IFERROR(#REF!/#REF!*1000,"")</f>
        <v/>
      </c>
      <c r="DT45" s="91" t="str">
        <f>IFERROR(#REF!/#REF!*1000,"")</f>
        <v/>
      </c>
      <c r="DU45" s="91"/>
      <c r="DV45" s="91"/>
      <c r="DW45" s="91"/>
      <c r="DX45" s="91"/>
      <c r="DY45" s="90"/>
      <c r="DZ45" s="91"/>
      <c r="EA45" s="75"/>
      <c r="EB45" s="91"/>
      <c r="EC45" s="91"/>
      <c r="ED45" s="90"/>
      <c r="EE45" s="91"/>
      <c r="EF45" s="91"/>
      <c r="EG45" s="91"/>
      <c r="EH45" s="91"/>
      <c r="EI45" s="91"/>
      <c r="EJ45" s="91"/>
      <c r="EK45" s="90"/>
      <c r="EL45" s="90"/>
      <c r="EM45" s="88"/>
      <c r="EN45" s="92"/>
      <c r="EO45" s="92"/>
      <c r="EP45" s="92"/>
      <c r="EQ45" s="92"/>
      <c r="ER45" s="92"/>
      <c r="ES45" s="92"/>
      <c r="ET45" s="92"/>
      <c r="EU45" s="92"/>
      <c r="EV45" s="92"/>
      <c r="EW45" s="92"/>
      <c r="EX45" s="92"/>
      <c r="EY45" s="92"/>
      <c r="EZ45" s="92"/>
      <c r="FA45" s="92"/>
      <c r="FB45" s="92"/>
      <c r="FC45" s="92"/>
      <c r="FD45" s="92"/>
      <c r="FE45" s="92"/>
      <c r="FF45" s="92"/>
      <c r="FG45" s="92"/>
      <c r="FH45" s="92"/>
      <c r="FI45" s="92"/>
      <c r="FJ45" s="92"/>
      <c r="FK45" s="92"/>
      <c r="FL45" s="92"/>
      <c r="FM45" s="92"/>
      <c r="FN45" s="92"/>
      <c r="FO45" s="92"/>
      <c r="FP45" s="92"/>
      <c r="FQ45" s="92"/>
      <c r="FR45" s="92"/>
      <c r="FS45" s="92"/>
      <c r="FT45" s="92"/>
      <c r="FU45" s="92"/>
      <c r="FV45" s="92"/>
      <c r="FW45" s="92"/>
      <c r="FX45" s="92"/>
      <c r="FY45" s="92"/>
      <c r="FZ45" s="92"/>
      <c r="GA45" s="92"/>
      <c r="GB45" s="92"/>
      <c r="GC45" s="92"/>
      <c r="GD45" s="92"/>
      <c r="GE45" s="92"/>
      <c r="GF45" s="92"/>
      <c r="GG45" s="92"/>
      <c r="GH45" s="92"/>
      <c r="GI45" s="92"/>
      <c r="GJ45" s="92"/>
      <c r="GK45" s="92"/>
      <c r="GL45" s="92"/>
      <c r="GM45" s="92"/>
      <c r="GN45" s="92"/>
      <c r="GO45" s="92"/>
      <c r="GP45" s="92"/>
      <c r="GQ45" s="92"/>
      <c r="GR45" s="92"/>
      <c r="GS45" s="92"/>
      <c r="GT45" s="92"/>
      <c r="GU45" s="92"/>
      <c r="GV45" s="92"/>
      <c r="GW45" s="92"/>
      <c r="GX45" s="92"/>
      <c r="GY45" s="92"/>
      <c r="GZ45" s="92"/>
      <c r="HA45" s="92"/>
      <c r="HB45" s="92"/>
      <c r="HC45" s="92"/>
      <c r="HD45" s="92"/>
      <c r="HE45" s="92"/>
      <c r="HF45" s="92"/>
      <c r="HG45" s="92"/>
      <c r="HH45" s="92"/>
      <c r="HI45" s="92"/>
      <c r="HJ45" s="92"/>
      <c r="HK45" s="92"/>
      <c r="HL45" s="92"/>
      <c r="HM45" s="92"/>
      <c r="HN45" s="92"/>
      <c r="HO45" s="92"/>
      <c r="HP45" s="92"/>
      <c r="HQ45" s="92"/>
      <c r="HR45" s="92"/>
      <c r="HS45" s="92"/>
      <c r="HT45" s="92"/>
      <c r="HU45" s="92"/>
      <c r="HV45" s="92"/>
      <c r="HW45" s="92"/>
      <c r="HX45" s="92"/>
      <c r="HY45" s="92"/>
      <c r="HZ45" s="92"/>
      <c r="IA45" s="92"/>
      <c r="IB45" s="92"/>
      <c r="IC45" s="92"/>
      <c r="ID45" s="92"/>
      <c r="IE45" s="92"/>
      <c r="IF45" s="92"/>
      <c r="IG45" s="92"/>
      <c r="IH45" s="92"/>
      <c r="II45" s="92"/>
      <c r="IJ45" s="92"/>
      <c r="IK45" s="92"/>
      <c r="IL45" s="92"/>
      <c r="IM45" s="92"/>
      <c r="IN45" s="92"/>
      <c r="IO45" s="92"/>
      <c r="IP45" s="92"/>
      <c r="IQ45" s="92"/>
      <c r="IR45" s="92"/>
      <c r="IS45" s="92"/>
      <c r="IT45" s="92"/>
      <c r="IU45" s="92"/>
      <c r="IV45" s="92"/>
      <c r="IW45" s="92"/>
      <c r="IX45" s="92"/>
      <c r="IY45" s="92"/>
      <c r="IZ45" s="92"/>
      <c r="JA45" s="92"/>
      <c r="JB45" s="92"/>
      <c r="JC45" s="92"/>
      <c r="JD45" s="92"/>
      <c r="JE45" s="92"/>
      <c r="JF45" s="92"/>
      <c r="JG45" s="92"/>
      <c r="JH45" s="92"/>
      <c r="JI45" s="92"/>
      <c r="JJ45" s="92"/>
      <c r="JK45" s="92"/>
      <c r="JL45" s="92"/>
      <c r="JM45" s="92"/>
      <c r="JN45" s="92"/>
      <c r="JO45" s="92"/>
      <c r="JP45" s="92"/>
      <c r="JQ45" s="92"/>
      <c r="JR45" s="92"/>
      <c r="JS45" s="92"/>
      <c r="JT45" s="92"/>
      <c r="JU45" s="92"/>
      <c r="JV45" s="92"/>
      <c r="JW45" s="92"/>
      <c r="JX45" s="92"/>
      <c r="JY45" s="92"/>
      <c r="JZ45" s="92"/>
      <c r="KA45" s="92"/>
      <c r="KB45" s="92"/>
      <c r="KC45" s="92"/>
      <c r="KD45" s="92"/>
      <c r="KE45" s="92"/>
      <c r="KF45" s="92"/>
      <c r="KG45" s="92"/>
      <c r="KH45" s="92"/>
      <c r="KI45" s="92"/>
      <c r="KJ45" s="92"/>
      <c r="KK45" s="92"/>
      <c r="KL45" s="92"/>
      <c r="KM45" s="92"/>
      <c r="KN45" s="92"/>
      <c r="KO45" s="92"/>
      <c r="KP45" s="92"/>
      <c r="KQ45" s="88"/>
      <c r="KR45" s="92"/>
      <c r="KS45" s="92"/>
      <c r="KT45" s="92"/>
      <c r="KU45" s="93"/>
      <c r="KV45" s="92"/>
      <c r="KW45" s="93"/>
      <c r="KX45" s="92"/>
      <c r="KY45" s="93"/>
      <c r="KZ45" s="92"/>
      <c r="LA45" s="93"/>
      <c r="LB45" s="92"/>
      <c r="LC45" s="93"/>
      <c r="LD45" s="92"/>
      <c r="LE45" s="93"/>
      <c r="LF45" s="92"/>
      <c r="LG45" s="92"/>
      <c r="LH45" s="92"/>
      <c r="LI45" s="92"/>
      <c r="LJ45" s="92"/>
      <c r="LK45" s="92"/>
      <c r="LL45" s="92"/>
      <c r="LM45" s="92"/>
      <c r="LN45" s="92"/>
      <c r="LO45" s="92"/>
      <c r="LP45" s="88"/>
      <c r="LQ45" s="93"/>
      <c r="LR45" s="88"/>
      <c r="LS45" s="93"/>
      <c r="LT45" s="93"/>
      <c r="LU45" s="93"/>
      <c r="LV45" s="93"/>
      <c r="LW45" s="93"/>
      <c r="LX45" s="93"/>
      <c r="LY45" s="93"/>
      <c r="LZ45" s="93"/>
      <c r="MA45" s="93"/>
      <c r="MB45" s="93"/>
      <c r="MC45" s="94"/>
      <c r="MD45" s="94"/>
      <c r="ME45" s="94"/>
      <c r="MF45" s="94"/>
      <c r="MG45" s="94"/>
      <c r="MH45" s="94"/>
      <c r="MI45" s="94"/>
      <c r="MJ45" s="94"/>
      <c r="MK45" s="94"/>
      <c r="ML45" s="94"/>
      <c r="MM45" s="94"/>
      <c r="MN45" s="94"/>
      <c r="MO45" s="95"/>
      <c r="MP45" s="95"/>
      <c r="MQ45" s="94"/>
      <c r="MR45" s="94"/>
      <c r="MS45" s="94"/>
      <c r="MT45" s="94"/>
      <c r="MU45" s="94"/>
      <c r="MV45" s="94"/>
      <c r="MW45" s="94"/>
      <c r="MX45" s="94"/>
      <c r="MY45" s="94"/>
      <c r="MZ45" s="94"/>
      <c r="NA45" s="94"/>
      <c r="NB45" s="94"/>
      <c r="NC45" s="94"/>
      <c r="ND45" s="94"/>
      <c r="NE45" s="94"/>
      <c r="NF45" s="94"/>
      <c r="NG45" s="94"/>
      <c r="NH45" s="94"/>
      <c r="NI45" s="94"/>
      <c r="NJ45" s="94"/>
    </row>
    <row r="46" spans="1:374" x14ac:dyDescent="0.25">
      <c r="A46" s="88"/>
      <c r="B46" s="88"/>
      <c r="C46" s="88"/>
      <c r="D46" s="88"/>
      <c r="E46" s="89"/>
      <c r="F46" s="88"/>
      <c r="G46" s="88"/>
      <c r="H46" s="88" t="str">
        <f t="shared" si="26"/>
        <v xml:space="preserve">  </v>
      </c>
      <c r="I46" s="88"/>
      <c r="J46" s="88"/>
      <c r="K46" s="88"/>
      <c r="L46" s="88"/>
      <c r="M46" s="88"/>
      <c r="N46" s="88"/>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1"/>
      <c r="AR46" s="75"/>
      <c r="AS46" s="91"/>
      <c r="AT46" s="91"/>
      <c r="AU46" s="90"/>
      <c r="AV46" s="91"/>
      <c r="AW46" s="91"/>
      <c r="AX46" s="91"/>
      <c r="AY46" s="91"/>
      <c r="AZ46" s="91"/>
      <c r="BA46" s="91"/>
      <c r="BB46" s="90"/>
      <c r="BC46" s="91"/>
      <c r="BD46" s="75"/>
      <c r="BE46" s="91"/>
      <c r="BF46" s="91"/>
      <c r="BG46" s="90"/>
      <c r="BH46" s="91"/>
      <c r="BI46" s="91"/>
      <c r="BJ46" s="91"/>
      <c r="BK46" s="91"/>
      <c r="BL46" s="91"/>
      <c r="BM46" s="91"/>
      <c r="BN46" s="90"/>
      <c r="BO46" s="91"/>
      <c r="BP46" s="75"/>
      <c r="BQ46" s="91"/>
      <c r="BR46" s="91"/>
      <c r="BS46" s="90"/>
      <c r="BT46" s="91"/>
      <c r="BU46" s="91"/>
      <c r="BV46" s="91"/>
      <c r="BW46" s="91"/>
      <c r="BX46" s="91"/>
      <c r="BY46" s="91"/>
      <c r="BZ46" s="90"/>
      <c r="CA46" s="91"/>
      <c r="CB46" s="75"/>
      <c r="CC46" s="91"/>
      <c r="CD46" s="91"/>
      <c r="CE46" s="90"/>
      <c r="CF46" s="91"/>
      <c r="CG46" s="91"/>
      <c r="CH46" s="91"/>
      <c r="CI46" s="91"/>
      <c r="CJ46" s="91"/>
      <c r="CK46" s="91"/>
      <c r="CL46" s="90"/>
      <c r="CM46" s="91"/>
      <c r="CN46" s="75"/>
      <c r="CO46" s="91"/>
      <c r="CP46" s="91"/>
      <c r="CQ46" s="90"/>
      <c r="CR46" s="91"/>
      <c r="CS46" s="91"/>
      <c r="CT46" s="91"/>
      <c r="CU46" s="91"/>
      <c r="CV46" s="91"/>
      <c r="CW46" s="91"/>
      <c r="CX46" s="90"/>
      <c r="CY46" s="91"/>
      <c r="CZ46" s="75"/>
      <c r="DA46" s="91"/>
      <c r="DB46" s="91"/>
      <c r="DC46" s="90"/>
      <c r="DD46" s="91"/>
      <c r="DE46" s="91"/>
      <c r="DF46" s="91"/>
      <c r="DG46" s="91"/>
      <c r="DH46" s="91"/>
      <c r="DI46" s="91"/>
      <c r="DJ46" s="90"/>
      <c r="DK46" s="91"/>
      <c r="DL46" s="75"/>
      <c r="DM46" s="75"/>
      <c r="DN46" s="75">
        <f t="shared" si="1"/>
        <v>0</v>
      </c>
      <c r="DO46" s="75" t="str">
        <f t="shared" si="2"/>
        <v/>
      </c>
      <c r="DP46" s="91" t="str">
        <f>IFERROR(#REF!/#REF!*1000,"")</f>
        <v/>
      </c>
      <c r="DQ46" s="91" t="str">
        <f>IFERROR(#REF!/#REF!*1000,"")</f>
        <v/>
      </c>
      <c r="DR46" s="90"/>
      <c r="DS46" s="91" t="str">
        <f>IFERROR(#REF!/#REF!*1000,"")</f>
        <v/>
      </c>
      <c r="DT46" s="91" t="str">
        <f>IFERROR(#REF!/#REF!*1000,"")</f>
        <v/>
      </c>
      <c r="DU46" s="91"/>
      <c r="DV46" s="91"/>
      <c r="DW46" s="91"/>
      <c r="DX46" s="91"/>
      <c r="DY46" s="90"/>
      <c r="DZ46" s="91"/>
      <c r="EA46" s="75"/>
      <c r="EB46" s="91"/>
      <c r="EC46" s="91"/>
      <c r="ED46" s="90"/>
      <c r="EE46" s="91"/>
      <c r="EF46" s="91"/>
      <c r="EG46" s="91"/>
      <c r="EH46" s="91"/>
      <c r="EI46" s="91"/>
      <c r="EJ46" s="91"/>
      <c r="EK46" s="90"/>
      <c r="EL46" s="90"/>
      <c r="EM46" s="88"/>
      <c r="EN46" s="92"/>
      <c r="EO46" s="92"/>
      <c r="EP46" s="92"/>
      <c r="EQ46" s="92"/>
      <c r="ER46" s="92"/>
      <c r="ES46" s="92"/>
      <c r="ET46" s="92"/>
      <c r="EU46" s="92"/>
      <c r="EV46" s="92"/>
      <c r="EW46" s="92"/>
      <c r="EX46" s="92"/>
      <c r="EY46" s="92"/>
      <c r="EZ46" s="92"/>
      <c r="FA46" s="92"/>
      <c r="FB46" s="92"/>
      <c r="FC46" s="92"/>
      <c r="FD46" s="92"/>
      <c r="FE46" s="92"/>
      <c r="FF46" s="92"/>
      <c r="FG46" s="92"/>
      <c r="FH46" s="92"/>
      <c r="FI46" s="92"/>
      <c r="FJ46" s="92"/>
      <c r="FK46" s="92"/>
      <c r="FL46" s="92"/>
      <c r="FM46" s="92"/>
      <c r="FN46" s="92"/>
      <c r="FO46" s="92"/>
      <c r="FP46" s="92"/>
      <c r="FQ46" s="92"/>
      <c r="FR46" s="92"/>
      <c r="FS46" s="92"/>
      <c r="FT46" s="92"/>
      <c r="FU46" s="92"/>
      <c r="FV46" s="92"/>
      <c r="FW46" s="92"/>
      <c r="FX46" s="92"/>
      <c r="FY46" s="92"/>
      <c r="FZ46" s="92"/>
      <c r="GA46" s="92"/>
      <c r="GB46" s="92"/>
      <c r="GC46" s="92"/>
      <c r="GD46" s="92"/>
      <c r="GE46" s="92"/>
      <c r="GF46" s="92"/>
      <c r="GG46" s="92"/>
      <c r="GH46" s="92"/>
      <c r="GI46" s="92"/>
      <c r="GJ46" s="92"/>
      <c r="GK46" s="92"/>
      <c r="GL46" s="92"/>
      <c r="GM46" s="92"/>
      <c r="GN46" s="92"/>
      <c r="GO46" s="92"/>
      <c r="GP46" s="92"/>
      <c r="GQ46" s="92"/>
      <c r="GR46" s="92"/>
      <c r="GS46" s="92"/>
      <c r="GT46" s="92"/>
      <c r="GU46" s="92"/>
      <c r="GV46" s="92"/>
      <c r="GW46" s="92"/>
      <c r="GX46" s="92"/>
      <c r="GY46" s="92"/>
      <c r="GZ46" s="92"/>
      <c r="HA46" s="92"/>
      <c r="HB46" s="92"/>
      <c r="HC46" s="92"/>
      <c r="HD46" s="92"/>
      <c r="HE46" s="92"/>
      <c r="HF46" s="92"/>
      <c r="HG46" s="92"/>
      <c r="HH46" s="92"/>
      <c r="HI46" s="92"/>
      <c r="HJ46" s="92"/>
      <c r="HK46" s="92"/>
      <c r="HL46" s="92"/>
      <c r="HM46" s="92"/>
      <c r="HN46" s="92"/>
      <c r="HO46" s="92"/>
      <c r="HP46" s="92"/>
      <c r="HQ46" s="92"/>
      <c r="HR46" s="92"/>
      <c r="HS46" s="92"/>
      <c r="HT46" s="92"/>
      <c r="HU46" s="92"/>
      <c r="HV46" s="92"/>
      <c r="HW46" s="92"/>
      <c r="HX46" s="92"/>
      <c r="HY46" s="92"/>
      <c r="HZ46" s="92"/>
      <c r="IA46" s="92"/>
      <c r="IB46" s="92"/>
      <c r="IC46" s="92"/>
      <c r="ID46" s="92"/>
      <c r="IE46" s="92"/>
      <c r="IF46" s="92"/>
      <c r="IG46" s="92"/>
      <c r="IH46" s="92"/>
      <c r="II46" s="92"/>
      <c r="IJ46" s="92"/>
      <c r="IK46" s="92"/>
      <c r="IL46" s="92"/>
      <c r="IM46" s="92"/>
      <c r="IN46" s="92"/>
      <c r="IO46" s="92"/>
      <c r="IP46" s="92"/>
      <c r="IQ46" s="92"/>
      <c r="IR46" s="92"/>
      <c r="IS46" s="92"/>
      <c r="IT46" s="92"/>
      <c r="IU46" s="92"/>
      <c r="IV46" s="92"/>
      <c r="IW46" s="92"/>
      <c r="IX46" s="92"/>
      <c r="IY46" s="92"/>
      <c r="IZ46" s="92"/>
      <c r="JA46" s="92"/>
      <c r="JB46" s="92"/>
      <c r="JC46" s="92"/>
      <c r="JD46" s="92"/>
      <c r="JE46" s="92"/>
      <c r="JF46" s="92"/>
      <c r="JG46" s="92"/>
      <c r="JH46" s="92"/>
      <c r="JI46" s="92"/>
      <c r="JJ46" s="92"/>
      <c r="JK46" s="92"/>
      <c r="JL46" s="92"/>
      <c r="JM46" s="92"/>
      <c r="JN46" s="92"/>
      <c r="JO46" s="92"/>
      <c r="JP46" s="92"/>
      <c r="JQ46" s="92"/>
      <c r="JR46" s="92"/>
      <c r="JS46" s="92"/>
      <c r="JT46" s="92"/>
      <c r="JU46" s="92"/>
      <c r="JV46" s="92"/>
      <c r="JW46" s="92"/>
      <c r="JX46" s="92"/>
      <c r="JY46" s="92"/>
      <c r="JZ46" s="92"/>
      <c r="KA46" s="92"/>
      <c r="KB46" s="92"/>
      <c r="KC46" s="92"/>
      <c r="KD46" s="92"/>
      <c r="KE46" s="92"/>
      <c r="KF46" s="92"/>
      <c r="KG46" s="92"/>
      <c r="KH46" s="92"/>
      <c r="KI46" s="92"/>
      <c r="KJ46" s="92"/>
      <c r="KK46" s="92"/>
      <c r="KL46" s="92"/>
      <c r="KM46" s="92"/>
      <c r="KN46" s="92"/>
      <c r="KO46" s="92"/>
      <c r="KP46" s="92"/>
      <c r="KQ46" s="88"/>
      <c r="KR46" s="92"/>
      <c r="KS46" s="92"/>
      <c r="KT46" s="92"/>
      <c r="KU46" s="93"/>
      <c r="KV46" s="92"/>
      <c r="KW46" s="93"/>
      <c r="KX46" s="92"/>
      <c r="KY46" s="93"/>
      <c r="KZ46" s="92"/>
      <c r="LA46" s="93"/>
      <c r="LB46" s="92"/>
      <c r="LC46" s="93"/>
      <c r="LD46" s="92"/>
      <c r="LE46" s="93"/>
      <c r="LF46" s="92"/>
      <c r="LG46" s="92"/>
      <c r="LH46" s="92"/>
      <c r="LI46" s="92"/>
      <c r="LJ46" s="92"/>
      <c r="LK46" s="92"/>
      <c r="LL46" s="92"/>
      <c r="LM46" s="92"/>
      <c r="LN46" s="92"/>
      <c r="LO46" s="92"/>
      <c r="LP46" s="88"/>
      <c r="LQ46" s="93"/>
      <c r="LR46" s="88"/>
      <c r="LS46" s="93"/>
      <c r="LT46" s="93"/>
      <c r="LU46" s="93"/>
      <c r="LV46" s="93"/>
      <c r="LW46" s="93"/>
      <c r="LX46" s="93"/>
      <c r="LY46" s="93"/>
      <c r="LZ46" s="93"/>
      <c r="MA46" s="93"/>
      <c r="MB46" s="93"/>
      <c r="MC46" s="94"/>
      <c r="MD46" s="94"/>
      <c r="ME46" s="94"/>
      <c r="MF46" s="94"/>
      <c r="MG46" s="94"/>
      <c r="MH46" s="94"/>
      <c r="MI46" s="94"/>
      <c r="MJ46" s="94"/>
      <c r="MK46" s="94"/>
      <c r="ML46" s="94"/>
      <c r="MM46" s="94"/>
      <c r="MN46" s="94"/>
      <c r="MO46" s="95"/>
      <c r="MP46" s="95"/>
      <c r="MQ46" s="94"/>
      <c r="MR46" s="94"/>
      <c r="MS46" s="94"/>
      <c r="MT46" s="94"/>
      <c r="MU46" s="94"/>
      <c r="MV46" s="94"/>
      <c r="MW46" s="94"/>
      <c r="MX46" s="94"/>
      <c r="MY46" s="94"/>
      <c r="MZ46" s="94"/>
      <c r="NA46" s="94"/>
      <c r="NB46" s="94"/>
      <c r="NC46" s="94"/>
      <c r="ND46" s="94"/>
      <c r="NE46" s="94"/>
      <c r="NF46" s="94"/>
      <c r="NG46" s="94"/>
      <c r="NH46" s="94"/>
      <c r="NI46" s="94"/>
      <c r="NJ46" s="94"/>
    </row>
    <row r="47" spans="1:374" x14ac:dyDescent="0.25">
      <c r="A47" s="88"/>
      <c r="B47" s="88"/>
      <c r="C47" s="88"/>
      <c r="D47" s="88"/>
      <c r="E47" s="89"/>
      <c r="F47" s="88"/>
      <c r="G47" s="88"/>
      <c r="H47" s="88" t="str">
        <f t="shared" si="26"/>
        <v xml:space="preserve">  </v>
      </c>
      <c r="I47" s="88"/>
      <c r="J47" s="88"/>
      <c r="K47" s="88"/>
      <c r="L47" s="88"/>
      <c r="M47" s="88"/>
      <c r="N47" s="88"/>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1"/>
      <c r="AR47" s="75"/>
      <c r="AS47" s="91"/>
      <c r="AT47" s="91"/>
      <c r="AU47" s="90"/>
      <c r="AV47" s="91"/>
      <c r="AW47" s="91"/>
      <c r="AX47" s="91"/>
      <c r="AY47" s="91"/>
      <c r="AZ47" s="91"/>
      <c r="BA47" s="91"/>
      <c r="BB47" s="90"/>
      <c r="BC47" s="91"/>
      <c r="BD47" s="75"/>
      <c r="BE47" s="91"/>
      <c r="BF47" s="91"/>
      <c r="BG47" s="90"/>
      <c r="BH47" s="91"/>
      <c r="BI47" s="91"/>
      <c r="BJ47" s="91"/>
      <c r="BK47" s="91"/>
      <c r="BL47" s="91"/>
      <c r="BM47" s="91"/>
      <c r="BN47" s="90"/>
      <c r="BO47" s="91"/>
      <c r="BP47" s="75"/>
      <c r="BQ47" s="91"/>
      <c r="BR47" s="91"/>
      <c r="BS47" s="90"/>
      <c r="BT47" s="91"/>
      <c r="BU47" s="91"/>
      <c r="BV47" s="91"/>
      <c r="BW47" s="91"/>
      <c r="BX47" s="91"/>
      <c r="BY47" s="91"/>
      <c r="BZ47" s="90"/>
      <c r="CA47" s="91"/>
      <c r="CB47" s="75"/>
      <c r="CC47" s="91"/>
      <c r="CD47" s="91"/>
      <c r="CE47" s="90"/>
      <c r="CF47" s="91"/>
      <c r="CG47" s="91"/>
      <c r="CH47" s="91"/>
      <c r="CI47" s="91"/>
      <c r="CJ47" s="91"/>
      <c r="CK47" s="91"/>
      <c r="CL47" s="90"/>
      <c r="CM47" s="91"/>
      <c r="CN47" s="75"/>
      <c r="CO47" s="91"/>
      <c r="CP47" s="91"/>
      <c r="CQ47" s="90"/>
      <c r="CR47" s="91"/>
      <c r="CS47" s="91"/>
      <c r="CT47" s="91"/>
      <c r="CU47" s="91"/>
      <c r="CV47" s="91"/>
      <c r="CW47" s="91"/>
      <c r="CX47" s="90"/>
      <c r="CY47" s="91"/>
      <c r="CZ47" s="75"/>
      <c r="DA47" s="91"/>
      <c r="DB47" s="91"/>
      <c r="DC47" s="90"/>
      <c r="DD47" s="91"/>
      <c r="DE47" s="91"/>
      <c r="DF47" s="91"/>
      <c r="DG47" s="91"/>
      <c r="DH47" s="91"/>
      <c r="DI47" s="91"/>
      <c r="DJ47" s="90"/>
      <c r="DK47" s="91"/>
      <c r="DL47" s="75"/>
      <c r="DM47" s="75"/>
      <c r="DN47" s="75">
        <f t="shared" si="1"/>
        <v>0</v>
      </c>
      <c r="DO47" s="75" t="str">
        <f t="shared" si="2"/>
        <v/>
      </c>
      <c r="DP47" s="91" t="str">
        <f>IFERROR(#REF!/#REF!*1000,"")</f>
        <v/>
      </c>
      <c r="DQ47" s="91" t="str">
        <f>IFERROR(#REF!/#REF!*1000,"")</f>
        <v/>
      </c>
      <c r="DR47" s="90"/>
      <c r="DS47" s="91" t="str">
        <f>IFERROR(#REF!/#REF!*1000,"")</f>
        <v/>
      </c>
      <c r="DT47" s="91" t="str">
        <f>IFERROR(#REF!/#REF!*1000,"")</f>
        <v/>
      </c>
      <c r="DU47" s="91"/>
      <c r="DV47" s="91"/>
      <c r="DW47" s="91"/>
      <c r="DX47" s="91"/>
      <c r="DY47" s="90"/>
      <c r="DZ47" s="91"/>
      <c r="EA47" s="75"/>
      <c r="EB47" s="91"/>
      <c r="EC47" s="91"/>
      <c r="ED47" s="90"/>
      <c r="EE47" s="91"/>
      <c r="EF47" s="91"/>
      <c r="EG47" s="91"/>
      <c r="EH47" s="91"/>
      <c r="EI47" s="91"/>
      <c r="EJ47" s="91"/>
      <c r="EK47" s="90"/>
      <c r="EL47" s="90"/>
      <c r="EM47" s="88"/>
      <c r="EN47" s="92"/>
      <c r="EO47" s="92"/>
      <c r="EP47" s="92"/>
      <c r="EQ47" s="92"/>
      <c r="ER47" s="92"/>
      <c r="ES47" s="92"/>
      <c r="ET47" s="92"/>
      <c r="EU47" s="92"/>
      <c r="EV47" s="92"/>
      <c r="EW47" s="92"/>
      <c r="EX47" s="92"/>
      <c r="EY47" s="92"/>
      <c r="EZ47" s="92"/>
      <c r="FA47" s="92"/>
      <c r="FB47" s="92"/>
      <c r="FC47" s="92"/>
      <c r="FD47" s="92"/>
      <c r="FE47" s="92"/>
      <c r="FF47" s="92"/>
      <c r="FG47" s="92"/>
      <c r="FH47" s="92"/>
      <c r="FI47" s="92"/>
      <c r="FJ47" s="92"/>
      <c r="FK47" s="92"/>
      <c r="FL47" s="92"/>
      <c r="FM47" s="92"/>
      <c r="FN47" s="92"/>
      <c r="FO47" s="92"/>
      <c r="FP47" s="92"/>
      <c r="FQ47" s="92"/>
      <c r="FR47" s="92"/>
      <c r="FS47" s="92"/>
      <c r="FT47" s="92"/>
      <c r="FU47" s="92"/>
      <c r="FV47" s="92"/>
      <c r="FW47" s="92"/>
      <c r="FX47" s="92"/>
      <c r="FY47" s="92"/>
      <c r="FZ47" s="92"/>
      <c r="GA47" s="92"/>
      <c r="GB47" s="92"/>
      <c r="GC47" s="92"/>
      <c r="GD47" s="92"/>
      <c r="GE47" s="92"/>
      <c r="GF47" s="92"/>
      <c r="GG47" s="92"/>
      <c r="GH47" s="92"/>
      <c r="GI47" s="92"/>
      <c r="GJ47" s="92"/>
      <c r="GK47" s="92"/>
      <c r="GL47" s="92"/>
      <c r="GM47" s="92"/>
      <c r="GN47" s="92"/>
      <c r="GO47" s="92"/>
      <c r="GP47" s="92"/>
      <c r="GQ47" s="92"/>
      <c r="GR47" s="92"/>
      <c r="GS47" s="92"/>
      <c r="GT47" s="92"/>
      <c r="GU47" s="92"/>
      <c r="GV47" s="92"/>
      <c r="GW47" s="92"/>
      <c r="GX47" s="92"/>
      <c r="GY47" s="92"/>
      <c r="GZ47" s="92"/>
      <c r="HA47" s="92"/>
      <c r="HB47" s="92"/>
      <c r="HC47" s="92"/>
      <c r="HD47" s="92"/>
      <c r="HE47" s="92"/>
      <c r="HF47" s="92"/>
      <c r="HG47" s="92"/>
      <c r="HH47" s="92"/>
      <c r="HI47" s="92"/>
      <c r="HJ47" s="92"/>
      <c r="HK47" s="92"/>
      <c r="HL47" s="92"/>
      <c r="HM47" s="92"/>
      <c r="HN47" s="92"/>
      <c r="HO47" s="92"/>
      <c r="HP47" s="92"/>
      <c r="HQ47" s="92"/>
      <c r="HR47" s="92"/>
      <c r="HS47" s="92"/>
      <c r="HT47" s="92"/>
      <c r="HU47" s="92"/>
      <c r="HV47" s="92"/>
      <c r="HW47" s="92"/>
      <c r="HX47" s="92"/>
      <c r="HY47" s="92"/>
      <c r="HZ47" s="92"/>
      <c r="IA47" s="92"/>
      <c r="IB47" s="92"/>
      <c r="IC47" s="92"/>
      <c r="ID47" s="92"/>
      <c r="IE47" s="92"/>
      <c r="IF47" s="92"/>
      <c r="IG47" s="92"/>
      <c r="IH47" s="92"/>
      <c r="II47" s="92"/>
      <c r="IJ47" s="92"/>
      <c r="IK47" s="92"/>
      <c r="IL47" s="92"/>
      <c r="IM47" s="92"/>
      <c r="IN47" s="92"/>
      <c r="IO47" s="92"/>
      <c r="IP47" s="92"/>
      <c r="IQ47" s="92"/>
      <c r="IR47" s="92"/>
      <c r="IS47" s="92"/>
      <c r="IT47" s="92"/>
      <c r="IU47" s="92"/>
      <c r="IV47" s="92"/>
      <c r="IW47" s="92"/>
      <c r="IX47" s="92"/>
      <c r="IY47" s="92"/>
      <c r="IZ47" s="92"/>
      <c r="JA47" s="92"/>
      <c r="JB47" s="92"/>
      <c r="JC47" s="92"/>
      <c r="JD47" s="92"/>
      <c r="JE47" s="92"/>
      <c r="JF47" s="92"/>
      <c r="JG47" s="92"/>
      <c r="JH47" s="92"/>
      <c r="JI47" s="92"/>
      <c r="JJ47" s="92"/>
      <c r="JK47" s="92"/>
      <c r="JL47" s="92"/>
      <c r="JM47" s="92"/>
      <c r="JN47" s="92"/>
      <c r="JO47" s="92"/>
      <c r="JP47" s="92"/>
      <c r="JQ47" s="92"/>
      <c r="JR47" s="92"/>
      <c r="JS47" s="92"/>
      <c r="JT47" s="92"/>
      <c r="JU47" s="92"/>
      <c r="JV47" s="92"/>
      <c r="JW47" s="92"/>
      <c r="JX47" s="92"/>
      <c r="JY47" s="92"/>
      <c r="JZ47" s="92"/>
      <c r="KA47" s="92"/>
      <c r="KB47" s="92"/>
      <c r="KC47" s="92"/>
      <c r="KD47" s="92"/>
      <c r="KE47" s="92"/>
      <c r="KF47" s="92"/>
      <c r="KG47" s="92"/>
      <c r="KH47" s="92"/>
      <c r="KI47" s="92"/>
      <c r="KJ47" s="92"/>
      <c r="KK47" s="92"/>
      <c r="KL47" s="92"/>
      <c r="KM47" s="92"/>
      <c r="KN47" s="92"/>
      <c r="KO47" s="92"/>
      <c r="KP47" s="92"/>
      <c r="KQ47" s="88"/>
      <c r="KR47" s="92"/>
      <c r="KS47" s="92"/>
      <c r="KT47" s="92"/>
      <c r="KU47" s="93"/>
      <c r="KV47" s="92"/>
      <c r="KW47" s="93"/>
      <c r="KX47" s="92"/>
      <c r="KY47" s="93"/>
      <c r="KZ47" s="92"/>
      <c r="LA47" s="93"/>
      <c r="LB47" s="92"/>
      <c r="LC47" s="93"/>
      <c r="LD47" s="92"/>
      <c r="LE47" s="93"/>
      <c r="LF47" s="92"/>
      <c r="LG47" s="92"/>
      <c r="LH47" s="92"/>
      <c r="LI47" s="92"/>
      <c r="LJ47" s="92"/>
      <c r="LK47" s="92"/>
      <c r="LL47" s="92"/>
      <c r="LM47" s="92"/>
      <c r="LN47" s="92"/>
      <c r="LO47" s="92"/>
      <c r="LP47" s="88"/>
      <c r="LQ47" s="93"/>
      <c r="LR47" s="88"/>
      <c r="LS47" s="93"/>
      <c r="LT47" s="93"/>
      <c r="LU47" s="93"/>
      <c r="LV47" s="93"/>
      <c r="LW47" s="93"/>
      <c r="LX47" s="93"/>
      <c r="LY47" s="93"/>
      <c r="LZ47" s="93"/>
      <c r="MA47" s="93"/>
      <c r="MB47" s="93"/>
      <c r="MC47" s="94"/>
      <c r="MD47" s="94"/>
      <c r="ME47" s="94"/>
      <c r="MF47" s="94"/>
      <c r="MG47" s="94"/>
      <c r="MH47" s="94"/>
      <c r="MI47" s="94"/>
      <c r="MJ47" s="94"/>
      <c r="MK47" s="94"/>
      <c r="ML47" s="94"/>
      <c r="MM47" s="94"/>
      <c r="MN47" s="94"/>
      <c r="MO47" s="95"/>
      <c r="MP47" s="95"/>
      <c r="MQ47" s="94"/>
      <c r="MR47" s="94"/>
      <c r="MS47" s="94"/>
      <c r="MT47" s="94"/>
      <c r="MU47" s="94"/>
      <c r="MV47" s="94"/>
      <c r="MW47" s="94"/>
      <c r="MX47" s="94"/>
      <c r="MY47" s="94"/>
      <c r="MZ47" s="94"/>
      <c r="NA47" s="94"/>
      <c r="NB47" s="94"/>
      <c r="NC47" s="94"/>
      <c r="ND47" s="94"/>
      <c r="NE47" s="94"/>
      <c r="NF47" s="94"/>
      <c r="NG47" s="94"/>
      <c r="NH47" s="94"/>
      <c r="NI47" s="94"/>
      <c r="NJ47" s="94"/>
    </row>
    <row r="48" spans="1:374" x14ac:dyDescent="0.25">
      <c r="A48" s="88"/>
      <c r="B48" s="88"/>
      <c r="C48" s="88"/>
      <c r="D48" s="88"/>
      <c r="E48" s="89"/>
      <c r="F48" s="88"/>
      <c r="G48" s="88"/>
      <c r="H48" s="88" t="str">
        <f t="shared" si="26"/>
        <v xml:space="preserve">  </v>
      </c>
      <c r="I48" s="88"/>
      <c r="J48" s="88"/>
      <c r="K48" s="88"/>
      <c r="L48" s="88"/>
      <c r="M48" s="88"/>
      <c r="N48" s="88"/>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1"/>
      <c r="AR48" s="75"/>
      <c r="AS48" s="91"/>
      <c r="AT48" s="91"/>
      <c r="AU48" s="90"/>
      <c r="AV48" s="91"/>
      <c r="AW48" s="91"/>
      <c r="AX48" s="91"/>
      <c r="AY48" s="91"/>
      <c r="AZ48" s="91"/>
      <c r="BA48" s="91"/>
      <c r="BB48" s="90"/>
      <c r="BC48" s="91"/>
      <c r="BD48" s="75"/>
      <c r="BE48" s="91"/>
      <c r="BF48" s="91"/>
      <c r="BG48" s="90"/>
      <c r="BH48" s="91"/>
      <c r="BI48" s="91"/>
      <c r="BJ48" s="91"/>
      <c r="BK48" s="91"/>
      <c r="BL48" s="91"/>
      <c r="BM48" s="91"/>
      <c r="BN48" s="90"/>
      <c r="BO48" s="91"/>
      <c r="BP48" s="75"/>
      <c r="BQ48" s="91"/>
      <c r="BR48" s="91"/>
      <c r="BS48" s="90"/>
      <c r="BT48" s="91"/>
      <c r="BU48" s="91"/>
      <c r="BV48" s="91"/>
      <c r="BW48" s="91"/>
      <c r="BX48" s="91"/>
      <c r="BY48" s="91"/>
      <c r="BZ48" s="90"/>
      <c r="CA48" s="91"/>
      <c r="CB48" s="75"/>
      <c r="CC48" s="91"/>
      <c r="CD48" s="91"/>
      <c r="CE48" s="90"/>
      <c r="CF48" s="91"/>
      <c r="CG48" s="91"/>
      <c r="CH48" s="91"/>
      <c r="CI48" s="91"/>
      <c r="CJ48" s="91"/>
      <c r="CK48" s="91"/>
      <c r="CL48" s="90"/>
      <c r="CM48" s="91"/>
      <c r="CN48" s="75"/>
      <c r="CO48" s="91"/>
      <c r="CP48" s="91"/>
      <c r="CQ48" s="90"/>
      <c r="CR48" s="91"/>
      <c r="CS48" s="91"/>
      <c r="CT48" s="91"/>
      <c r="CU48" s="91"/>
      <c r="CV48" s="91"/>
      <c r="CW48" s="91"/>
      <c r="CX48" s="90"/>
      <c r="CY48" s="91"/>
      <c r="CZ48" s="75"/>
      <c r="DA48" s="91"/>
      <c r="DB48" s="91"/>
      <c r="DC48" s="90"/>
      <c r="DD48" s="91"/>
      <c r="DE48" s="91"/>
      <c r="DF48" s="91"/>
      <c r="DG48" s="91"/>
      <c r="DH48" s="91"/>
      <c r="DI48" s="91"/>
      <c r="DJ48" s="90"/>
      <c r="DK48" s="91"/>
      <c r="DL48" s="75"/>
      <c r="DM48" s="75"/>
      <c r="DN48" s="75">
        <f t="shared" si="1"/>
        <v>0</v>
      </c>
      <c r="DO48" s="75" t="str">
        <f t="shared" si="2"/>
        <v/>
      </c>
      <c r="DP48" s="91" t="str">
        <f>IFERROR(#REF!/#REF!*1000,"")</f>
        <v/>
      </c>
      <c r="DQ48" s="91" t="str">
        <f>IFERROR(#REF!/#REF!*1000,"")</f>
        <v/>
      </c>
      <c r="DR48" s="90"/>
      <c r="DS48" s="91" t="str">
        <f>IFERROR(#REF!/#REF!*1000,"")</f>
        <v/>
      </c>
      <c r="DT48" s="91" t="str">
        <f>IFERROR(#REF!/#REF!*1000,"")</f>
        <v/>
      </c>
      <c r="DU48" s="91"/>
      <c r="DV48" s="91"/>
      <c r="DW48" s="91"/>
      <c r="DX48" s="91"/>
      <c r="DY48" s="90"/>
      <c r="DZ48" s="91"/>
      <c r="EA48" s="75"/>
      <c r="EB48" s="91"/>
      <c r="EC48" s="91"/>
      <c r="ED48" s="90"/>
      <c r="EE48" s="91"/>
      <c r="EF48" s="91"/>
      <c r="EG48" s="91"/>
      <c r="EH48" s="91"/>
      <c r="EI48" s="91"/>
      <c r="EJ48" s="91"/>
      <c r="EK48" s="90"/>
      <c r="EL48" s="90"/>
      <c r="EM48" s="88"/>
      <c r="EN48" s="92"/>
      <c r="EO48" s="92"/>
      <c r="EP48" s="92"/>
      <c r="EQ48" s="92"/>
      <c r="ER48" s="92"/>
      <c r="ES48" s="92"/>
      <c r="ET48" s="92"/>
      <c r="EU48" s="92"/>
      <c r="EV48" s="92"/>
      <c r="EW48" s="92"/>
      <c r="EX48" s="92"/>
      <c r="EY48" s="92"/>
      <c r="EZ48" s="92"/>
      <c r="FA48" s="92"/>
      <c r="FB48" s="92"/>
      <c r="FC48" s="92"/>
      <c r="FD48" s="92"/>
      <c r="FE48" s="92"/>
      <c r="FF48" s="92"/>
      <c r="FG48" s="92"/>
      <c r="FH48" s="92"/>
      <c r="FI48" s="92"/>
      <c r="FJ48" s="92"/>
      <c r="FK48" s="92"/>
      <c r="FL48" s="92"/>
      <c r="FM48" s="92"/>
      <c r="FN48" s="92"/>
      <c r="FO48" s="92"/>
      <c r="FP48" s="92"/>
      <c r="FQ48" s="92"/>
      <c r="FR48" s="92"/>
      <c r="FS48" s="92"/>
      <c r="FT48" s="92"/>
      <c r="FU48" s="92"/>
      <c r="FV48" s="92"/>
      <c r="FW48" s="92"/>
      <c r="FX48" s="92"/>
      <c r="FY48" s="92"/>
      <c r="FZ48" s="92"/>
      <c r="GA48" s="92"/>
      <c r="GB48" s="92"/>
      <c r="GC48" s="92"/>
      <c r="GD48" s="92"/>
      <c r="GE48" s="92"/>
      <c r="GF48" s="92"/>
      <c r="GG48" s="92"/>
      <c r="GH48" s="92"/>
      <c r="GI48" s="92"/>
      <c r="GJ48" s="92"/>
      <c r="GK48" s="92"/>
      <c r="GL48" s="92"/>
      <c r="GM48" s="92"/>
      <c r="GN48" s="92"/>
      <c r="GO48" s="92"/>
      <c r="GP48" s="92"/>
      <c r="GQ48" s="92"/>
      <c r="GR48" s="92"/>
      <c r="GS48" s="92"/>
      <c r="GT48" s="92"/>
      <c r="GU48" s="92"/>
      <c r="GV48" s="92"/>
      <c r="GW48" s="92"/>
      <c r="GX48" s="92"/>
      <c r="GY48" s="92"/>
      <c r="GZ48" s="92"/>
      <c r="HA48" s="92"/>
      <c r="HB48" s="92"/>
      <c r="HC48" s="92"/>
      <c r="HD48" s="92"/>
      <c r="HE48" s="92"/>
      <c r="HF48" s="92"/>
      <c r="HG48" s="92"/>
      <c r="HH48" s="92"/>
      <c r="HI48" s="92"/>
      <c r="HJ48" s="92"/>
      <c r="HK48" s="92"/>
      <c r="HL48" s="92"/>
      <c r="HM48" s="92"/>
      <c r="HN48" s="92"/>
      <c r="HO48" s="92"/>
      <c r="HP48" s="92"/>
      <c r="HQ48" s="92"/>
      <c r="HR48" s="92"/>
      <c r="HS48" s="92"/>
      <c r="HT48" s="92"/>
      <c r="HU48" s="92"/>
      <c r="HV48" s="92"/>
      <c r="HW48" s="92"/>
      <c r="HX48" s="92"/>
      <c r="HY48" s="92"/>
      <c r="HZ48" s="92"/>
      <c r="IA48" s="92"/>
      <c r="IB48" s="92"/>
      <c r="IC48" s="92"/>
      <c r="ID48" s="92"/>
      <c r="IE48" s="92"/>
      <c r="IF48" s="92"/>
      <c r="IG48" s="92"/>
      <c r="IH48" s="92"/>
      <c r="II48" s="92"/>
      <c r="IJ48" s="92"/>
      <c r="IK48" s="92"/>
      <c r="IL48" s="92"/>
      <c r="IM48" s="92"/>
      <c r="IN48" s="92"/>
      <c r="IO48" s="92"/>
      <c r="IP48" s="92"/>
      <c r="IQ48" s="92"/>
      <c r="IR48" s="92"/>
      <c r="IS48" s="92"/>
      <c r="IT48" s="92"/>
      <c r="IU48" s="92"/>
      <c r="IV48" s="92"/>
      <c r="IW48" s="92"/>
      <c r="IX48" s="92"/>
      <c r="IY48" s="92"/>
      <c r="IZ48" s="92"/>
      <c r="JA48" s="92"/>
      <c r="JB48" s="92"/>
      <c r="JC48" s="92"/>
      <c r="JD48" s="92"/>
      <c r="JE48" s="92"/>
      <c r="JF48" s="92"/>
      <c r="JG48" s="92"/>
      <c r="JH48" s="92"/>
      <c r="JI48" s="92"/>
      <c r="JJ48" s="92"/>
      <c r="JK48" s="92"/>
      <c r="JL48" s="92"/>
      <c r="JM48" s="92"/>
      <c r="JN48" s="92"/>
      <c r="JO48" s="92"/>
      <c r="JP48" s="92"/>
      <c r="JQ48" s="92"/>
      <c r="JR48" s="92"/>
      <c r="JS48" s="92"/>
      <c r="JT48" s="92"/>
      <c r="JU48" s="92"/>
      <c r="JV48" s="92"/>
      <c r="JW48" s="92"/>
      <c r="JX48" s="92"/>
      <c r="JY48" s="92"/>
      <c r="JZ48" s="92"/>
      <c r="KA48" s="92"/>
      <c r="KB48" s="92"/>
      <c r="KC48" s="92"/>
      <c r="KD48" s="92"/>
      <c r="KE48" s="92"/>
      <c r="KF48" s="92"/>
      <c r="KG48" s="92"/>
      <c r="KH48" s="92"/>
      <c r="KI48" s="92"/>
      <c r="KJ48" s="92"/>
      <c r="KK48" s="92"/>
      <c r="KL48" s="92"/>
      <c r="KM48" s="92"/>
      <c r="KN48" s="92"/>
      <c r="KO48" s="92"/>
      <c r="KP48" s="92"/>
      <c r="KQ48" s="88"/>
      <c r="KR48" s="92"/>
      <c r="KS48" s="92"/>
      <c r="KT48" s="92"/>
      <c r="KU48" s="93"/>
      <c r="KV48" s="92"/>
      <c r="KW48" s="93"/>
      <c r="KX48" s="92"/>
      <c r="KY48" s="93"/>
      <c r="KZ48" s="92"/>
      <c r="LA48" s="93"/>
      <c r="LB48" s="92"/>
      <c r="LC48" s="93"/>
      <c r="LD48" s="92"/>
      <c r="LE48" s="93"/>
      <c r="LF48" s="92"/>
      <c r="LG48" s="92"/>
      <c r="LH48" s="92"/>
      <c r="LI48" s="92"/>
      <c r="LJ48" s="92"/>
      <c r="LK48" s="92"/>
      <c r="LL48" s="92"/>
      <c r="LM48" s="92"/>
      <c r="LN48" s="92"/>
      <c r="LO48" s="92"/>
      <c r="LP48" s="88"/>
      <c r="LQ48" s="93"/>
      <c r="LR48" s="88"/>
      <c r="LS48" s="93"/>
      <c r="LT48" s="93"/>
      <c r="LU48" s="93"/>
      <c r="LV48" s="93"/>
      <c r="LW48" s="93"/>
      <c r="LX48" s="93"/>
      <c r="LY48" s="93"/>
      <c r="LZ48" s="93"/>
      <c r="MA48" s="93"/>
      <c r="MB48" s="93"/>
      <c r="MC48" s="94"/>
      <c r="MD48" s="94"/>
      <c r="ME48" s="94"/>
      <c r="MF48" s="94"/>
      <c r="MG48" s="94"/>
      <c r="MH48" s="94"/>
      <c r="MI48" s="94"/>
      <c r="MJ48" s="94"/>
      <c r="MK48" s="94"/>
      <c r="ML48" s="94"/>
      <c r="MM48" s="94"/>
      <c r="MN48" s="94"/>
      <c r="MO48" s="95"/>
      <c r="MP48" s="95"/>
      <c r="MQ48" s="94"/>
      <c r="MR48" s="94"/>
      <c r="MS48" s="94"/>
      <c r="MT48" s="94"/>
      <c r="MU48" s="94"/>
      <c r="MV48" s="94"/>
      <c r="MW48" s="94"/>
      <c r="MX48" s="94"/>
      <c r="MY48" s="94"/>
      <c r="MZ48" s="94"/>
      <c r="NA48" s="94"/>
      <c r="NB48" s="94"/>
      <c r="NC48" s="94"/>
      <c r="ND48" s="94"/>
      <c r="NE48" s="94"/>
      <c r="NF48" s="94"/>
      <c r="NG48" s="94"/>
      <c r="NH48" s="94"/>
      <c r="NI48" s="94"/>
      <c r="NJ48" s="94"/>
    </row>
    <row r="49" spans="1:374" x14ac:dyDescent="0.25">
      <c r="A49" s="88"/>
      <c r="B49" s="88"/>
      <c r="C49" s="88"/>
      <c r="D49" s="88"/>
      <c r="E49" s="89"/>
      <c r="F49" s="88"/>
      <c r="G49" s="88"/>
      <c r="H49" s="88" t="str">
        <f t="shared" si="26"/>
        <v xml:space="preserve">  </v>
      </c>
      <c r="I49" s="88"/>
      <c r="J49" s="88"/>
      <c r="K49" s="88"/>
      <c r="L49" s="88"/>
      <c r="M49" s="88"/>
      <c r="N49" s="88"/>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1"/>
      <c r="AR49" s="75"/>
      <c r="AS49" s="91"/>
      <c r="AT49" s="91"/>
      <c r="AU49" s="90"/>
      <c r="AV49" s="91"/>
      <c r="AW49" s="91"/>
      <c r="AX49" s="91"/>
      <c r="AY49" s="91"/>
      <c r="AZ49" s="91"/>
      <c r="BA49" s="91"/>
      <c r="BB49" s="90"/>
      <c r="BC49" s="91"/>
      <c r="BD49" s="75"/>
      <c r="BE49" s="91"/>
      <c r="BF49" s="91"/>
      <c r="BG49" s="90"/>
      <c r="BH49" s="91"/>
      <c r="BI49" s="91"/>
      <c r="BJ49" s="91"/>
      <c r="BK49" s="91"/>
      <c r="BL49" s="91"/>
      <c r="BM49" s="91"/>
      <c r="BN49" s="90"/>
      <c r="BO49" s="91"/>
      <c r="BP49" s="75"/>
      <c r="BQ49" s="91"/>
      <c r="BR49" s="91"/>
      <c r="BS49" s="90"/>
      <c r="BT49" s="91"/>
      <c r="BU49" s="91"/>
      <c r="BV49" s="91"/>
      <c r="BW49" s="91"/>
      <c r="BX49" s="91"/>
      <c r="BY49" s="91"/>
      <c r="BZ49" s="90"/>
      <c r="CA49" s="91"/>
      <c r="CB49" s="75"/>
      <c r="CC49" s="91"/>
      <c r="CD49" s="91"/>
      <c r="CE49" s="90"/>
      <c r="CF49" s="91"/>
      <c r="CG49" s="91"/>
      <c r="CH49" s="91"/>
      <c r="CI49" s="91"/>
      <c r="CJ49" s="91"/>
      <c r="CK49" s="91"/>
      <c r="CL49" s="90"/>
      <c r="CM49" s="91"/>
      <c r="CN49" s="75"/>
      <c r="CO49" s="91"/>
      <c r="CP49" s="91"/>
      <c r="CQ49" s="90"/>
      <c r="CR49" s="91"/>
      <c r="CS49" s="91"/>
      <c r="CT49" s="91"/>
      <c r="CU49" s="91"/>
      <c r="CV49" s="91"/>
      <c r="CW49" s="91"/>
      <c r="CX49" s="90"/>
      <c r="CY49" s="91"/>
      <c r="CZ49" s="75"/>
      <c r="DA49" s="91"/>
      <c r="DB49" s="91"/>
      <c r="DC49" s="90"/>
      <c r="DD49" s="91"/>
      <c r="DE49" s="91"/>
      <c r="DF49" s="91"/>
      <c r="DG49" s="91"/>
      <c r="DH49" s="91"/>
      <c r="DI49" s="91"/>
      <c r="DJ49" s="90"/>
      <c r="DK49" s="91"/>
      <c r="DL49" s="75"/>
      <c r="DM49" s="75"/>
      <c r="DN49" s="75">
        <f t="shared" si="1"/>
        <v>0</v>
      </c>
      <c r="DO49" s="75" t="str">
        <f t="shared" si="2"/>
        <v/>
      </c>
      <c r="DP49" s="91" t="str">
        <f>IFERROR(#REF!/#REF!*1000,"")</f>
        <v/>
      </c>
      <c r="DQ49" s="91" t="str">
        <f>IFERROR(#REF!/#REF!*1000,"")</f>
        <v/>
      </c>
      <c r="DR49" s="90"/>
      <c r="DS49" s="91" t="str">
        <f>IFERROR(#REF!/#REF!*1000,"")</f>
        <v/>
      </c>
      <c r="DT49" s="91" t="str">
        <f>IFERROR(#REF!/#REF!*1000,"")</f>
        <v/>
      </c>
      <c r="DU49" s="91"/>
      <c r="DV49" s="91"/>
      <c r="DW49" s="91"/>
      <c r="DX49" s="91"/>
      <c r="DY49" s="90"/>
      <c r="DZ49" s="91"/>
      <c r="EA49" s="75"/>
      <c r="EB49" s="91"/>
      <c r="EC49" s="91"/>
      <c r="ED49" s="90"/>
      <c r="EE49" s="91"/>
      <c r="EF49" s="91"/>
      <c r="EG49" s="91"/>
      <c r="EH49" s="91"/>
      <c r="EI49" s="91"/>
      <c r="EJ49" s="91"/>
      <c r="EK49" s="90"/>
      <c r="EL49" s="90"/>
      <c r="EM49" s="88"/>
      <c r="EN49" s="92"/>
      <c r="EO49" s="92"/>
      <c r="EP49" s="92"/>
      <c r="EQ49" s="92"/>
      <c r="ER49" s="92"/>
      <c r="ES49" s="92"/>
      <c r="ET49" s="92"/>
      <c r="EU49" s="92"/>
      <c r="EV49" s="92"/>
      <c r="EW49" s="92"/>
      <c r="EX49" s="92"/>
      <c r="EY49" s="92"/>
      <c r="EZ49" s="92"/>
      <c r="FA49" s="92"/>
      <c r="FB49" s="92"/>
      <c r="FC49" s="92"/>
      <c r="FD49" s="92"/>
      <c r="FE49" s="92"/>
      <c r="FF49" s="92"/>
      <c r="FG49" s="92"/>
      <c r="FH49" s="92"/>
      <c r="FI49" s="92"/>
      <c r="FJ49" s="92"/>
      <c r="FK49" s="92"/>
      <c r="FL49" s="92"/>
      <c r="FM49" s="92"/>
      <c r="FN49" s="92"/>
      <c r="FO49" s="92"/>
      <c r="FP49" s="92"/>
      <c r="FQ49" s="92"/>
      <c r="FR49" s="92"/>
      <c r="FS49" s="92"/>
      <c r="FT49" s="92"/>
      <c r="FU49" s="92"/>
      <c r="FV49" s="92"/>
      <c r="FW49" s="92"/>
      <c r="FX49" s="92"/>
      <c r="FY49" s="92"/>
      <c r="FZ49" s="92"/>
      <c r="GA49" s="92"/>
      <c r="GB49" s="92"/>
      <c r="GC49" s="92"/>
      <c r="GD49" s="92"/>
      <c r="GE49" s="92"/>
      <c r="GF49" s="92"/>
      <c r="GG49" s="92"/>
      <c r="GH49" s="92"/>
      <c r="GI49" s="92"/>
      <c r="GJ49" s="92"/>
      <c r="GK49" s="92"/>
      <c r="GL49" s="92"/>
      <c r="GM49" s="92"/>
      <c r="GN49" s="92"/>
      <c r="GO49" s="92"/>
      <c r="GP49" s="92"/>
      <c r="GQ49" s="92"/>
      <c r="GR49" s="92"/>
      <c r="GS49" s="92"/>
      <c r="GT49" s="92"/>
      <c r="GU49" s="92"/>
      <c r="GV49" s="92"/>
      <c r="GW49" s="92"/>
      <c r="GX49" s="92"/>
      <c r="GY49" s="92"/>
      <c r="GZ49" s="92"/>
      <c r="HA49" s="92"/>
      <c r="HB49" s="92"/>
      <c r="HC49" s="92"/>
      <c r="HD49" s="92"/>
      <c r="HE49" s="92"/>
      <c r="HF49" s="92"/>
      <c r="HG49" s="92"/>
      <c r="HH49" s="92"/>
      <c r="HI49" s="92"/>
      <c r="HJ49" s="92"/>
      <c r="HK49" s="92"/>
      <c r="HL49" s="92"/>
      <c r="HM49" s="92"/>
      <c r="HN49" s="92"/>
      <c r="HO49" s="92"/>
      <c r="HP49" s="92"/>
      <c r="HQ49" s="92"/>
      <c r="HR49" s="92"/>
      <c r="HS49" s="92"/>
      <c r="HT49" s="92"/>
      <c r="HU49" s="92"/>
      <c r="HV49" s="92"/>
      <c r="HW49" s="92"/>
      <c r="HX49" s="92"/>
      <c r="HY49" s="92"/>
      <c r="HZ49" s="92"/>
      <c r="IA49" s="92"/>
      <c r="IB49" s="92"/>
      <c r="IC49" s="92"/>
      <c r="ID49" s="92"/>
      <c r="IE49" s="92"/>
      <c r="IF49" s="92"/>
      <c r="IG49" s="92"/>
      <c r="IH49" s="92"/>
      <c r="II49" s="92"/>
      <c r="IJ49" s="92"/>
      <c r="IK49" s="92"/>
      <c r="IL49" s="92"/>
      <c r="IM49" s="92"/>
      <c r="IN49" s="92"/>
      <c r="IO49" s="92"/>
      <c r="IP49" s="92"/>
      <c r="IQ49" s="92"/>
      <c r="IR49" s="92"/>
      <c r="IS49" s="92"/>
      <c r="IT49" s="92"/>
      <c r="IU49" s="92"/>
      <c r="IV49" s="92"/>
      <c r="IW49" s="92"/>
      <c r="IX49" s="92"/>
      <c r="IY49" s="92"/>
      <c r="IZ49" s="92"/>
      <c r="JA49" s="92"/>
      <c r="JB49" s="92"/>
      <c r="JC49" s="92"/>
      <c r="JD49" s="92"/>
      <c r="JE49" s="92"/>
      <c r="JF49" s="92"/>
      <c r="JG49" s="92"/>
      <c r="JH49" s="92"/>
      <c r="JI49" s="92"/>
      <c r="JJ49" s="92"/>
      <c r="JK49" s="92"/>
      <c r="JL49" s="92"/>
      <c r="JM49" s="92"/>
      <c r="JN49" s="92"/>
      <c r="JO49" s="92"/>
      <c r="JP49" s="92"/>
      <c r="JQ49" s="92"/>
      <c r="JR49" s="92"/>
      <c r="JS49" s="92"/>
      <c r="JT49" s="92"/>
      <c r="JU49" s="92"/>
      <c r="JV49" s="92"/>
      <c r="JW49" s="92"/>
      <c r="JX49" s="92"/>
      <c r="JY49" s="92"/>
      <c r="JZ49" s="92"/>
      <c r="KA49" s="92"/>
      <c r="KB49" s="92"/>
      <c r="KC49" s="92"/>
      <c r="KD49" s="92"/>
      <c r="KE49" s="92"/>
      <c r="KF49" s="92"/>
      <c r="KG49" s="92"/>
      <c r="KH49" s="92"/>
      <c r="KI49" s="92"/>
      <c r="KJ49" s="92"/>
      <c r="KK49" s="92"/>
      <c r="KL49" s="92"/>
      <c r="KM49" s="92"/>
      <c r="KN49" s="92"/>
      <c r="KO49" s="92"/>
      <c r="KP49" s="92"/>
      <c r="KQ49" s="88"/>
      <c r="KR49" s="92"/>
      <c r="KS49" s="92"/>
      <c r="KT49" s="92"/>
      <c r="KU49" s="93"/>
      <c r="KV49" s="92"/>
      <c r="KW49" s="93"/>
      <c r="KX49" s="92"/>
      <c r="KY49" s="93"/>
      <c r="KZ49" s="92"/>
      <c r="LA49" s="93"/>
      <c r="LB49" s="92"/>
      <c r="LC49" s="93"/>
      <c r="LD49" s="92"/>
      <c r="LE49" s="93"/>
      <c r="LF49" s="92"/>
      <c r="LG49" s="92"/>
      <c r="LH49" s="92"/>
      <c r="LI49" s="92"/>
      <c r="LJ49" s="92"/>
      <c r="LK49" s="92"/>
      <c r="LL49" s="92"/>
      <c r="LM49" s="92"/>
      <c r="LN49" s="92"/>
      <c r="LO49" s="92"/>
      <c r="LP49" s="88"/>
      <c r="LQ49" s="93"/>
      <c r="LR49" s="88"/>
      <c r="LS49" s="93"/>
      <c r="LT49" s="93"/>
      <c r="LU49" s="93"/>
      <c r="LV49" s="93"/>
      <c r="LW49" s="93"/>
      <c r="LX49" s="93"/>
      <c r="LY49" s="93"/>
      <c r="LZ49" s="93"/>
      <c r="MA49" s="93"/>
      <c r="MB49" s="93"/>
      <c r="MC49" s="94"/>
      <c r="MD49" s="94"/>
      <c r="ME49" s="94"/>
      <c r="MF49" s="94"/>
      <c r="MG49" s="94"/>
      <c r="MH49" s="94"/>
      <c r="MI49" s="94"/>
      <c r="MJ49" s="94"/>
      <c r="MK49" s="94"/>
      <c r="ML49" s="94"/>
      <c r="MM49" s="94"/>
      <c r="MN49" s="94"/>
      <c r="MO49" s="95"/>
      <c r="MP49" s="95"/>
      <c r="MQ49" s="94"/>
      <c r="MR49" s="94"/>
      <c r="MS49" s="94"/>
      <c r="MT49" s="94"/>
      <c r="MU49" s="94"/>
      <c r="MV49" s="94"/>
      <c r="MW49" s="94"/>
      <c r="MX49" s="94"/>
      <c r="MY49" s="94"/>
      <c r="MZ49" s="94"/>
      <c r="NA49" s="94"/>
      <c r="NB49" s="94"/>
      <c r="NC49" s="94"/>
      <c r="ND49" s="94"/>
      <c r="NE49" s="94"/>
      <c r="NF49" s="94"/>
      <c r="NG49" s="94"/>
      <c r="NH49" s="94"/>
      <c r="NI49" s="94"/>
      <c r="NJ49" s="94"/>
    </row>
    <row r="50" spans="1:374" x14ac:dyDescent="0.25">
      <c r="A50" s="88"/>
      <c r="B50" s="88"/>
      <c r="C50" s="88"/>
      <c r="D50" s="88"/>
      <c r="E50" s="89"/>
      <c r="F50" s="88"/>
      <c r="G50" s="88"/>
      <c r="H50" s="88" t="str">
        <f t="shared" si="26"/>
        <v xml:space="preserve">  </v>
      </c>
      <c r="I50" s="88"/>
      <c r="J50" s="88"/>
      <c r="K50" s="88"/>
      <c r="L50" s="88"/>
      <c r="M50" s="88"/>
      <c r="N50" s="88"/>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1"/>
      <c r="AR50" s="75"/>
      <c r="AS50" s="91"/>
      <c r="AT50" s="91"/>
      <c r="AU50" s="90"/>
      <c r="AV50" s="91"/>
      <c r="AW50" s="91"/>
      <c r="AX50" s="91"/>
      <c r="AY50" s="91"/>
      <c r="AZ50" s="91"/>
      <c r="BA50" s="91"/>
      <c r="BB50" s="90"/>
      <c r="BC50" s="91"/>
      <c r="BD50" s="75"/>
      <c r="BE50" s="91"/>
      <c r="BF50" s="91"/>
      <c r="BG50" s="90"/>
      <c r="BH50" s="91"/>
      <c r="BI50" s="91"/>
      <c r="BJ50" s="91"/>
      <c r="BK50" s="91"/>
      <c r="BL50" s="91"/>
      <c r="BM50" s="91"/>
      <c r="BN50" s="90"/>
      <c r="BO50" s="91"/>
      <c r="BP50" s="75"/>
      <c r="BQ50" s="91"/>
      <c r="BR50" s="91"/>
      <c r="BS50" s="90"/>
      <c r="BT50" s="91"/>
      <c r="BU50" s="91"/>
      <c r="BV50" s="91"/>
      <c r="BW50" s="91"/>
      <c r="BX50" s="91"/>
      <c r="BY50" s="91"/>
      <c r="BZ50" s="90"/>
      <c r="CA50" s="91"/>
      <c r="CB50" s="75"/>
      <c r="CC50" s="91"/>
      <c r="CD50" s="91"/>
      <c r="CE50" s="90"/>
      <c r="CF50" s="91"/>
      <c r="CG50" s="91"/>
      <c r="CH50" s="91"/>
      <c r="CI50" s="91"/>
      <c r="CJ50" s="91"/>
      <c r="CK50" s="91"/>
      <c r="CL50" s="90"/>
      <c r="CM50" s="91"/>
      <c r="CN50" s="75"/>
      <c r="CO50" s="91"/>
      <c r="CP50" s="91"/>
      <c r="CQ50" s="90"/>
      <c r="CR50" s="91"/>
      <c r="CS50" s="91"/>
      <c r="CT50" s="91"/>
      <c r="CU50" s="91"/>
      <c r="CV50" s="91"/>
      <c r="CW50" s="91"/>
      <c r="CX50" s="90"/>
      <c r="CY50" s="91"/>
      <c r="CZ50" s="75"/>
      <c r="DA50" s="91"/>
      <c r="DB50" s="91"/>
      <c r="DC50" s="90"/>
      <c r="DD50" s="91"/>
      <c r="DE50" s="91"/>
      <c r="DF50" s="91"/>
      <c r="DG50" s="91"/>
      <c r="DH50" s="91"/>
      <c r="DI50" s="91"/>
      <c r="DJ50" s="90"/>
      <c r="DK50" s="91"/>
      <c r="DL50" s="75"/>
      <c r="DM50" s="75"/>
      <c r="DN50" s="75">
        <f t="shared" si="1"/>
        <v>0</v>
      </c>
      <c r="DO50" s="75" t="str">
        <f t="shared" si="2"/>
        <v/>
      </c>
      <c r="DP50" s="91" t="str">
        <f>IFERROR(#REF!/#REF!*1000,"")</f>
        <v/>
      </c>
      <c r="DQ50" s="91" t="str">
        <f>IFERROR(#REF!/#REF!*1000,"")</f>
        <v/>
      </c>
      <c r="DR50" s="90"/>
      <c r="DS50" s="91" t="str">
        <f>IFERROR(#REF!/#REF!*1000,"")</f>
        <v/>
      </c>
      <c r="DT50" s="91" t="str">
        <f>IFERROR(#REF!/#REF!*1000,"")</f>
        <v/>
      </c>
      <c r="DU50" s="91"/>
      <c r="DV50" s="91"/>
      <c r="DW50" s="91"/>
      <c r="DX50" s="91"/>
      <c r="DY50" s="90"/>
      <c r="DZ50" s="91"/>
      <c r="EA50" s="75"/>
      <c r="EB50" s="91"/>
      <c r="EC50" s="91"/>
      <c r="ED50" s="90"/>
      <c r="EE50" s="91"/>
      <c r="EF50" s="91"/>
      <c r="EG50" s="91"/>
      <c r="EH50" s="91"/>
      <c r="EI50" s="91"/>
      <c r="EJ50" s="91"/>
      <c r="EK50" s="90"/>
      <c r="EL50" s="90"/>
      <c r="EM50" s="88"/>
      <c r="EN50" s="92"/>
      <c r="EO50" s="92"/>
      <c r="EP50" s="92"/>
      <c r="EQ50" s="92"/>
      <c r="ER50" s="92"/>
      <c r="ES50" s="92"/>
      <c r="ET50" s="92"/>
      <c r="EU50" s="92"/>
      <c r="EV50" s="92"/>
      <c r="EW50" s="92"/>
      <c r="EX50" s="92"/>
      <c r="EY50" s="92"/>
      <c r="EZ50" s="92"/>
      <c r="FA50" s="92"/>
      <c r="FB50" s="92"/>
      <c r="FC50" s="92"/>
      <c r="FD50" s="92"/>
      <c r="FE50" s="92"/>
      <c r="FF50" s="92"/>
      <c r="FG50" s="92"/>
      <c r="FH50" s="92"/>
      <c r="FI50" s="92"/>
      <c r="FJ50" s="92"/>
      <c r="FK50" s="92"/>
      <c r="FL50" s="92"/>
      <c r="FM50" s="92"/>
      <c r="FN50" s="92"/>
      <c r="FO50" s="92"/>
      <c r="FP50" s="92"/>
      <c r="FQ50" s="92"/>
      <c r="FR50" s="92"/>
      <c r="FS50" s="92"/>
      <c r="FT50" s="92"/>
      <c r="FU50" s="92"/>
      <c r="FV50" s="92"/>
      <c r="FW50" s="92"/>
      <c r="FX50" s="92"/>
      <c r="FY50" s="92"/>
      <c r="FZ50" s="92"/>
      <c r="GA50" s="92"/>
      <c r="GB50" s="92"/>
      <c r="GC50" s="92"/>
      <c r="GD50" s="92"/>
      <c r="GE50" s="92"/>
      <c r="GF50" s="92"/>
      <c r="GG50" s="92"/>
      <c r="GH50" s="92"/>
      <c r="GI50" s="92"/>
      <c r="GJ50" s="92"/>
      <c r="GK50" s="92"/>
      <c r="GL50" s="92"/>
      <c r="GM50" s="92"/>
      <c r="GN50" s="92"/>
      <c r="GO50" s="92"/>
      <c r="GP50" s="92"/>
      <c r="GQ50" s="92"/>
      <c r="GR50" s="92"/>
      <c r="GS50" s="92"/>
      <c r="GT50" s="92"/>
      <c r="GU50" s="92"/>
      <c r="GV50" s="92"/>
      <c r="GW50" s="92"/>
      <c r="GX50" s="92"/>
      <c r="GY50" s="92"/>
      <c r="GZ50" s="92"/>
      <c r="HA50" s="92"/>
      <c r="HB50" s="92"/>
      <c r="HC50" s="92"/>
      <c r="HD50" s="92"/>
      <c r="HE50" s="92"/>
      <c r="HF50" s="92"/>
      <c r="HG50" s="92"/>
      <c r="HH50" s="92"/>
      <c r="HI50" s="92"/>
      <c r="HJ50" s="92"/>
      <c r="HK50" s="92"/>
      <c r="HL50" s="92"/>
      <c r="HM50" s="92"/>
      <c r="HN50" s="92"/>
      <c r="HO50" s="92"/>
      <c r="HP50" s="92"/>
      <c r="HQ50" s="92"/>
      <c r="HR50" s="92"/>
      <c r="HS50" s="92"/>
      <c r="HT50" s="92"/>
      <c r="HU50" s="92"/>
      <c r="HV50" s="92"/>
      <c r="HW50" s="92"/>
      <c r="HX50" s="92"/>
      <c r="HY50" s="92"/>
      <c r="HZ50" s="92"/>
      <c r="IA50" s="92"/>
      <c r="IB50" s="92"/>
      <c r="IC50" s="92"/>
      <c r="ID50" s="92"/>
      <c r="IE50" s="92"/>
      <c r="IF50" s="92"/>
      <c r="IG50" s="92"/>
      <c r="IH50" s="92"/>
      <c r="II50" s="92"/>
      <c r="IJ50" s="92"/>
      <c r="IK50" s="92"/>
      <c r="IL50" s="92"/>
      <c r="IM50" s="92"/>
      <c r="IN50" s="92"/>
      <c r="IO50" s="92"/>
      <c r="IP50" s="92"/>
      <c r="IQ50" s="92"/>
      <c r="IR50" s="92"/>
      <c r="IS50" s="92"/>
      <c r="IT50" s="92"/>
      <c r="IU50" s="92"/>
      <c r="IV50" s="92"/>
      <c r="IW50" s="92"/>
      <c r="IX50" s="92"/>
      <c r="IY50" s="92"/>
      <c r="IZ50" s="92"/>
      <c r="JA50" s="92"/>
      <c r="JB50" s="92"/>
      <c r="JC50" s="92"/>
      <c r="JD50" s="92"/>
      <c r="JE50" s="92"/>
      <c r="JF50" s="92"/>
      <c r="JG50" s="92"/>
      <c r="JH50" s="92"/>
      <c r="JI50" s="92"/>
      <c r="JJ50" s="92"/>
      <c r="JK50" s="92"/>
      <c r="JL50" s="92"/>
      <c r="JM50" s="92"/>
      <c r="JN50" s="92"/>
      <c r="JO50" s="92"/>
      <c r="JP50" s="92"/>
      <c r="JQ50" s="92"/>
      <c r="JR50" s="92"/>
      <c r="JS50" s="92"/>
      <c r="JT50" s="92"/>
      <c r="JU50" s="92"/>
      <c r="JV50" s="92"/>
      <c r="JW50" s="92"/>
      <c r="JX50" s="92"/>
      <c r="JY50" s="92"/>
      <c r="JZ50" s="92"/>
      <c r="KA50" s="92"/>
      <c r="KB50" s="92"/>
      <c r="KC50" s="92"/>
      <c r="KD50" s="92"/>
      <c r="KE50" s="92"/>
      <c r="KF50" s="92"/>
      <c r="KG50" s="92"/>
      <c r="KH50" s="92"/>
      <c r="KI50" s="92"/>
      <c r="KJ50" s="92"/>
      <c r="KK50" s="92"/>
      <c r="KL50" s="92"/>
      <c r="KM50" s="92"/>
      <c r="KN50" s="92"/>
      <c r="KO50" s="92"/>
      <c r="KP50" s="92"/>
      <c r="KQ50" s="88"/>
      <c r="KR50" s="92"/>
      <c r="KS50" s="92"/>
      <c r="KT50" s="92"/>
      <c r="KU50" s="93"/>
      <c r="KV50" s="92"/>
      <c r="KW50" s="93"/>
      <c r="KX50" s="92"/>
      <c r="KY50" s="93"/>
      <c r="KZ50" s="92"/>
      <c r="LA50" s="93"/>
      <c r="LB50" s="92"/>
      <c r="LC50" s="93"/>
      <c r="LD50" s="92"/>
      <c r="LE50" s="93"/>
      <c r="LF50" s="92"/>
      <c r="LG50" s="92"/>
      <c r="LH50" s="92"/>
      <c r="LI50" s="92"/>
      <c r="LJ50" s="92"/>
      <c r="LK50" s="92"/>
      <c r="LL50" s="92"/>
      <c r="LM50" s="92"/>
      <c r="LN50" s="92"/>
      <c r="LO50" s="92"/>
      <c r="LP50" s="88"/>
      <c r="LQ50" s="93"/>
      <c r="LR50" s="88"/>
      <c r="LS50" s="93"/>
      <c r="LT50" s="93"/>
      <c r="LU50" s="93"/>
      <c r="LV50" s="93"/>
      <c r="LW50" s="93"/>
      <c r="LX50" s="93"/>
      <c r="LY50" s="93"/>
      <c r="LZ50" s="93"/>
      <c r="MA50" s="93"/>
      <c r="MB50" s="93"/>
      <c r="MC50" s="94"/>
      <c r="MD50" s="94"/>
      <c r="ME50" s="94"/>
      <c r="MF50" s="94"/>
      <c r="MG50" s="94"/>
      <c r="MH50" s="94"/>
      <c r="MI50" s="94"/>
      <c r="MJ50" s="94"/>
      <c r="MK50" s="94"/>
      <c r="ML50" s="94"/>
      <c r="MM50" s="94"/>
      <c r="MN50" s="94"/>
      <c r="MO50" s="95"/>
      <c r="MP50" s="95"/>
      <c r="MQ50" s="94"/>
      <c r="MR50" s="94"/>
      <c r="MS50" s="94"/>
      <c r="MT50" s="94"/>
      <c r="MU50" s="94"/>
      <c r="MV50" s="94"/>
      <c r="MW50" s="94"/>
      <c r="MX50" s="94"/>
      <c r="MY50" s="94"/>
      <c r="MZ50" s="94"/>
      <c r="NA50" s="94"/>
      <c r="NB50" s="94"/>
      <c r="NC50" s="94"/>
      <c r="ND50" s="94"/>
      <c r="NE50" s="94"/>
      <c r="NF50" s="94"/>
      <c r="NG50" s="94"/>
      <c r="NH50" s="94"/>
      <c r="NI50" s="94"/>
      <c r="NJ50" s="94"/>
    </row>
    <row r="51" spans="1:374" x14ac:dyDescent="0.25">
      <c r="A51" s="88"/>
      <c r="B51" s="88"/>
      <c r="C51" s="88"/>
      <c r="D51" s="88"/>
      <c r="E51" s="89"/>
      <c r="F51" s="88"/>
      <c r="G51" s="88"/>
      <c r="H51" s="88" t="str">
        <f t="shared" si="26"/>
        <v xml:space="preserve">  </v>
      </c>
      <c r="I51" s="88"/>
      <c r="J51" s="88"/>
      <c r="K51" s="88"/>
      <c r="L51" s="88"/>
      <c r="M51" s="88"/>
      <c r="N51" s="88"/>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1"/>
      <c r="AR51" s="75"/>
      <c r="AS51" s="91"/>
      <c r="AT51" s="91"/>
      <c r="AU51" s="90"/>
      <c r="AV51" s="91"/>
      <c r="AW51" s="91"/>
      <c r="AX51" s="91"/>
      <c r="AY51" s="91"/>
      <c r="AZ51" s="91"/>
      <c r="BA51" s="91"/>
      <c r="BB51" s="90"/>
      <c r="BC51" s="91"/>
      <c r="BD51" s="75"/>
      <c r="BE51" s="91"/>
      <c r="BF51" s="91"/>
      <c r="BG51" s="90"/>
      <c r="BH51" s="91"/>
      <c r="BI51" s="91"/>
      <c r="BJ51" s="91"/>
      <c r="BK51" s="91"/>
      <c r="BL51" s="91"/>
      <c r="BM51" s="91"/>
      <c r="BN51" s="90"/>
      <c r="BO51" s="91"/>
      <c r="BP51" s="75"/>
      <c r="BQ51" s="91"/>
      <c r="BR51" s="91"/>
      <c r="BS51" s="90"/>
      <c r="BT51" s="91"/>
      <c r="BU51" s="91"/>
      <c r="BV51" s="91"/>
      <c r="BW51" s="91"/>
      <c r="BX51" s="91"/>
      <c r="BY51" s="91"/>
      <c r="BZ51" s="90"/>
      <c r="CA51" s="91"/>
      <c r="CB51" s="75"/>
      <c r="CC51" s="91"/>
      <c r="CD51" s="91"/>
      <c r="CE51" s="90"/>
      <c r="CF51" s="91"/>
      <c r="CG51" s="91"/>
      <c r="CH51" s="91"/>
      <c r="CI51" s="91"/>
      <c r="CJ51" s="91"/>
      <c r="CK51" s="91"/>
      <c r="CL51" s="90"/>
      <c r="CM51" s="91"/>
      <c r="CN51" s="75"/>
      <c r="CO51" s="91"/>
      <c r="CP51" s="91"/>
      <c r="CQ51" s="90"/>
      <c r="CR51" s="91"/>
      <c r="CS51" s="91"/>
      <c r="CT51" s="91"/>
      <c r="CU51" s="91"/>
      <c r="CV51" s="91"/>
      <c r="CW51" s="91"/>
      <c r="CX51" s="90"/>
      <c r="CY51" s="91"/>
      <c r="CZ51" s="75"/>
      <c r="DA51" s="91"/>
      <c r="DB51" s="91"/>
      <c r="DC51" s="90"/>
      <c r="DD51" s="91"/>
      <c r="DE51" s="91"/>
      <c r="DF51" s="91"/>
      <c r="DG51" s="91"/>
      <c r="DH51" s="91"/>
      <c r="DI51" s="91"/>
      <c r="DJ51" s="90"/>
      <c r="DK51" s="91"/>
      <c r="DL51" s="75"/>
      <c r="DM51" s="75"/>
      <c r="DN51" s="75">
        <f t="shared" si="1"/>
        <v>0</v>
      </c>
      <c r="DO51" s="75" t="str">
        <f t="shared" si="2"/>
        <v/>
      </c>
      <c r="DP51" s="91" t="str">
        <f>IFERROR(#REF!/#REF!*1000,"")</f>
        <v/>
      </c>
      <c r="DQ51" s="91" t="str">
        <f>IFERROR(#REF!/#REF!*1000,"")</f>
        <v/>
      </c>
      <c r="DR51" s="90"/>
      <c r="DS51" s="91" t="str">
        <f>IFERROR(#REF!/#REF!*1000,"")</f>
        <v/>
      </c>
      <c r="DT51" s="91" t="str">
        <f>IFERROR(#REF!/#REF!*1000,"")</f>
        <v/>
      </c>
      <c r="DU51" s="91"/>
      <c r="DV51" s="91"/>
      <c r="DW51" s="91"/>
      <c r="DX51" s="91"/>
      <c r="DY51" s="90"/>
      <c r="DZ51" s="91"/>
      <c r="EA51" s="75"/>
      <c r="EB51" s="91"/>
      <c r="EC51" s="91"/>
      <c r="ED51" s="90"/>
      <c r="EE51" s="91"/>
      <c r="EF51" s="91"/>
      <c r="EG51" s="91"/>
      <c r="EH51" s="91"/>
      <c r="EI51" s="91"/>
      <c r="EJ51" s="91"/>
      <c r="EK51" s="90"/>
      <c r="EL51" s="90"/>
      <c r="EM51" s="88"/>
      <c r="EN51" s="92"/>
      <c r="EO51" s="92"/>
      <c r="EP51" s="92"/>
      <c r="EQ51" s="92"/>
      <c r="ER51" s="92"/>
      <c r="ES51" s="92"/>
      <c r="ET51" s="92"/>
      <c r="EU51" s="92"/>
      <c r="EV51" s="92"/>
      <c r="EW51" s="92"/>
      <c r="EX51" s="92"/>
      <c r="EY51" s="92"/>
      <c r="EZ51" s="92"/>
      <c r="FA51" s="92"/>
      <c r="FB51" s="92"/>
      <c r="FC51" s="92"/>
      <c r="FD51" s="92"/>
      <c r="FE51" s="92"/>
      <c r="FF51" s="92"/>
      <c r="FG51" s="92"/>
      <c r="FH51" s="92"/>
      <c r="FI51" s="92"/>
      <c r="FJ51" s="92"/>
      <c r="FK51" s="92"/>
      <c r="FL51" s="92"/>
      <c r="FM51" s="92"/>
      <c r="FN51" s="92"/>
      <c r="FO51" s="92"/>
      <c r="FP51" s="92"/>
      <c r="FQ51" s="92"/>
      <c r="FR51" s="92"/>
      <c r="FS51" s="92"/>
      <c r="FT51" s="92"/>
      <c r="FU51" s="92"/>
      <c r="FV51" s="92"/>
      <c r="FW51" s="92"/>
      <c r="FX51" s="92"/>
      <c r="FY51" s="92"/>
      <c r="FZ51" s="92"/>
      <c r="GA51" s="92"/>
      <c r="GB51" s="92"/>
      <c r="GC51" s="92"/>
      <c r="GD51" s="92"/>
      <c r="GE51" s="92"/>
      <c r="GF51" s="92"/>
      <c r="GG51" s="92"/>
      <c r="GH51" s="92"/>
      <c r="GI51" s="92"/>
      <c r="GJ51" s="92"/>
      <c r="GK51" s="92"/>
      <c r="GL51" s="92"/>
      <c r="GM51" s="92"/>
      <c r="GN51" s="92"/>
      <c r="GO51" s="92"/>
      <c r="GP51" s="92"/>
      <c r="GQ51" s="92"/>
      <c r="GR51" s="92"/>
      <c r="GS51" s="92"/>
      <c r="GT51" s="92"/>
      <c r="GU51" s="92"/>
      <c r="GV51" s="92"/>
      <c r="GW51" s="92"/>
      <c r="GX51" s="92"/>
      <c r="GY51" s="92"/>
      <c r="GZ51" s="92"/>
      <c r="HA51" s="92"/>
      <c r="HB51" s="92"/>
      <c r="HC51" s="92"/>
      <c r="HD51" s="92"/>
      <c r="HE51" s="92"/>
      <c r="HF51" s="92"/>
      <c r="HG51" s="92"/>
      <c r="HH51" s="92"/>
      <c r="HI51" s="92"/>
      <c r="HJ51" s="92"/>
      <c r="HK51" s="92"/>
      <c r="HL51" s="92"/>
      <c r="HM51" s="92"/>
      <c r="HN51" s="92"/>
      <c r="HO51" s="92"/>
      <c r="HP51" s="92"/>
      <c r="HQ51" s="92"/>
      <c r="HR51" s="92"/>
      <c r="HS51" s="92"/>
      <c r="HT51" s="92"/>
      <c r="HU51" s="92"/>
      <c r="HV51" s="92"/>
      <c r="HW51" s="92"/>
      <c r="HX51" s="92"/>
      <c r="HY51" s="92"/>
      <c r="HZ51" s="92"/>
      <c r="IA51" s="92"/>
      <c r="IB51" s="92"/>
      <c r="IC51" s="92"/>
      <c r="ID51" s="92"/>
      <c r="IE51" s="92"/>
      <c r="IF51" s="92"/>
      <c r="IG51" s="92"/>
      <c r="IH51" s="92"/>
      <c r="II51" s="92"/>
      <c r="IJ51" s="92"/>
      <c r="IK51" s="92"/>
      <c r="IL51" s="92"/>
      <c r="IM51" s="92"/>
      <c r="IN51" s="92"/>
      <c r="IO51" s="92"/>
      <c r="IP51" s="92"/>
      <c r="IQ51" s="92"/>
      <c r="IR51" s="92"/>
      <c r="IS51" s="92"/>
      <c r="IT51" s="92"/>
      <c r="IU51" s="92"/>
      <c r="IV51" s="92"/>
      <c r="IW51" s="92"/>
      <c r="IX51" s="92"/>
      <c r="IY51" s="92"/>
      <c r="IZ51" s="92"/>
      <c r="JA51" s="92"/>
      <c r="JB51" s="92"/>
      <c r="JC51" s="92"/>
      <c r="JD51" s="92"/>
      <c r="JE51" s="92"/>
      <c r="JF51" s="92"/>
      <c r="JG51" s="92"/>
      <c r="JH51" s="92"/>
      <c r="JI51" s="92"/>
      <c r="JJ51" s="92"/>
      <c r="JK51" s="92"/>
      <c r="JL51" s="92"/>
      <c r="JM51" s="92"/>
      <c r="JN51" s="92"/>
      <c r="JO51" s="92"/>
      <c r="JP51" s="92"/>
      <c r="JQ51" s="92"/>
      <c r="JR51" s="92"/>
      <c r="JS51" s="92"/>
      <c r="JT51" s="92"/>
      <c r="JU51" s="92"/>
      <c r="JV51" s="92"/>
      <c r="JW51" s="92"/>
      <c r="JX51" s="92"/>
      <c r="JY51" s="92"/>
      <c r="JZ51" s="92"/>
      <c r="KA51" s="92"/>
      <c r="KB51" s="92"/>
      <c r="KC51" s="92"/>
      <c r="KD51" s="92"/>
      <c r="KE51" s="92"/>
      <c r="KF51" s="92"/>
      <c r="KG51" s="92"/>
      <c r="KH51" s="92"/>
      <c r="KI51" s="92"/>
      <c r="KJ51" s="92"/>
      <c r="KK51" s="92"/>
      <c r="KL51" s="92"/>
      <c r="KM51" s="92"/>
      <c r="KN51" s="92"/>
      <c r="KO51" s="92"/>
      <c r="KP51" s="92"/>
      <c r="KQ51" s="88"/>
      <c r="KR51" s="92"/>
      <c r="KS51" s="92"/>
      <c r="KT51" s="92"/>
      <c r="KU51" s="93"/>
      <c r="KV51" s="92"/>
      <c r="KW51" s="93"/>
      <c r="KX51" s="92"/>
      <c r="KY51" s="93"/>
      <c r="KZ51" s="92"/>
      <c r="LA51" s="93"/>
      <c r="LB51" s="92"/>
      <c r="LC51" s="93"/>
      <c r="LD51" s="92"/>
      <c r="LE51" s="93"/>
      <c r="LF51" s="92"/>
      <c r="LG51" s="92"/>
      <c r="LH51" s="92"/>
      <c r="LI51" s="92"/>
      <c r="LJ51" s="92"/>
      <c r="LK51" s="92"/>
      <c r="LL51" s="92"/>
      <c r="LM51" s="92"/>
      <c r="LN51" s="92"/>
      <c r="LO51" s="92"/>
      <c r="LP51" s="88"/>
      <c r="LQ51" s="93"/>
      <c r="LR51" s="88"/>
      <c r="LS51" s="93"/>
      <c r="LT51" s="93"/>
      <c r="LU51" s="93"/>
      <c r="LV51" s="93"/>
      <c r="LW51" s="93"/>
      <c r="LX51" s="93"/>
      <c r="LY51" s="93"/>
      <c r="LZ51" s="93"/>
      <c r="MA51" s="93"/>
      <c r="MB51" s="93"/>
      <c r="MC51" s="94"/>
      <c r="MD51" s="94"/>
      <c r="ME51" s="94"/>
      <c r="MF51" s="94"/>
      <c r="MG51" s="94"/>
      <c r="MH51" s="94"/>
      <c r="MI51" s="94"/>
      <c r="MJ51" s="94"/>
      <c r="MK51" s="94"/>
      <c r="ML51" s="94"/>
      <c r="MM51" s="94"/>
      <c r="MN51" s="94"/>
      <c r="MO51" s="95"/>
      <c r="MP51" s="95"/>
      <c r="MQ51" s="94"/>
      <c r="MR51" s="94"/>
      <c r="MS51" s="94"/>
      <c r="MT51" s="94"/>
      <c r="MU51" s="94"/>
      <c r="MV51" s="94"/>
      <c r="MW51" s="94"/>
      <c r="MX51" s="94"/>
      <c r="MY51" s="94"/>
      <c r="MZ51" s="94"/>
      <c r="NA51" s="94"/>
      <c r="NB51" s="94"/>
      <c r="NC51" s="94"/>
      <c r="ND51" s="94"/>
      <c r="NE51" s="94"/>
      <c r="NF51" s="94"/>
      <c r="NG51" s="94"/>
      <c r="NH51" s="94"/>
      <c r="NI51" s="94"/>
      <c r="NJ51" s="94"/>
    </row>
    <row r="52" spans="1:374" x14ac:dyDescent="0.25">
      <c r="A52" s="88"/>
      <c r="B52" s="88"/>
      <c r="C52" s="88"/>
      <c r="D52" s="88"/>
      <c r="E52" s="89"/>
      <c r="F52" s="88"/>
      <c r="G52" s="88"/>
      <c r="H52" s="88" t="str">
        <f t="shared" si="26"/>
        <v xml:space="preserve">  </v>
      </c>
      <c r="I52" s="88"/>
      <c r="J52" s="88"/>
      <c r="K52" s="88"/>
      <c r="L52" s="88"/>
      <c r="M52" s="88"/>
      <c r="N52" s="88"/>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1"/>
      <c r="AR52" s="75"/>
      <c r="AS52" s="91"/>
      <c r="AT52" s="91"/>
      <c r="AU52" s="90"/>
      <c r="AV52" s="91"/>
      <c r="AW52" s="91"/>
      <c r="AX52" s="91"/>
      <c r="AY52" s="91"/>
      <c r="AZ52" s="91"/>
      <c r="BA52" s="91"/>
      <c r="BB52" s="90"/>
      <c r="BC52" s="91"/>
      <c r="BD52" s="75"/>
      <c r="BE52" s="91"/>
      <c r="BF52" s="91"/>
      <c r="BG52" s="90"/>
      <c r="BH52" s="91"/>
      <c r="BI52" s="91"/>
      <c r="BJ52" s="91"/>
      <c r="BK52" s="91"/>
      <c r="BL52" s="91"/>
      <c r="BM52" s="91"/>
      <c r="BN52" s="90"/>
      <c r="BO52" s="91"/>
      <c r="BP52" s="75"/>
      <c r="BQ52" s="91"/>
      <c r="BR52" s="91"/>
      <c r="BS52" s="90"/>
      <c r="BT52" s="91"/>
      <c r="BU52" s="91"/>
      <c r="BV52" s="91"/>
      <c r="BW52" s="91"/>
      <c r="BX52" s="91"/>
      <c r="BY52" s="91"/>
      <c r="BZ52" s="90"/>
      <c r="CA52" s="91"/>
      <c r="CB52" s="75"/>
      <c r="CC52" s="91"/>
      <c r="CD52" s="91"/>
      <c r="CE52" s="90"/>
      <c r="CF52" s="91"/>
      <c r="CG52" s="91"/>
      <c r="CH52" s="91"/>
      <c r="CI52" s="91"/>
      <c r="CJ52" s="91"/>
      <c r="CK52" s="91"/>
      <c r="CL52" s="90"/>
      <c r="CM52" s="91"/>
      <c r="CN52" s="75"/>
      <c r="CO52" s="91"/>
      <c r="CP52" s="91"/>
      <c r="CQ52" s="90"/>
      <c r="CR52" s="91"/>
      <c r="CS52" s="91"/>
      <c r="CT52" s="91"/>
      <c r="CU52" s="91"/>
      <c r="CV52" s="91"/>
      <c r="CW52" s="91"/>
      <c r="CX52" s="90"/>
      <c r="CY52" s="91"/>
      <c r="CZ52" s="75"/>
      <c r="DA52" s="91"/>
      <c r="DB52" s="91"/>
      <c r="DC52" s="90"/>
      <c r="DD52" s="91"/>
      <c r="DE52" s="91"/>
      <c r="DF52" s="91"/>
      <c r="DG52" s="91"/>
      <c r="DH52" s="91"/>
      <c r="DI52" s="91"/>
      <c r="DJ52" s="90"/>
      <c r="DK52" s="91"/>
      <c r="DL52" s="75"/>
      <c r="DM52" s="75"/>
      <c r="DN52" s="75">
        <f t="shared" si="1"/>
        <v>0</v>
      </c>
      <c r="DO52" s="75" t="str">
        <f t="shared" si="2"/>
        <v/>
      </c>
      <c r="DP52" s="91" t="str">
        <f>IFERROR(#REF!/#REF!*1000,"")</f>
        <v/>
      </c>
      <c r="DQ52" s="91" t="str">
        <f>IFERROR(#REF!/#REF!*1000,"")</f>
        <v/>
      </c>
      <c r="DR52" s="90"/>
      <c r="DS52" s="91" t="str">
        <f>IFERROR(#REF!/#REF!*1000,"")</f>
        <v/>
      </c>
      <c r="DT52" s="91" t="str">
        <f>IFERROR(#REF!/#REF!*1000,"")</f>
        <v/>
      </c>
      <c r="DU52" s="91"/>
      <c r="DV52" s="91"/>
      <c r="DW52" s="91"/>
      <c r="DX52" s="91"/>
      <c r="DY52" s="90"/>
      <c r="DZ52" s="91"/>
      <c r="EA52" s="75"/>
      <c r="EB52" s="91"/>
      <c r="EC52" s="91"/>
      <c r="ED52" s="90"/>
      <c r="EE52" s="91"/>
      <c r="EF52" s="91"/>
      <c r="EG52" s="91"/>
      <c r="EH52" s="91"/>
      <c r="EI52" s="91"/>
      <c r="EJ52" s="91"/>
      <c r="EK52" s="90"/>
      <c r="EL52" s="90"/>
      <c r="EM52" s="88"/>
      <c r="EN52" s="92"/>
      <c r="EO52" s="92"/>
      <c r="EP52" s="92"/>
      <c r="EQ52" s="92"/>
      <c r="ER52" s="92"/>
      <c r="ES52" s="92"/>
      <c r="ET52" s="92"/>
      <c r="EU52" s="92"/>
      <c r="EV52" s="92"/>
      <c r="EW52" s="92"/>
      <c r="EX52" s="92"/>
      <c r="EY52" s="92"/>
      <c r="EZ52" s="92"/>
      <c r="FA52" s="92"/>
      <c r="FB52" s="92"/>
      <c r="FC52" s="92"/>
      <c r="FD52" s="92"/>
      <c r="FE52" s="92"/>
      <c r="FF52" s="92"/>
      <c r="FG52" s="92"/>
      <c r="FH52" s="92"/>
      <c r="FI52" s="92"/>
      <c r="FJ52" s="92"/>
      <c r="FK52" s="92"/>
      <c r="FL52" s="92"/>
      <c r="FM52" s="92"/>
      <c r="FN52" s="92"/>
      <c r="FO52" s="92"/>
      <c r="FP52" s="92"/>
      <c r="FQ52" s="92"/>
      <c r="FR52" s="92"/>
      <c r="FS52" s="92"/>
      <c r="FT52" s="92"/>
      <c r="FU52" s="92"/>
      <c r="FV52" s="92"/>
      <c r="FW52" s="92"/>
      <c r="FX52" s="92"/>
      <c r="FY52" s="92"/>
      <c r="FZ52" s="92"/>
      <c r="GA52" s="92"/>
      <c r="GB52" s="92"/>
      <c r="GC52" s="92"/>
      <c r="GD52" s="92"/>
      <c r="GE52" s="92"/>
      <c r="GF52" s="92"/>
      <c r="GG52" s="92"/>
      <c r="GH52" s="92"/>
      <c r="GI52" s="92"/>
      <c r="GJ52" s="92"/>
      <c r="GK52" s="92"/>
      <c r="GL52" s="92"/>
      <c r="GM52" s="92"/>
      <c r="GN52" s="92"/>
      <c r="GO52" s="92"/>
      <c r="GP52" s="92"/>
      <c r="GQ52" s="92"/>
      <c r="GR52" s="92"/>
      <c r="GS52" s="92"/>
      <c r="GT52" s="92"/>
      <c r="GU52" s="92"/>
      <c r="GV52" s="92"/>
      <c r="GW52" s="92"/>
      <c r="GX52" s="92"/>
      <c r="GY52" s="92"/>
      <c r="GZ52" s="92"/>
      <c r="HA52" s="92"/>
      <c r="HB52" s="92"/>
      <c r="HC52" s="92"/>
      <c r="HD52" s="92"/>
      <c r="HE52" s="92"/>
      <c r="HF52" s="92"/>
      <c r="HG52" s="92"/>
      <c r="HH52" s="92"/>
      <c r="HI52" s="92"/>
      <c r="HJ52" s="92"/>
      <c r="HK52" s="92"/>
      <c r="HL52" s="92"/>
      <c r="HM52" s="92"/>
      <c r="HN52" s="92"/>
      <c r="HO52" s="92"/>
      <c r="HP52" s="92"/>
      <c r="HQ52" s="92"/>
      <c r="HR52" s="92"/>
      <c r="HS52" s="92"/>
      <c r="HT52" s="92"/>
      <c r="HU52" s="92"/>
      <c r="HV52" s="92"/>
      <c r="HW52" s="92"/>
      <c r="HX52" s="92"/>
      <c r="HY52" s="92"/>
      <c r="HZ52" s="92"/>
      <c r="IA52" s="92"/>
      <c r="IB52" s="92"/>
      <c r="IC52" s="92"/>
      <c r="ID52" s="92"/>
      <c r="IE52" s="92"/>
      <c r="IF52" s="92"/>
      <c r="IG52" s="92"/>
      <c r="IH52" s="92"/>
      <c r="II52" s="92"/>
      <c r="IJ52" s="92"/>
      <c r="IK52" s="92"/>
      <c r="IL52" s="92"/>
      <c r="IM52" s="92"/>
      <c r="IN52" s="92"/>
      <c r="IO52" s="92"/>
      <c r="IP52" s="92"/>
      <c r="IQ52" s="92"/>
      <c r="IR52" s="92"/>
      <c r="IS52" s="92"/>
      <c r="IT52" s="92"/>
      <c r="IU52" s="92"/>
      <c r="IV52" s="92"/>
      <c r="IW52" s="92"/>
      <c r="IX52" s="92"/>
      <c r="IY52" s="92"/>
      <c r="IZ52" s="92"/>
      <c r="JA52" s="92"/>
      <c r="JB52" s="92"/>
      <c r="JC52" s="92"/>
      <c r="JD52" s="92"/>
      <c r="JE52" s="92"/>
      <c r="JF52" s="92"/>
      <c r="JG52" s="92"/>
      <c r="JH52" s="92"/>
      <c r="JI52" s="92"/>
      <c r="JJ52" s="92"/>
      <c r="JK52" s="92"/>
      <c r="JL52" s="92"/>
      <c r="JM52" s="92"/>
      <c r="JN52" s="92"/>
      <c r="JO52" s="92"/>
      <c r="JP52" s="92"/>
      <c r="JQ52" s="92"/>
      <c r="JR52" s="92"/>
      <c r="JS52" s="92"/>
      <c r="JT52" s="92"/>
      <c r="JU52" s="92"/>
      <c r="JV52" s="92"/>
      <c r="JW52" s="92"/>
      <c r="JX52" s="92"/>
      <c r="JY52" s="92"/>
      <c r="JZ52" s="92"/>
      <c r="KA52" s="92"/>
      <c r="KB52" s="92"/>
      <c r="KC52" s="92"/>
      <c r="KD52" s="92"/>
      <c r="KE52" s="92"/>
      <c r="KF52" s="92"/>
      <c r="KG52" s="92"/>
      <c r="KH52" s="92"/>
      <c r="KI52" s="92"/>
      <c r="KJ52" s="92"/>
      <c r="KK52" s="92"/>
      <c r="KL52" s="92"/>
      <c r="KM52" s="92"/>
      <c r="KN52" s="92"/>
      <c r="KO52" s="92"/>
      <c r="KP52" s="92"/>
      <c r="KQ52" s="88"/>
      <c r="KR52" s="92"/>
      <c r="KS52" s="92"/>
      <c r="KT52" s="92"/>
      <c r="KU52" s="93"/>
      <c r="KV52" s="92"/>
      <c r="KW52" s="93"/>
      <c r="KX52" s="92"/>
      <c r="KY52" s="93"/>
      <c r="KZ52" s="92"/>
      <c r="LA52" s="93"/>
      <c r="LB52" s="92"/>
      <c r="LC52" s="93"/>
      <c r="LD52" s="92"/>
      <c r="LE52" s="93"/>
      <c r="LF52" s="92"/>
      <c r="LG52" s="92"/>
      <c r="LH52" s="92"/>
      <c r="LI52" s="92"/>
      <c r="LJ52" s="92"/>
      <c r="LK52" s="92"/>
      <c r="LL52" s="92"/>
      <c r="LM52" s="92"/>
      <c r="LN52" s="92"/>
      <c r="LO52" s="92"/>
      <c r="LP52" s="88"/>
      <c r="LQ52" s="93"/>
      <c r="LR52" s="88"/>
      <c r="LS52" s="93"/>
      <c r="LT52" s="93"/>
      <c r="LU52" s="93"/>
      <c r="LV52" s="93"/>
      <c r="LW52" s="93"/>
      <c r="LX52" s="93"/>
      <c r="LY52" s="93"/>
      <c r="LZ52" s="93"/>
      <c r="MA52" s="93"/>
      <c r="MB52" s="93"/>
      <c r="MC52" s="94"/>
      <c r="MD52" s="94"/>
      <c r="ME52" s="94"/>
      <c r="MF52" s="94"/>
      <c r="MG52" s="94"/>
      <c r="MH52" s="94"/>
      <c r="MI52" s="94"/>
      <c r="MJ52" s="94"/>
      <c r="MK52" s="94"/>
      <c r="ML52" s="94"/>
      <c r="MM52" s="94"/>
      <c r="MN52" s="94"/>
      <c r="MO52" s="95"/>
      <c r="MP52" s="95"/>
      <c r="MQ52" s="94"/>
      <c r="MR52" s="94"/>
      <c r="MS52" s="94"/>
      <c r="MT52" s="94"/>
      <c r="MU52" s="94"/>
      <c r="MV52" s="94"/>
      <c r="MW52" s="94"/>
      <c r="MX52" s="94"/>
      <c r="MY52" s="94"/>
      <c r="MZ52" s="94"/>
      <c r="NA52" s="94"/>
      <c r="NB52" s="94"/>
      <c r="NC52" s="94"/>
      <c r="ND52" s="94"/>
      <c r="NE52" s="94"/>
      <c r="NF52" s="94"/>
      <c r="NG52" s="94"/>
      <c r="NH52" s="94"/>
      <c r="NI52" s="94"/>
      <c r="NJ52" s="94"/>
    </row>
    <row r="53" spans="1:374" x14ac:dyDescent="0.25">
      <c r="A53" s="88"/>
      <c r="B53" s="88"/>
      <c r="C53" s="88"/>
      <c r="D53" s="88"/>
      <c r="E53" s="89"/>
      <c r="F53" s="88"/>
      <c r="G53" s="88"/>
      <c r="H53" s="88" t="str">
        <f t="shared" si="26"/>
        <v xml:space="preserve">  </v>
      </c>
      <c r="I53" s="88"/>
      <c r="J53" s="88"/>
      <c r="K53" s="88"/>
      <c r="L53" s="88"/>
      <c r="M53" s="88"/>
      <c r="N53" s="88"/>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1"/>
      <c r="AR53" s="75"/>
      <c r="AS53" s="91"/>
      <c r="AT53" s="91"/>
      <c r="AU53" s="90"/>
      <c r="AV53" s="91"/>
      <c r="AW53" s="91"/>
      <c r="AX53" s="91"/>
      <c r="AY53" s="91"/>
      <c r="AZ53" s="91"/>
      <c r="BA53" s="91"/>
      <c r="BB53" s="90"/>
      <c r="BC53" s="91"/>
      <c r="BD53" s="75"/>
      <c r="BE53" s="91"/>
      <c r="BF53" s="91"/>
      <c r="BG53" s="90"/>
      <c r="BH53" s="91"/>
      <c r="BI53" s="91"/>
      <c r="BJ53" s="91"/>
      <c r="BK53" s="91"/>
      <c r="BL53" s="91"/>
      <c r="BM53" s="91"/>
      <c r="BN53" s="90"/>
      <c r="BO53" s="91"/>
      <c r="BP53" s="75"/>
      <c r="BQ53" s="91"/>
      <c r="BR53" s="91"/>
      <c r="BS53" s="90"/>
      <c r="BT53" s="91"/>
      <c r="BU53" s="91"/>
      <c r="BV53" s="91"/>
      <c r="BW53" s="91"/>
      <c r="BX53" s="91"/>
      <c r="BY53" s="91"/>
      <c r="BZ53" s="90"/>
      <c r="CA53" s="91"/>
      <c r="CB53" s="75"/>
      <c r="CC53" s="91"/>
      <c r="CD53" s="91"/>
      <c r="CE53" s="90"/>
      <c r="CF53" s="91"/>
      <c r="CG53" s="91"/>
      <c r="CH53" s="91"/>
      <c r="CI53" s="91"/>
      <c r="CJ53" s="91"/>
      <c r="CK53" s="91"/>
      <c r="CL53" s="90"/>
      <c r="CM53" s="91"/>
      <c r="CN53" s="75"/>
      <c r="CO53" s="91"/>
      <c r="CP53" s="91"/>
      <c r="CQ53" s="90"/>
      <c r="CR53" s="91"/>
      <c r="CS53" s="91"/>
      <c r="CT53" s="91"/>
      <c r="CU53" s="91"/>
      <c r="CV53" s="91"/>
      <c r="CW53" s="91"/>
      <c r="CX53" s="90"/>
      <c r="CY53" s="91"/>
      <c r="CZ53" s="75"/>
      <c r="DA53" s="91"/>
      <c r="DB53" s="91"/>
      <c r="DC53" s="90"/>
      <c r="DD53" s="91"/>
      <c r="DE53" s="91"/>
      <c r="DF53" s="91"/>
      <c r="DG53" s="91"/>
      <c r="DH53" s="91"/>
      <c r="DI53" s="91"/>
      <c r="DJ53" s="90"/>
      <c r="DK53" s="91"/>
      <c r="DL53" s="75"/>
      <c r="DM53" s="75"/>
      <c r="DN53" s="75">
        <f t="shared" si="1"/>
        <v>0</v>
      </c>
      <c r="DO53" s="75" t="str">
        <f t="shared" si="2"/>
        <v/>
      </c>
      <c r="DP53" s="91" t="str">
        <f>IFERROR(#REF!/#REF!*1000,"")</f>
        <v/>
      </c>
      <c r="DQ53" s="91" t="str">
        <f>IFERROR(#REF!/#REF!*1000,"")</f>
        <v/>
      </c>
      <c r="DR53" s="90"/>
      <c r="DS53" s="91" t="str">
        <f>IFERROR(#REF!/#REF!*1000,"")</f>
        <v/>
      </c>
      <c r="DT53" s="91" t="str">
        <f>IFERROR(#REF!/#REF!*1000,"")</f>
        <v/>
      </c>
      <c r="DU53" s="91"/>
      <c r="DV53" s="91"/>
      <c r="DW53" s="91"/>
      <c r="DX53" s="91"/>
      <c r="DY53" s="90"/>
      <c r="DZ53" s="91"/>
      <c r="EA53" s="75"/>
      <c r="EB53" s="91"/>
      <c r="EC53" s="91"/>
      <c r="ED53" s="90"/>
      <c r="EE53" s="91"/>
      <c r="EF53" s="91"/>
      <c r="EG53" s="91"/>
      <c r="EH53" s="91"/>
      <c r="EI53" s="91"/>
      <c r="EJ53" s="91"/>
      <c r="EK53" s="90"/>
      <c r="EL53" s="90"/>
      <c r="EM53" s="88"/>
      <c r="EN53" s="92"/>
      <c r="EO53" s="92"/>
      <c r="EP53" s="92"/>
      <c r="EQ53" s="92"/>
      <c r="ER53" s="92"/>
      <c r="ES53" s="92"/>
      <c r="ET53" s="92"/>
      <c r="EU53" s="92"/>
      <c r="EV53" s="92"/>
      <c r="EW53" s="92"/>
      <c r="EX53" s="92"/>
      <c r="EY53" s="92"/>
      <c r="EZ53" s="92"/>
      <c r="FA53" s="92"/>
      <c r="FB53" s="92"/>
      <c r="FC53" s="92"/>
      <c r="FD53" s="92"/>
      <c r="FE53" s="92"/>
      <c r="FF53" s="92"/>
      <c r="FG53" s="92"/>
      <c r="FH53" s="92"/>
      <c r="FI53" s="92"/>
      <c r="FJ53" s="92"/>
      <c r="FK53" s="92"/>
      <c r="FL53" s="92"/>
      <c r="FM53" s="92"/>
      <c r="FN53" s="92"/>
      <c r="FO53" s="92"/>
      <c r="FP53" s="92"/>
      <c r="FQ53" s="92"/>
      <c r="FR53" s="92"/>
      <c r="FS53" s="92"/>
      <c r="FT53" s="92"/>
      <c r="FU53" s="92"/>
      <c r="FV53" s="92"/>
      <c r="FW53" s="92"/>
      <c r="FX53" s="92"/>
      <c r="FY53" s="92"/>
      <c r="FZ53" s="92"/>
      <c r="GA53" s="92"/>
      <c r="GB53" s="92"/>
      <c r="GC53" s="92"/>
      <c r="GD53" s="92"/>
      <c r="GE53" s="92"/>
      <c r="GF53" s="92"/>
      <c r="GG53" s="92"/>
      <c r="GH53" s="92"/>
      <c r="GI53" s="92"/>
      <c r="GJ53" s="92"/>
      <c r="GK53" s="92"/>
      <c r="GL53" s="92"/>
      <c r="GM53" s="92"/>
      <c r="GN53" s="92"/>
      <c r="GO53" s="92"/>
      <c r="GP53" s="92"/>
      <c r="GQ53" s="92"/>
      <c r="GR53" s="92"/>
      <c r="GS53" s="92"/>
      <c r="GT53" s="92"/>
      <c r="GU53" s="92"/>
      <c r="GV53" s="92"/>
      <c r="GW53" s="92"/>
      <c r="GX53" s="92"/>
      <c r="GY53" s="92"/>
      <c r="GZ53" s="92"/>
      <c r="HA53" s="92"/>
      <c r="HB53" s="92"/>
      <c r="HC53" s="92"/>
      <c r="HD53" s="92"/>
      <c r="HE53" s="92"/>
      <c r="HF53" s="92"/>
      <c r="HG53" s="92"/>
      <c r="HH53" s="92"/>
      <c r="HI53" s="92"/>
      <c r="HJ53" s="92"/>
      <c r="HK53" s="92"/>
      <c r="HL53" s="92"/>
      <c r="HM53" s="92"/>
      <c r="HN53" s="92"/>
      <c r="HO53" s="92"/>
      <c r="HP53" s="92"/>
      <c r="HQ53" s="92"/>
      <c r="HR53" s="92"/>
      <c r="HS53" s="92"/>
      <c r="HT53" s="92"/>
      <c r="HU53" s="92"/>
      <c r="HV53" s="92"/>
      <c r="HW53" s="92"/>
      <c r="HX53" s="92"/>
      <c r="HY53" s="92"/>
      <c r="HZ53" s="92"/>
      <c r="IA53" s="92"/>
      <c r="IB53" s="92"/>
      <c r="IC53" s="92"/>
      <c r="ID53" s="92"/>
      <c r="IE53" s="92"/>
      <c r="IF53" s="92"/>
      <c r="IG53" s="92"/>
      <c r="IH53" s="92"/>
      <c r="II53" s="92"/>
      <c r="IJ53" s="92"/>
      <c r="IK53" s="92"/>
      <c r="IL53" s="92"/>
      <c r="IM53" s="92"/>
      <c r="IN53" s="92"/>
      <c r="IO53" s="92"/>
      <c r="IP53" s="92"/>
      <c r="IQ53" s="92"/>
      <c r="IR53" s="92"/>
      <c r="IS53" s="92"/>
      <c r="IT53" s="92"/>
      <c r="IU53" s="92"/>
      <c r="IV53" s="92"/>
      <c r="IW53" s="92"/>
      <c r="IX53" s="92"/>
      <c r="IY53" s="92"/>
      <c r="IZ53" s="92"/>
      <c r="JA53" s="92"/>
      <c r="JB53" s="92"/>
      <c r="JC53" s="92"/>
      <c r="JD53" s="92"/>
      <c r="JE53" s="92"/>
      <c r="JF53" s="92"/>
      <c r="JG53" s="92"/>
      <c r="JH53" s="92"/>
      <c r="JI53" s="92"/>
      <c r="JJ53" s="92"/>
      <c r="JK53" s="92"/>
      <c r="JL53" s="92"/>
      <c r="JM53" s="92"/>
      <c r="JN53" s="92"/>
      <c r="JO53" s="92"/>
      <c r="JP53" s="92"/>
      <c r="JQ53" s="92"/>
      <c r="JR53" s="92"/>
      <c r="JS53" s="92"/>
      <c r="JT53" s="92"/>
      <c r="JU53" s="92"/>
      <c r="JV53" s="92"/>
      <c r="JW53" s="92"/>
      <c r="JX53" s="92"/>
      <c r="JY53" s="92"/>
      <c r="JZ53" s="92"/>
      <c r="KA53" s="92"/>
      <c r="KB53" s="92"/>
      <c r="KC53" s="92"/>
      <c r="KD53" s="92"/>
      <c r="KE53" s="92"/>
      <c r="KF53" s="92"/>
      <c r="KG53" s="92"/>
      <c r="KH53" s="92"/>
      <c r="KI53" s="92"/>
      <c r="KJ53" s="92"/>
      <c r="KK53" s="92"/>
      <c r="KL53" s="92"/>
      <c r="KM53" s="92"/>
      <c r="KN53" s="92"/>
      <c r="KO53" s="92"/>
      <c r="KP53" s="92"/>
      <c r="KQ53" s="88"/>
      <c r="KR53" s="92"/>
      <c r="KS53" s="92"/>
      <c r="KT53" s="92"/>
      <c r="KU53" s="93"/>
      <c r="KV53" s="92"/>
      <c r="KW53" s="93"/>
      <c r="KX53" s="92"/>
      <c r="KY53" s="93"/>
      <c r="KZ53" s="92"/>
      <c r="LA53" s="93"/>
      <c r="LB53" s="92"/>
      <c r="LC53" s="93"/>
      <c r="LD53" s="92"/>
      <c r="LE53" s="93"/>
      <c r="LF53" s="92"/>
      <c r="LG53" s="92"/>
      <c r="LH53" s="92"/>
      <c r="LI53" s="92"/>
      <c r="LJ53" s="92"/>
      <c r="LK53" s="92"/>
      <c r="LL53" s="92"/>
      <c r="LM53" s="92"/>
      <c r="LN53" s="92"/>
      <c r="LO53" s="92"/>
      <c r="LP53" s="88"/>
      <c r="LQ53" s="93"/>
      <c r="LR53" s="88"/>
      <c r="LS53" s="93"/>
      <c r="LT53" s="93"/>
      <c r="LU53" s="93"/>
      <c r="LV53" s="93"/>
      <c r="LW53" s="93"/>
      <c r="LX53" s="93"/>
      <c r="LY53" s="93"/>
      <c r="LZ53" s="93"/>
      <c r="MA53" s="93"/>
      <c r="MB53" s="93"/>
      <c r="MC53" s="94"/>
      <c r="MD53" s="94"/>
      <c r="ME53" s="94"/>
      <c r="MF53" s="94"/>
      <c r="MG53" s="94"/>
      <c r="MH53" s="94"/>
      <c r="MI53" s="94"/>
      <c r="MJ53" s="94"/>
      <c r="MK53" s="94"/>
      <c r="ML53" s="94"/>
      <c r="MM53" s="94"/>
      <c r="MN53" s="94"/>
      <c r="MO53" s="95"/>
      <c r="MP53" s="95"/>
      <c r="MQ53" s="94"/>
      <c r="MR53" s="94"/>
      <c r="MS53" s="94"/>
      <c r="MT53" s="94"/>
      <c r="MU53" s="94"/>
      <c r="MV53" s="94"/>
      <c r="MW53" s="94"/>
      <c r="MX53" s="94"/>
      <c r="MY53" s="94"/>
      <c r="MZ53" s="94"/>
      <c r="NA53" s="94"/>
      <c r="NB53" s="94"/>
      <c r="NC53" s="94"/>
      <c r="ND53" s="94"/>
      <c r="NE53" s="94"/>
      <c r="NF53" s="94"/>
      <c r="NG53" s="94"/>
      <c r="NH53" s="94"/>
      <c r="NI53" s="94"/>
      <c r="NJ53" s="94"/>
    </row>
    <row r="54" spans="1:374" x14ac:dyDescent="0.25">
      <c r="A54" s="88"/>
      <c r="B54" s="88"/>
      <c r="C54" s="88"/>
      <c r="D54" s="88"/>
      <c r="E54" s="89"/>
      <c r="F54" s="88"/>
      <c r="G54" s="88"/>
      <c r="H54" s="88" t="str">
        <f t="shared" si="26"/>
        <v xml:space="preserve">  </v>
      </c>
      <c r="I54" s="88"/>
      <c r="J54" s="88"/>
      <c r="K54" s="88"/>
      <c r="L54" s="88"/>
      <c r="M54" s="88"/>
      <c r="N54" s="88"/>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1"/>
      <c r="AR54" s="75"/>
      <c r="AS54" s="91"/>
      <c r="AT54" s="91"/>
      <c r="AU54" s="90"/>
      <c r="AV54" s="91"/>
      <c r="AW54" s="91"/>
      <c r="AX54" s="91"/>
      <c r="AY54" s="91"/>
      <c r="AZ54" s="91"/>
      <c r="BA54" s="91"/>
      <c r="BB54" s="90"/>
      <c r="BC54" s="91"/>
      <c r="BD54" s="75"/>
      <c r="BE54" s="91"/>
      <c r="BF54" s="91"/>
      <c r="BG54" s="90"/>
      <c r="BH54" s="91"/>
      <c r="BI54" s="91"/>
      <c r="BJ54" s="91"/>
      <c r="BK54" s="91"/>
      <c r="BL54" s="91"/>
      <c r="BM54" s="91"/>
      <c r="BN54" s="90"/>
      <c r="BO54" s="91"/>
      <c r="BP54" s="75"/>
      <c r="BQ54" s="91"/>
      <c r="BR54" s="91"/>
      <c r="BS54" s="90"/>
      <c r="BT54" s="91"/>
      <c r="BU54" s="91"/>
      <c r="BV54" s="91"/>
      <c r="BW54" s="91"/>
      <c r="BX54" s="91"/>
      <c r="BY54" s="91"/>
      <c r="BZ54" s="90"/>
      <c r="CA54" s="91"/>
      <c r="CB54" s="75"/>
      <c r="CC54" s="91"/>
      <c r="CD54" s="91"/>
      <c r="CE54" s="90"/>
      <c r="CF54" s="91"/>
      <c r="CG54" s="91"/>
      <c r="CH54" s="91"/>
      <c r="CI54" s="91"/>
      <c r="CJ54" s="91"/>
      <c r="CK54" s="91"/>
      <c r="CL54" s="90"/>
      <c r="CM54" s="91"/>
      <c r="CN54" s="75"/>
      <c r="CO54" s="91"/>
      <c r="CP54" s="91"/>
      <c r="CQ54" s="90"/>
      <c r="CR54" s="91"/>
      <c r="CS54" s="91"/>
      <c r="CT54" s="91"/>
      <c r="CU54" s="91"/>
      <c r="CV54" s="91"/>
      <c r="CW54" s="91"/>
      <c r="CX54" s="90"/>
      <c r="CY54" s="91"/>
      <c r="CZ54" s="75"/>
      <c r="DA54" s="91"/>
      <c r="DB54" s="91"/>
      <c r="DC54" s="90"/>
      <c r="DD54" s="91"/>
      <c r="DE54" s="91"/>
      <c r="DF54" s="91"/>
      <c r="DG54" s="91"/>
      <c r="DH54" s="91"/>
      <c r="DI54" s="91"/>
      <c r="DJ54" s="90"/>
      <c r="DK54" s="91"/>
      <c r="DL54" s="75"/>
      <c r="DM54" s="75"/>
      <c r="DN54" s="75">
        <f t="shared" si="1"/>
        <v>0</v>
      </c>
      <c r="DO54" s="75" t="str">
        <f t="shared" si="2"/>
        <v/>
      </c>
      <c r="DP54" s="91" t="str">
        <f>IFERROR(#REF!/#REF!*1000,"")</f>
        <v/>
      </c>
      <c r="DQ54" s="91" t="str">
        <f>IFERROR(#REF!/#REF!*1000,"")</f>
        <v/>
      </c>
      <c r="DR54" s="90"/>
      <c r="DS54" s="91" t="str">
        <f>IFERROR(#REF!/#REF!*1000,"")</f>
        <v/>
      </c>
      <c r="DT54" s="91" t="str">
        <f>IFERROR(#REF!/#REF!*1000,"")</f>
        <v/>
      </c>
      <c r="DU54" s="91"/>
      <c r="DV54" s="91"/>
      <c r="DW54" s="91"/>
      <c r="DX54" s="91"/>
      <c r="DY54" s="90"/>
      <c r="DZ54" s="91"/>
      <c r="EA54" s="75"/>
      <c r="EB54" s="91"/>
      <c r="EC54" s="91"/>
      <c r="ED54" s="90"/>
      <c r="EE54" s="91"/>
      <c r="EF54" s="91"/>
      <c r="EG54" s="91"/>
      <c r="EH54" s="91"/>
      <c r="EI54" s="91"/>
      <c r="EJ54" s="91"/>
      <c r="EK54" s="90"/>
      <c r="EL54" s="90"/>
      <c r="EM54" s="88"/>
      <c r="EN54" s="92"/>
      <c r="EO54" s="92"/>
      <c r="EP54" s="92"/>
      <c r="EQ54" s="92"/>
      <c r="ER54" s="92"/>
      <c r="ES54" s="92"/>
      <c r="ET54" s="92"/>
      <c r="EU54" s="92"/>
      <c r="EV54" s="92"/>
      <c r="EW54" s="92"/>
      <c r="EX54" s="92"/>
      <c r="EY54" s="92"/>
      <c r="EZ54" s="92"/>
      <c r="FA54" s="92"/>
      <c r="FB54" s="92"/>
      <c r="FC54" s="92"/>
      <c r="FD54" s="92"/>
      <c r="FE54" s="92"/>
      <c r="FF54" s="92"/>
      <c r="FG54" s="92"/>
      <c r="FH54" s="92"/>
      <c r="FI54" s="92"/>
      <c r="FJ54" s="92"/>
      <c r="FK54" s="92"/>
      <c r="FL54" s="92"/>
      <c r="FM54" s="92"/>
      <c r="FN54" s="92"/>
      <c r="FO54" s="92"/>
      <c r="FP54" s="92"/>
      <c r="FQ54" s="92"/>
      <c r="FR54" s="92"/>
      <c r="FS54" s="92"/>
      <c r="FT54" s="92"/>
      <c r="FU54" s="92"/>
      <c r="FV54" s="92"/>
      <c r="FW54" s="92"/>
      <c r="FX54" s="92"/>
      <c r="FY54" s="92"/>
      <c r="FZ54" s="92"/>
      <c r="GA54" s="92"/>
      <c r="GB54" s="92"/>
      <c r="GC54" s="92"/>
      <c r="GD54" s="92"/>
      <c r="GE54" s="92"/>
      <c r="GF54" s="92"/>
      <c r="GG54" s="92"/>
      <c r="GH54" s="92"/>
      <c r="GI54" s="92"/>
      <c r="GJ54" s="92"/>
      <c r="GK54" s="92"/>
      <c r="GL54" s="92"/>
      <c r="GM54" s="92"/>
      <c r="GN54" s="92"/>
      <c r="GO54" s="92"/>
      <c r="GP54" s="92"/>
      <c r="GQ54" s="92"/>
      <c r="GR54" s="92"/>
      <c r="GS54" s="92"/>
      <c r="GT54" s="92"/>
      <c r="GU54" s="92"/>
      <c r="GV54" s="92"/>
      <c r="GW54" s="92"/>
      <c r="GX54" s="92"/>
      <c r="GY54" s="92"/>
      <c r="GZ54" s="92"/>
      <c r="HA54" s="92"/>
      <c r="HB54" s="92"/>
      <c r="HC54" s="92"/>
      <c r="HD54" s="92"/>
      <c r="HE54" s="92"/>
      <c r="HF54" s="92"/>
      <c r="HG54" s="92"/>
      <c r="HH54" s="92"/>
      <c r="HI54" s="92"/>
      <c r="HJ54" s="92"/>
      <c r="HK54" s="92"/>
      <c r="HL54" s="92"/>
      <c r="HM54" s="92"/>
      <c r="HN54" s="92"/>
      <c r="HO54" s="92"/>
      <c r="HP54" s="92"/>
      <c r="HQ54" s="92"/>
      <c r="HR54" s="92"/>
      <c r="HS54" s="92"/>
      <c r="HT54" s="92"/>
      <c r="HU54" s="92"/>
      <c r="HV54" s="92"/>
      <c r="HW54" s="92"/>
      <c r="HX54" s="92"/>
      <c r="HY54" s="92"/>
      <c r="HZ54" s="92"/>
      <c r="IA54" s="92"/>
      <c r="IB54" s="92"/>
      <c r="IC54" s="92"/>
      <c r="ID54" s="92"/>
      <c r="IE54" s="92"/>
      <c r="IF54" s="92"/>
      <c r="IG54" s="92"/>
      <c r="IH54" s="92"/>
      <c r="II54" s="92"/>
      <c r="IJ54" s="92"/>
      <c r="IK54" s="92"/>
      <c r="IL54" s="92"/>
      <c r="IM54" s="92"/>
      <c r="IN54" s="92"/>
      <c r="IO54" s="92"/>
      <c r="IP54" s="92"/>
      <c r="IQ54" s="92"/>
      <c r="IR54" s="92"/>
      <c r="IS54" s="92"/>
      <c r="IT54" s="92"/>
      <c r="IU54" s="92"/>
      <c r="IV54" s="92"/>
      <c r="IW54" s="92"/>
      <c r="IX54" s="92"/>
      <c r="IY54" s="92"/>
      <c r="IZ54" s="92"/>
      <c r="JA54" s="92"/>
      <c r="JB54" s="92"/>
      <c r="JC54" s="92"/>
      <c r="JD54" s="92"/>
      <c r="JE54" s="92"/>
      <c r="JF54" s="92"/>
      <c r="JG54" s="92"/>
      <c r="JH54" s="92"/>
      <c r="JI54" s="92"/>
      <c r="JJ54" s="92"/>
      <c r="JK54" s="92"/>
      <c r="JL54" s="92"/>
      <c r="JM54" s="92"/>
      <c r="JN54" s="92"/>
      <c r="JO54" s="92"/>
      <c r="JP54" s="92"/>
      <c r="JQ54" s="92"/>
      <c r="JR54" s="92"/>
      <c r="JS54" s="92"/>
      <c r="JT54" s="92"/>
      <c r="JU54" s="92"/>
      <c r="JV54" s="92"/>
      <c r="JW54" s="92"/>
      <c r="JX54" s="92"/>
      <c r="JY54" s="92"/>
      <c r="JZ54" s="92"/>
      <c r="KA54" s="92"/>
      <c r="KB54" s="92"/>
      <c r="KC54" s="92"/>
      <c r="KD54" s="92"/>
      <c r="KE54" s="92"/>
      <c r="KF54" s="92"/>
      <c r="KG54" s="92"/>
      <c r="KH54" s="92"/>
      <c r="KI54" s="92"/>
      <c r="KJ54" s="92"/>
      <c r="KK54" s="92"/>
      <c r="KL54" s="92"/>
      <c r="KM54" s="92"/>
      <c r="KN54" s="92"/>
      <c r="KO54" s="92"/>
      <c r="KP54" s="92"/>
      <c r="KQ54" s="88"/>
      <c r="KR54" s="92"/>
      <c r="KS54" s="92"/>
      <c r="KT54" s="92"/>
      <c r="KU54" s="93"/>
      <c r="KV54" s="92"/>
      <c r="KW54" s="93"/>
      <c r="KX54" s="92"/>
      <c r="KY54" s="93"/>
      <c r="KZ54" s="92"/>
      <c r="LA54" s="93"/>
      <c r="LB54" s="92"/>
      <c r="LC54" s="93"/>
      <c r="LD54" s="92"/>
      <c r="LE54" s="93"/>
      <c r="LF54" s="92"/>
      <c r="LG54" s="92"/>
      <c r="LH54" s="92"/>
      <c r="LI54" s="92"/>
      <c r="LJ54" s="92"/>
      <c r="LK54" s="92"/>
      <c r="LL54" s="92"/>
      <c r="LM54" s="92"/>
      <c r="LN54" s="92"/>
      <c r="LO54" s="92"/>
      <c r="LP54" s="88"/>
      <c r="LQ54" s="93"/>
      <c r="LR54" s="88"/>
      <c r="LS54" s="93"/>
      <c r="LT54" s="93"/>
      <c r="LU54" s="93"/>
      <c r="LV54" s="93"/>
      <c r="LW54" s="93"/>
      <c r="LX54" s="93"/>
      <c r="LY54" s="93"/>
      <c r="LZ54" s="93"/>
      <c r="MA54" s="93"/>
      <c r="MB54" s="93"/>
      <c r="MC54" s="94"/>
      <c r="MD54" s="94"/>
      <c r="ME54" s="94"/>
      <c r="MF54" s="94"/>
      <c r="MG54" s="94"/>
      <c r="MH54" s="94"/>
      <c r="MI54" s="94"/>
      <c r="MJ54" s="94"/>
      <c r="MK54" s="94"/>
      <c r="ML54" s="94"/>
      <c r="MM54" s="94"/>
      <c r="MN54" s="94"/>
      <c r="MO54" s="95"/>
      <c r="MP54" s="95"/>
      <c r="MQ54" s="94"/>
      <c r="MR54" s="94"/>
      <c r="MS54" s="94"/>
      <c r="MT54" s="94"/>
      <c r="MU54" s="94"/>
      <c r="MV54" s="94"/>
      <c r="MW54" s="94"/>
      <c r="MX54" s="94"/>
      <c r="MY54" s="94"/>
      <c r="MZ54" s="94"/>
      <c r="NA54" s="94"/>
      <c r="NB54" s="94"/>
      <c r="NC54" s="94"/>
      <c r="ND54" s="94"/>
      <c r="NE54" s="94"/>
      <c r="NF54" s="94"/>
      <c r="NG54" s="94"/>
      <c r="NH54" s="94"/>
      <c r="NI54" s="94"/>
      <c r="NJ54" s="94"/>
    </row>
    <row r="55" spans="1:374" x14ac:dyDescent="0.25">
      <c r="A55" s="88"/>
      <c r="B55" s="88"/>
      <c r="C55" s="88"/>
      <c r="D55" s="88"/>
      <c r="E55" s="89"/>
      <c r="F55" s="88"/>
      <c r="G55" s="88"/>
      <c r="H55" s="88" t="str">
        <f t="shared" si="26"/>
        <v xml:space="preserve">  </v>
      </c>
      <c r="I55" s="88"/>
      <c r="J55" s="88"/>
      <c r="K55" s="88"/>
      <c r="L55" s="88"/>
      <c r="M55" s="88"/>
      <c r="N55" s="88"/>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1"/>
      <c r="AR55" s="75"/>
      <c r="AS55" s="91"/>
      <c r="AT55" s="91"/>
      <c r="AU55" s="90"/>
      <c r="AV55" s="91"/>
      <c r="AW55" s="91"/>
      <c r="AX55" s="91"/>
      <c r="AY55" s="91"/>
      <c r="AZ55" s="91"/>
      <c r="BA55" s="91"/>
      <c r="BB55" s="90"/>
      <c r="BC55" s="91"/>
      <c r="BD55" s="75"/>
      <c r="BE55" s="91"/>
      <c r="BF55" s="91"/>
      <c r="BG55" s="90"/>
      <c r="BH55" s="91"/>
      <c r="BI55" s="91"/>
      <c r="BJ55" s="91"/>
      <c r="BK55" s="91"/>
      <c r="BL55" s="91"/>
      <c r="BM55" s="91"/>
      <c r="BN55" s="90"/>
      <c r="BO55" s="91"/>
      <c r="BP55" s="75"/>
      <c r="BQ55" s="91"/>
      <c r="BR55" s="91"/>
      <c r="BS55" s="90"/>
      <c r="BT55" s="91"/>
      <c r="BU55" s="91"/>
      <c r="BV55" s="91"/>
      <c r="BW55" s="91"/>
      <c r="BX55" s="91"/>
      <c r="BY55" s="91"/>
      <c r="BZ55" s="90"/>
      <c r="CA55" s="91"/>
      <c r="CB55" s="75"/>
      <c r="CC55" s="91"/>
      <c r="CD55" s="91"/>
      <c r="CE55" s="90"/>
      <c r="CF55" s="91"/>
      <c r="CG55" s="91"/>
      <c r="CH55" s="91"/>
      <c r="CI55" s="91"/>
      <c r="CJ55" s="91"/>
      <c r="CK55" s="91"/>
      <c r="CL55" s="90"/>
      <c r="CM55" s="91"/>
      <c r="CN55" s="75"/>
      <c r="CO55" s="91"/>
      <c r="CP55" s="91"/>
      <c r="CQ55" s="90"/>
      <c r="CR55" s="91"/>
      <c r="CS55" s="91"/>
      <c r="CT55" s="91"/>
      <c r="CU55" s="91"/>
      <c r="CV55" s="91"/>
      <c r="CW55" s="91"/>
      <c r="CX55" s="90"/>
      <c r="CY55" s="91"/>
      <c r="CZ55" s="75"/>
      <c r="DA55" s="91"/>
      <c r="DB55" s="91"/>
      <c r="DC55" s="90"/>
      <c r="DD55" s="91"/>
      <c r="DE55" s="91"/>
      <c r="DF55" s="91"/>
      <c r="DG55" s="91"/>
      <c r="DH55" s="91"/>
      <c r="DI55" s="91"/>
      <c r="DJ55" s="90"/>
      <c r="DK55" s="91"/>
      <c r="DL55" s="75"/>
      <c r="DM55" s="75"/>
      <c r="DN55" s="75">
        <f t="shared" si="1"/>
        <v>0</v>
      </c>
      <c r="DO55" s="75" t="str">
        <f t="shared" si="2"/>
        <v/>
      </c>
      <c r="DP55" s="91" t="str">
        <f>IFERROR(#REF!/#REF!*1000,"")</f>
        <v/>
      </c>
      <c r="DQ55" s="91" t="str">
        <f>IFERROR(#REF!/#REF!*1000,"")</f>
        <v/>
      </c>
      <c r="DR55" s="90"/>
      <c r="DS55" s="91" t="str">
        <f>IFERROR(#REF!/#REF!*1000,"")</f>
        <v/>
      </c>
      <c r="DT55" s="91" t="str">
        <f>IFERROR(#REF!/#REF!*1000,"")</f>
        <v/>
      </c>
      <c r="DU55" s="91"/>
      <c r="DV55" s="91"/>
      <c r="DW55" s="91"/>
      <c r="DX55" s="91"/>
      <c r="DY55" s="90"/>
      <c r="DZ55" s="91"/>
      <c r="EA55" s="75"/>
      <c r="EB55" s="91"/>
      <c r="EC55" s="91"/>
      <c r="ED55" s="90"/>
      <c r="EE55" s="91"/>
      <c r="EF55" s="91"/>
      <c r="EG55" s="91"/>
      <c r="EH55" s="91"/>
      <c r="EI55" s="91"/>
      <c r="EJ55" s="91"/>
      <c r="EK55" s="90"/>
      <c r="EL55" s="90"/>
      <c r="EM55" s="88"/>
      <c r="EN55" s="92"/>
      <c r="EO55" s="92"/>
      <c r="EP55" s="92"/>
      <c r="EQ55" s="92"/>
      <c r="ER55" s="92"/>
      <c r="ES55" s="92"/>
      <c r="ET55" s="92"/>
      <c r="EU55" s="92"/>
      <c r="EV55" s="92"/>
      <c r="EW55" s="92"/>
      <c r="EX55" s="92"/>
      <c r="EY55" s="92"/>
      <c r="EZ55" s="92"/>
      <c r="FA55" s="92"/>
      <c r="FB55" s="92"/>
      <c r="FC55" s="92"/>
      <c r="FD55" s="92"/>
      <c r="FE55" s="92"/>
      <c r="FF55" s="92"/>
      <c r="FG55" s="92"/>
      <c r="FH55" s="92"/>
      <c r="FI55" s="92"/>
      <c r="FJ55" s="92"/>
      <c r="FK55" s="92"/>
      <c r="FL55" s="92"/>
      <c r="FM55" s="92"/>
      <c r="FN55" s="92"/>
      <c r="FO55" s="92"/>
      <c r="FP55" s="92"/>
      <c r="FQ55" s="92"/>
      <c r="FR55" s="92"/>
      <c r="FS55" s="92"/>
      <c r="FT55" s="92"/>
      <c r="FU55" s="92"/>
      <c r="FV55" s="92"/>
      <c r="FW55" s="92"/>
      <c r="FX55" s="92"/>
      <c r="FY55" s="92"/>
      <c r="FZ55" s="92"/>
      <c r="GA55" s="92"/>
      <c r="GB55" s="92"/>
      <c r="GC55" s="92"/>
      <c r="GD55" s="92"/>
      <c r="GE55" s="92"/>
      <c r="GF55" s="92"/>
      <c r="GG55" s="92"/>
      <c r="GH55" s="92"/>
      <c r="GI55" s="92"/>
      <c r="GJ55" s="92"/>
      <c r="GK55" s="92"/>
      <c r="GL55" s="92"/>
      <c r="GM55" s="92"/>
      <c r="GN55" s="92"/>
      <c r="GO55" s="92"/>
      <c r="GP55" s="92"/>
      <c r="GQ55" s="92"/>
      <c r="GR55" s="92"/>
      <c r="GS55" s="92"/>
      <c r="GT55" s="92"/>
      <c r="GU55" s="92"/>
      <c r="GV55" s="92"/>
      <c r="GW55" s="92"/>
      <c r="GX55" s="92"/>
      <c r="GY55" s="92"/>
      <c r="GZ55" s="92"/>
      <c r="HA55" s="92"/>
      <c r="HB55" s="92"/>
      <c r="HC55" s="92"/>
      <c r="HD55" s="92"/>
      <c r="HE55" s="92"/>
      <c r="HF55" s="92"/>
      <c r="HG55" s="92"/>
      <c r="HH55" s="92"/>
      <c r="HI55" s="92"/>
      <c r="HJ55" s="92"/>
      <c r="HK55" s="92"/>
      <c r="HL55" s="92"/>
      <c r="HM55" s="92"/>
      <c r="HN55" s="92"/>
      <c r="HO55" s="92"/>
      <c r="HP55" s="92"/>
      <c r="HQ55" s="92"/>
      <c r="HR55" s="92"/>
      <c r="HS55" s="92"/>
      <c r="HT55" s="92"/>
      <c r="HU55" s="92"/>
      <c r="HV55" s="92"/>
      <c r="HW55" s="92"/>
      <c r="HX55" s="92"/>
      <c r="HY55" s="92"/>
      <c r="HZ55" s="92"/>
      <c r="IA55" s="92"/>
      <c r="IB55" s="92"/>
      <c r="IC55" s="92"/>
      <c r="ID55" s="92"/>
      <c r="IE55" s="92"/>
      <c r="IF55" s="92"/>
      <c r="IG55" s="92"/>
      <c r="IH55" s="92"/>
      <c r="II55" s="92"/>
      <c r="IJ55" s="92"/>
      <c r="IK55" s="92"/>
      <c r="IL55" s="92"/>
      <c r="IM55" s="92"/>
      <c r="IN55" s="92"/>
      <c r="IO55" s="92"/>
      <c r="IP55" s="92"/>
      <c r="IQ55" s="92"/>
      <c r="IR55" s="92"/>
      <c r="IS55" s="92"/>
      <c r="IT55" s="92"/>
      <c r="IU55" s="92"/>
      <c r="IV55" s="92"/>
      <c r="IW55" s="92"/>
      <c r="IX55" s="92"/>
      <c r="IY55" s="92"/>
      <c r="IZ55" s="92"/>
      <c r="JA55" s="92"/>
      <c r="JB55" s="92"/>
      <c r="JC55" s="92"/>
      <c r="JD55" s="92"/>
      <c r="JE55" s="92"/>
      <c r="JF55" s="92"/>
      <c r="JG55" s="92"/>
      <c r="JH55" s="92"/>
      <c r="JI55" s="92"/>
      <c r="JJ55" s="92"/>
      <c r="JK55" s="92"/>
      <c r="JL55" s="92"/>
      <c r="JM55" s="92"/>
      <c r="JN55" s="92"/>
      <c r="JO55" s="92"/>
      <c r="JP55" s="92"/>
      <c r="JQ55" s="92"/>
      <c r="JR55" s="92"/>
      <c r="JS55" s="92"/>
      <c r="JT55" s="92"/>
      <c r="JU55" s="92"/>
      <c r="JV55" s="92"/>
      <c r="JW55" s="92"/>
      <c r="JX55" s="92"/>
      <c r="JY55" s="92"/>
      <c r="JZ55" s="92"/>
      <c r="KA55" s="92"/>
      <c r="KB55" s="92"/>
      <c r="KC55" s="92"/>
      <c r="KD55" s="92"/>
      <c r="KE55" s="92"/>
      <c r="KF55" s="92"/>
      <c r="KG55" s="92"/>
      <c r="KH55" s="92"/>
      <c r="KI55" s="92"/>
      <c r="KJ55" s="92"/>
      <c r="KK55" s="92"/>
      <c r="KL55" s="92"/>
      <c r="KM55" s="92"/>
      <c r="KN55" s="92"/>
      <c r="KO55" s="92"/>
      <c r="KP55" s="92"/>
      <c r="KQ55" s="88"/>
      <c r="KR55" s="92"/>
      <c r="KS55" s="92"/>
      <c r="KT55" s="92"/>
      <c r="KU55" s="93"/>
      <c r="KV55" s="92"/>
      <c r="KW55" s="93"/>
      <c r="KX55" s="92"/>
      <c r="KY55" s="93"/>
      <c r="KZ55" s="92"/>
      <c r="LA55" s="93"/>
      <c r="LB55" s="92"/>
      <c r="LC55" s="93"/>
      <c r="LD55" s="92"/>
      <c r="LE55" s="93"/>
      <c r="LF55" s="92"/>
      <c r="LG55" s="92"/>
      <c r="LH55" s="92"/>
      <c r="LI55" s="92"/>
      <c r="LJ55" s="92"/>
      <c r="LK55" s="92"/>
      <c r="LL55" s="92"/>
      <c r="LM55" s="92"/>
      <c r="LN55" s="92"/>
      <c r="LO55" s="92"/>
      <c r="LP55" s="88"/>
      <c r="LQ55" s="93"/>
      <c r="LR55" s="88"/>
      <c r="LS55" s="93"/>
      <c r="LT55" s="93"/>
      <c r="LU55" s="93"/>
      <c r="LV55" s="93"/>
      <c r="LW55" s="93"/>
      <c r="LX55" s="93"/>
      <c r="LY55" s="93"/>
      <c r="LZ55" s="93"/>
      <c r="MA55" s="93"/>
      <c r="MB55" s="93"/>
      <c r="MC55" s="94"/>
      <c r="MD55" s="94"/>
      <c r="ME55" s="94"/>
      <c r="MF55" s="94"/>
      <c r="MG55" s="94"/>
      <c r="MH55" s="94"/>
      <c r="MI55" s="94"/>
      <c r="MJ55" s="94"/>
      <c r="MK55" s="94"/>
      <c r="ML55" s="94"/>
      <c r="MM55" s="94"/>
      <c r="MN55" s="94"/>
      <c r="MO55" s="95"/>
      <c r="MP55" s="95"/>
      <c r="MQ55" s="94"/>
      <c r="MR55" s="94"/>
      <c r="MS55" s="94"/>
      <c r="MT55" s="94"/>
      <c r="MU55" s="94"/>
      <c r="MV55" s="94"/>
      <c r="MW55" s="94"/>
      <c r="MX55" s="94"/>
      <c r="MY55" s="94"/>
      <c r="MZ55" s="94"/>
      <c r="NA55" s="94"/>
      <c r="NB55" s="94"/>
      <c r="NC55" s="94"/>
      <c r="ND55" s="94"/>
      <c r="NE55" s="94"/>
      <c r="NF55" s="94"/>
      <c r="NG55" s="94"/>
      <c r="NH55" s="94"/>
      <c r="NI55" s="94"/>
      <c r="NJ55" s="94"/>
    </row>
    <row r="56" spans="1:374" x14ac:dyDescent="0.25">
      <c r="A56" s="88"/>
      <c r="B56" s="88"/>
      <c r="C56" s="88"/>
      <c r="D56" s="88"/>
      <c r="E56" s="89"/>
      <c r="F56" s="88"/>
      <c r="G56" s="88"/>
      <c r="H56" s="88" t="str">
        <f t="shared" si="26"/>
        <v xml:space="preserve">  </v>
      </c>
      <c r="I56" s="88"/>
      <c r="J56" s="88"/>
      <c r="K56" s="88"/>
      <c r="L56" s="88"/>
      <c r="M56" s="88"/>
      <c r="N56" s="88"/>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1"/>
      <c r="AR56" s="75"/>
      <c r="AS56" s="91"/>
      <c r="AT56" s="91"/>
      <c r="AU56" s="90"/>
      <c r="AV56" s="91"/>
      <c r="AW56" s="91"/>
      <c r="AX56" s="91"/>
      <c r="AY56" s="91"/>
      <c r="AZ56" s="91"/>
      <c r="BA56" s="91"/>
      <c r="BB56" s="90"/>
      <c r="BC56" s="91"/>
      <c r="BD56" s="75"/>
      <c r="BE56" s="91"/>
      <c r="BF56" s="91"/>
      <c r="BG56" s="90"/>
      <c r="BH56" s="91"/>
      <c r="BI56" s="91"/>
      <c r="BJ56" s="91"/>
      <c r="BK56" s="91"/>
      <c r="BL56" s="91"/>
      <c r="BM56" s="91"/>
      <c r="BN56" s="90"/>
      <c r="BO56" s="91"/>
      <c r="BP56" s="75"/>
      <c r="BQ56" s="91"/>
      <c r="BR56" s="91"/>
      <c r="BS56" s="90"/>
      <c r="BT56" s="91"/>
      <c r="BU56" s="91"/>
      <c r="BV56" s="91"/>
      <c r="BW56" s="91"/>
      <c r="BX56" s="91"/>
      <c r="BY56" s="91"/>
      <c r="BZ56" s="90"/>
      <c r="CA56" s="91"/>
      <c r="CB56" s="75"/>
      <c r="CC56" s="91"/>
      <c r="CD56" s="91"/>
      <c r="CE56" s="90"/>
      <c r="CF56" s="91"/>
      <c r="CG56" s="91"/>
      <c r="CH56" s="91"/>
      <c r="CI56" s="91"/>
      <c r="CJ56" s="91"/>
      <c r="CK56" s="91"/>
      <c r="CL56" s="90"/>
      <c r="CM56" s="91"/>
      <c r="CN56" s="75"/>
      <c r="CO56" s="91"/>
      <c r="CP56" s="91"/>
      <c r="CQ56" s="90"/>
      <c r="CR56" s="91"/>
      <c r="CS56" s="91"/>
      <c r="CT56" s="91"/>
      <c r="CU56" s="91"/>
      <c r="CV56" s="91"/>
      <c r="CW56" s="91"/>
      <c r="CX56" s="90"/>
      <c r="CY56" s="91"/>
      <c r="CZ56" s="75"/>
      <c r="DA56" s="91"/>
      <c r="DB56" s="91"/>
      <c r="DC56" s="90"/>
      <c r="DD56" s="91"/>
      <c r="DE56" s="91"/>
      <c r="DF56" s="91"/>
      <c r="DG56" s="91"/>
      <c r="DH56" s="91"/>
      <c r="DI56" s="91"/>
      <c r="DJ56" s="90"/>
      <c r="DK56" s="91"/>
      <c r="DL56" s="75"/>
      <c r="DM56" s="75"/>
      <c r="DN56" s="75">
        <f t="shared" si="1"/>
        <v>0</v>
      </c>
      <c r="DO56" s="75" t="str">
        <f t="shared" si="2"/>
        <v/>
      </c>
      <c r="DP56" s="91" t="str">
        <f>IFERROR(#REF!/#REF!*1000,"")</f>
        <v/>
      </c>
      <c r="DQ56" s="91" t="str">
        <f>IFERROR(#REF!/#REF!*1000,"")</f>
        <v/>
      </c>
      <c r="DR56" s="90"/>
      <c r="DS56" s="91" t="str">
        <f>IFERROR(#REF!/#REF!*1000,"")</f>
        <v/>
      </c>
      <c r="DT56" s="91" t="str">
        <f>IFERROR(#REF!/#REF!*1000,"")</f>
        <v/>
      </c>
      <c r="DU56" s="91"/>
      <c r="DV56" s="91"/>
      <c r="DW56" s="91"/>
      <c r="DX56" s="91"/>
      <c r="DY56" s="90"/>
      <c r="DZ56" s="91"/>
      <c r="EA56" s="75"/>
      <c r="EB56" s="91"/>
      <c r="EC56" s="91"/>
      <c r="ED56" s="90"/>
      <c r="EE56" s="91"/>
      <c r="EF56" s="91"/>
      <c r="EG56" s="91"/>
      <c r="EH56" s="91"/>
      <c r="EI56" s="91"/>
      <c r="EJ56" s="91"/>
      <c r="EK56" s="90"/>
      <c r="EL56" s="90"/>
      <c r="EM56" s="88"/>
      <c r="EN56" s="92"/>
      <c r="EO56" s="92"/>
      <c r="EP56" s="92"/>
      <c r="EQ56" s="92"/>
      <c r="ER56" s="92"/>
      <c r="ES56" s="92"/>
      <c r="ET56" s="92"/>
      <c r="EU56" s="92"/>
      <c r="EV56" s="92"/>
      <c r="EW56" s="92"/>
      <c r="EX56" s="92"/>
      <c r="EY56" s="92"/>
      <c r="EZ56" s="92"/>
      <c r="FA56" s="92"/>
      <c r="FB56" s="92"/>
      <c r="FC56" s="92"/>
      <c r="FD56" s="92"/>
      <c r="FE56" s="92"/>
      <c r="FF56" s="92"/>
      <c r="FG56" s="92"/>
      <c r="FH56" s="92"/>
      <c r="FI56" s="92"/>
      <c r="FJ56" s="92"/>
      <c r="FK56" s="92"/>
      <c r="FL56" s="92"/>
      <c r="FM56" s="92"/>
      <c r="FN56" s="92"/>
      <c r="FO56" s="92"/>
      <c r="FP56" s="92"/>
      <c r="FQ56" s="92"/>
      <c r="FR56" s="92"/>
      <c r="FS56" s="92"/>
      <c r="FT56" s="92"/>
      <c r="FU56" s="92"/>
      <c r="FV56" s="92"/>
      <c r="FW56" s="92"/>
      <c r="FX56" s="92"/>
      <c r="FY56" s="92"/>
      <c r="FZ56" s="92"/>
      <c r="GA56" s="92"/>
      <c r="GB56" s="92"/>
      <c r="GC56" s="92"/>
      <c r="GD56" s="92"/>
      <c r="GE56" s="92"/>
      <c r="GF56" s="92"/>
      <c r="GG56" s="92"/>
      <c r="GH56" s="92"/>
      <c r="GI56" s="92"/>
      <c r="GJ56" s="92"/>
      <c r="GK56" s="92"/>
      <c r="GL56" s="92"/>
      <c r="GM56" s="92"/>
      <c r="GN56" s="92"/>
      <c r="GO56" s="92"/>
      <c r="GP56" s="92"/>
      <c r="GQ56" s="92"/>
      <c r="GR56" s="92"/>
      <c r="GS56" s="92"/>
      <c r="GT56" s="92"/>
      <c r="GU56" s="92"/>
      <c r="GV56" s="92"/>
      <c r="GW56" s="92"/>
      <c r="GX56" s="92"/>
      <c r="GY56" s="92"/>
      <c r="GZ56" s="92"/>
      <c r="HA56" s="92"/>
      <c r="HB56" s="92"/>
      <c r="HC56" s="92"/>
      <c r="HD56" s="92"/>
      <c r="HE56" s="92"/>
      <c r="HF56" s="92"/>
      <c r="HG56" s="92"/>
      <c r="HH56" s="92"/>
      <c r="HI56" s="92"/>
      <c r="HJ56" s="92"/>
      <c r="HK56" s="92"/>
      <c r="HL56" s="92"/>
      <c r="HM56" s="92"/>
      <c r="HN56" s="92"/>
      <c r="HO56" s="92"/>
      <c r="HP56" s="92"/>
      <c r="HQ56" s="92"/>
      <c r="HR56" s="92"/>
      <c r="HS56" s="92"/>
      <c r="HT56" s="92"/>
      <c r="HU56" s="92"/>
      <c r="HV56" s="92"/>
      <c r="HW56" s="92"/>
      <c r="HX56" s="92"/>
      <c r="HY56" s="92"/>
      <c r="HZ56" s="92"/>
      <c r="IA56" s="92"/>
      <c r="IB56" s="92"/>
      <c r="IC56" s="92"/>
      <c r="ID56" s="92"/>
      <c r="IE56" s="92"/>
      <c r="IF56" s="92"/>
      <c r="IG56" s="92"/>
      <c r="IH56" s="92"/>
      <c r="II56" s="92"/>
      <c r="IJ56" s="92"/>
      <c r="IK56" s="92"/>
      <c r="IL56" s="92"/>
      <c r="IM56" s="92"/>
      <c r="IN56" s="92"/>
      <c r="IO56" s="92"/>
      <c r="IP56" s="92"/>
      <c r="IQ56" s="92"/>
      <c r="IR56" s="92"/>
      <c r="IS56" s="92"/>
      <c r="IT56" s="92"/>
      <c r="IU56" s="92"/>
      <c r="IV56" s="92"/>
      <c r="IW56" s="92"/>
      <c r="IX56" s="92"/>
      <c r="IY56" s="92"/>
      <c r="IZ56" s="92"/>
      <c r="JA56" s="92"/>
      <c r="JB56" s="92"/>
      <c r="JC56" s="92"/>
      <c r="JD56" s="92"/>
      <c r="JE56" s="92"/>
      <c r="JF56" s="92"/>
      <c r="JG56" s="92"/>
      <c r="JH56" s="92"/>
      <c r="JI56" s="92"/>
      <c r="JJ56" s="92"/>
      <c r="JK56" s="92"/>
      <c r="JL56" s="92"/>
      <c r="JM56" s="92"/>
      <c r="JN56" s="92"/>
      <c r="JO56" s="92"/>
      <c r="JP56" s="92"/>
      <c r="JQ56" s="92"/>
      <c r="JR56" s="92"/>
      <c r="JS56" s="92"/>
      <c r="JT56" s="92"/>
      <c r="JU56" s="92"/>
      <c r="JV56" s="92"/>
      <c r="JW56" s="92"/>
      <c r="JX56" s="92"/>
      <c r="JY56" s="92"/>
      <c r="JZ56" s="92"/>
      <c r="KA56" s="92"/>
      <c r="KB56" s="92"/>
      <c r="KC56" s="92"/>
      <c r="KD56" s="92"/>
      <c r="KE56" s="92"/>
      <c r="KF56" s="92"/>
      <c r="KG56" s="92"/>
      <c r="KH56" s="92"/>
      <c r="KI56" s="92"/>
      <c r="KJ56" s="92"/>
      <c r="KK56" s="92"/>
      <c r="KL56" s="92"/>
      <c r="KM56" s="92"/>
      <c r="KN56" s="92"/>
      <c r="KO56" s="92"/>
      <c r="KP56" s="92"/>
      <c r="KQ56" s="88"/>
      <c r="KR56" s="92"/>
      <c r="KS56" s="92"/>
      <c r="KT56" s="92"/>
      <c r="KU56" s="93"/>
      <c r="KV56" s="92"/>
      <c r="KW56" s="93"/>
      <c r="KX56" s="92"/>
      <c r="KY56" s="93"/>
      <c r="KZ56" s="92"/>
      <c r="LA56" s="93"/>
      <c r="LB56" s="92"/>
      <c r="LC56" s="93"/>
      <c r="LD56" s="92"/>
      <c r="LE56" s="93"/>
      <c r="LF56" s="92"/>
      <c r="LG56" s="92"/>
      <c r="LH56" s="92"/>
      <c r="LI56" s="92"/>
      <c r="LJ56" s="92"/>
      <c r="LK56" s="92"/>
      <c r="LL56" s="92"/>
      <c r="LM56" s="92"/>
      <c r="LN56" s="92"/>
      <c r="LO56" s="92"/>
      <c r="LP56" s="88"/>
      <c r="LQ56" s="93"/>
      <c r="LR56" s="88"/>
      <c r="LS56" s="93"/>
      <c r="LT56" s="93"/>
      <c r="LU56" s="93"/>
      <c r="LV56" s="93"/>
      <c r="LW56" s="93"/>
      <c r="LX56" s="93"/>
      <c r="LY56" s="93"/>
      <c r="LZ56" s="93"/>
      <c r="MA56" s="93"/>
      <c r="MB56" s="93"/>
      <c r="MC56" s="94"/>
      <c r="MD56" s="94"/>
      <c r="ME56" s="94"/>
      <c r="MF56" s="94"/>
      <c r="MG56" s="94"/>
      <c r="MH56" s="94"/>
      <c r="MI56" s="94"/>
      <c r="MJ56" s="94"/>
      <c r="MK56" s="94"/>
      <c r="ML56" s="94"/>
      <c r="MM56" s="94"/>
      <c r="MN56" s="94"/>
      <c r="MO56" s="95"/>
      <c r="MP56" s="95"/>
      <c r="MQ56" s="94"/>
      <c r="MR56" s="94"/>
      <c r="MS56" s="94"/>
      <c r="MT56" s="94"/>
      <c r="MU56" s="94"/>
      <c r="MV56" s="94"/>
      <c r="MW56" s="94"/>
      <c r="MX56" s="94"/>
      <c r="MY56" s="94"/>
      <c r="MZ56" s="94"/>
      <c r="NA56" s="94"/>
      <c r="NB56" s="94"/>
      <c r="NC56" s="94"/>
      <c r="ND56" s="94"/>
      <c r="NE56" s="94"/>
      <c r="NF56" s="94"/>
      <c r="NG56" s="94"/>
      <c r="NH56" s="94"/>
      <c r="NI56" s="94"/>
      <c r="NJ56" s="94"/>
    </row>
    <row r="57" spans="1:374" x14ac:dyDescent="0.25">
      <c r="A57" s="88"/>
      <c r="B57" s="88"/>
      <c r="C57" s="88"/>
      <c r="D57" s="88"/>
      <c r="E57" s="89"/>
      <c r="F57" s="88"/>
      <c r="G57" s="88"/>
      <c r="H57" s="88" t="str">
        <f t="shared" si="26"/>
        <v xml:space="preserve">  </v>
      </c>
      <c r="I57" s="88"/>
      <c r="J57" s="88"/>
      <c r="K57" s="88"/>
      <c r="L57" s="88"/>
      <c r="M57" s="88"/>
      <c r="N57" s="88"/>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1"/>
      <c r="AR57" s="75"/>
      <c r="AS57" s="91"/>
      <c r="AT57" s="91"/>
      <c r="AU57" s="90"/>
      <c r="AV57" s="91"/>
      <c r="AW57" s="91"/>
      <c r="AX57" s="91"/>
      <c r="AY57" s="91"/>
      <c r="AZ57" s="91"/>
      <c r="BA57" s="91"/>
      <c r="BB57" s="90"/>
      <c r="BC57" s="91"/>
      <c r="BD57" s="75"/>
      <c r="BE57" s="91"/>
      <c r="BF57" s="91"/>
      <c r="BG57" s="90"/>
      <c r="BH57" s="91"/>
      <c r="BI57" s="91"/>
      <c r="BJ57" s="91"/>
      <c r="BK57" s="91"/>
      <c r="BL57" s="91"/>
      <c r="BM57" s="91"/>
      <c r="BN57" s="90"/>
      <c r="BO57" s="91"/>
      <c r="BP57" s="75"/>
      <c r="BQ57" s="91"/>
      <c r="BR57" s="91"/>
      <c r="BS57" s="90"/>
      <c r="BT57" s="91"/>
      <c r="BU57" s="91"/>
      <c r="BV57" s="91"/>
      <c r="BW57" s="91"/>
      <c r="BX57" s="91"/>
      <c r="BY57" s="91"/>
      <c r="BZ57" s="90"/>
      <c r="CA57" s="91"/>
      <c r="CB57" s="75"/>
      <c r="CC57" s="91"/>
      <c r="CD57" s="91"/>
      <c r="CE57" s="90"/>
      <c r="CF57" s="91"/>
      <c r="CG57" s="91"/>
      <c r="CH57" s="91"/>
      <c r="CI57" s="91"/>
      <c r="CJ57" s="91"/>
      <c r="CK57" s="91"/>
      <c r="CL57" s="90"/>
      <c r="CM57" s="91"/>
      <c r="CN57" s="75"/>
      <c r="CO57" s="91"/>
      <c r="CP57" s="91"/>
      <c r="CQ57" s="90"/>
      <c r="CR57" s="91"/>
      <c r="CS57" s="91"/>
      <c r="CT57" s="91"/>
      <c r="CU57" s="91"/>
      <c r="CV57" s="91"/>
      <c r="CW57" s="91"/>
      <c r="CX57" s="90"/>
      <c r="CY57" s="91"/>
      <c r="CZ57" s="75"/>
      <c r="DA57" s="91"/>
      <c r="DB57" s="91"/>
      <c r="DC57" s="90"/>
      <c r="DD57" s="91"/>
      <c r="DE57" s="91"/>
      <c r="DF57" s="91"/>
      <c r="DG57" s="91"/>
      <c r="DH57" s="91"/>
      <c r="DI57" s="91"/>
      <c r="DJ57" s="90"/>
      <c r="DK57" s="91"/>
      <c r="DL57" s="75"/>
      <c r="DM57" s="75"/>
      <c r="DN57" s="75">
        <f t="shared" si="1"/>
        <v>0</v>
      </c>
      <c r="DO57" s="75" t="str">
        <f t="shared" si="2"/>
        <v/>
      </c>
      <c r="DP57" s="91" t="str">
        <f>IFERROR(#REF!/#REF!*1000,"")</f>
        <v/>
      </c>
      <c r="DQ57" s="91" t="str">
        <f>IFERROR(#REF!/#REF!*1000,"")</f>
        <v/>
      </c>
      <c r="DR57" s="90"/>
      <c r="DS57" s="91" t="str">
        <f>IFERROR(#REF!/#REF!*1000,"")</f>
        <v/>
      </c>
      <c r="DT57" s="91" t="str">
        <f>IFERROR(#REF!/#REF!*1000,"")</f>
        <v/>
      </c>
      <c r="DU57" s="91"/>
      <c r="DV57" s="91"/>
      <c r="DW57" s="91"/>
      <c r="DX57" s="91"/>
      <c r="DY57" s="90"/>
      <c r="DZ57" s="91"/>
      <c r="EA57" s="75"/>
      <c r="EB57" s="91"/>
      <c r="EC57" s="91"/>
      <c r="ED57" s="90"/>
      <c r="EE57" s="91"/>
      <c r="EF57" s="91"/>
      <c r="EG57" s="91"/>
      <c r="EH57" s="91"/>
      <c r="EI57" s="91"/>
      <c r="EJ57" s="91"/>
      <c r="EK57" s="90"/>
      <c r="EL57" s="90"/>
      <c r="EM57" s="88"/>
      <c r="EN57" s="92"/>
      <c r="EO57" s="92"/>
      <c r="EP57" s="92"/>
      <c r="EQ57" s="92"/>
      <c r="ER57" s="92"/>
      <c r="ES57" s="92"/>
      <c r="ET57" s="92"/>
      <c r="EU57" s="92"/>
      <c r="EV57" s="92"/>
      <c r="EW57" s="92"/>
      <c r="EX57" s="92"/>
      <c r="EY57" s="92"/>
      <c r="EZ57" s="92"/>
      <c r="FA57" s="92"/>
      <c r="FB57" s="92"/>
      <c r="FC57" s="92"/>
      <c r="FD57" s="92"/>
      <c r="FE57" s="92"/>
      <c r="FF57" s="92"/>
      <c r="FG57" s="92"/>
      <c r="FH57" s="92"/>
      <c r="FI57" s="92"/>
      <c r="FJ57" s="92"/>
      <c r="FK57" s="92"/>
      <c r="FL57" s="92"/>
      <c r="FM57" s="92"/>
      <c r="FN57" s="92"/>
      <c r="FO57" s="92"/>
      <c r="FP57" s="92"/>
      <c r="FQ57" s="92"/>
      <c r="FR57" s="92"/>
      <c r="FS57" s="92"/>
      <c r="FT57" s="92"/>
      <c r="FU57" s="92"/>
      <c r="FV57" s="92"/>
      <c r="FW57" s="92"/>
      <c r="FX57" s="92"/>
      <c r="FY57" s="92"/>
      <c r="FZ57" s="92"/>
      <c r="GA57" s="92"/>
      <c r="GB57" s="92"/>
      <c r="GC57" s="92"/>
      <c r="GD57" s="92"/>
      <c r="GE57" s="92"/>
      <c r="GF57" s="92"/>
      <c r="GG57" s="92"/>
      <c r="GH57" s="92"/>
      <c r="GI57" s="92"/>
      <c r="GJ57" s="92"/>
      <c r="GK57" s="92"/>
      <c r="GL57" s="92"/>
      <c r="GM57" s="92"/>
      <c r="GN57" s="92"/>
      <c r="GO57" s="92"/>
      <c r="GP57" s="92"/>
      <c r="GQ57" s="92"/>
      <c r="GR57" s="92"/>
      <c r="GS57" s="92"/>
      <c r="GT57" s="92"/>
      <c r="GU57" s="92"/>
      <c r="GV57" s="92"/>
      <c r="GW57" s="92"/>
      <c r="GX57" s="92"/>
      <c r="GY57" s="92"/>
      <c r="GZ57" s="92"/>
      <c r="HA57" s="92"/>
      <c r="HB57" s="92"/>
      <c r="HC57" s="92"/>
      <c r="HD57" s="92"/>
      <c r="HE57" s="92"/>
      <c r="HF57" s="92"/>
      <c r="HG57" s="92"/>
      <c r="HH57" s="92"/>
      <c r="HI57" s="92"/>
      <c r="HJ57" s="92"/>
      <c r="HK57" s="92"/>
      <c r="HL57" s="92"/>
      <c r="HM57" s="92"/>
      <c r="HN57" s="92"/>
      <c r="HO57" s="92"/>
      <c r="HP57" s="92"/>
      <c r="HQ57" s="92"/>
      <c r="HR57" s="92"/>
      <c r="HS57" s="92"/>
      <c r="HT57" s="92"/>
      <c r="HU57" s="92"/>
      <c r="HV57" s="92"/>
      <c r="HW57" s="92"/>
      <c r="HX57" s="92"/>
      <c r="HY57" s="92"/>
      <c r="HZ57" s="92"/>
      <c r="IA57" s="92"/>
      <c r="IB57" s="92"/>
      <c r="IC57" s="92"/>
      <c r="ID57" s="92"/>
      <c r="IE57" s="92"/>
      <c r="IF57" s="92"/>
      <c r="IG57" s="92"/>
      <c r="IH57" s="92"/>
      <c r="II57" s="92"/>
      <c r="IJ57" s="92"/>
      <c r="IK57" s="92"/>
      <c r="IL57" s="92"/>
      <c r="IM57" s="92"/>
      <c r="IN57" s="92"/>
      <c r="IO57" s="92"/>
      <c r="IP57" s="92"/>
      <c r="IQ57" s="92"/>
      <c r="IR57" s="92"/>
      <c r="IS57" s="92"/>
      <c r="IT57" s="92"/>
      <c r="IU57" s="92"/>
      <c r="IV57" s="92"/>
      <c r="IW57" s="92"/>
      <c r="IX57" s="92"/>
      <c r="IY57" s="92"/>
      <c r="IZ57" s="92"/>
      <c r="JA57" s="92"/>
      <c r="JB57" s="92"/>
      <c r="JC57" s="92"/>
      <c r="JD57" s="92"/>
      <c r="JE57" s="92"/>
      <c r="JF57" s="92"/>
      <c r="JG57" s="92"/>
      <c r="JH57" s="92"/>
      <c r="JI57" s="92"/>
      <c r="JJ57" s="92"/>
      <c r="JK57" s="92"/>
      <c r="JL57" s="92"/>
      <c r="JM57" s="92"/>
      <c r="JN57" s="92"/>
      <c r="JO57" s="92"/>
      <c r="JP57" s="92"/>
      <c r="JQ57" s="92"/>
      <c r="JR57" s="92"/>
      <c r="JS57" s="92"/>
      <c r="JT57" s="92"/>
      <c r="JU57" s="92"/>
      <c r="JV57" s="92"/>
      <c r="JW57" s="92"/>
      <c r="JX57" s="92"/>
      <c r="JY57" s="92"/>
      <c r="JZ57" s="92"/>
      <c r="KA57" s="92"/>
      <c r="KB57" s="92"/>
      <c r="KC57" s="92"/>
      <c r="KD57" s="92"/>
      <c r="KE57" s="92"/>
      <c r="KF57" s="92"/>
      <c r="KG57" s="92"/>
      <c r="KH57" s="92"/>
      <c r="KI57" s="92"/>
      <c r="KJ57" s="92"/>
      <c r="KK57" s="92"/>
      <c r="KL57" s="92"/>
      <c r="KM57" s="92"/>
      <c r="KN57" s="92"/>
      <c r="KO57" s="92"/>
      <c r="KP57" s="92"/>
      <c r="KQ57" s="88"/>
      <c r="KR57" s="92"/>
      <c r="KS57" s="92"/>
      <c r="KT57" s="92"/>
      <c r="KU57" s="93"/>
      <c r="KV57" s="92"/>
      <c r="KW57" s="93"/>
      <c r="KX57" s="92"/>
      <c r="KY57" s="93"/>
      <c r="KZ57" s="92"/>
      <c r="LA57" s="93"/>
      <c r="LB57" s="92"/>
      <c r="LC57" s="93"/>
      <c r="LD57" s="92"/>
      <c r="LE57" s="93"/>
      <c r="LF57" s="92"/>
      <c r="LG57" s="92"/>
      <c r="LH57" s="92"/>
      <c r="LI57" s="92"/>
      <c r="LJ57" s="92"/>
      <c r="LK57" s="92"/>
      <c r="LL57" s="92"/>
      <c r="LM57" s="92"/>
      <c r="LN57" s="92"/>
      <c r="LO57" s="92"/>
      <c r="LP57" s="88"/>
      <c r="LQ57" s="93"/>
      <c r="LR57" s="88"/>
      <c r="LS57" s="93"/>
      <c r="LT57" s="93"/>
      <c r="LU57" s="93"/>
      <c r="LV57" s="93"/>
      <c r="LW57" s="93"/>
      <c r="LX57" s="93"/>
      <c r="LY57" s="93"/>
      <c r="LZ57" s="93"/>
      <c r="MA57" s="93"/>
      <c r="MB57" s="93"/>
      <c r="MC57" s="94"/>
      <c r="MD57" s="94"/>
      <c r="ME57" s="94"/>
      <c r="MF57" s="94"/>
      <c r="MG57" s="94"/>
      <c r="MH57" s="94"/>
      <c r="MI57" s="94"/>
      <c r="MJ57" s="94"/>
      <c r="MK57" s="94"/>
      <c r="ML57" s="94"/>
      <c r="MM57" s="94"/>
      <c r="MN57" s="94"/>
      <c r="MO57" s="95"/>
      <c r="MP57" s="95"/>
      <c r="MQ57" s="94"/>
      <c r="MR57" s="94"/>
      <c r="MS57" s="94"/>
      <c r="MT57" s="94"/>
      <c r="MU57" s="94"/>
      <c r="MV57" s="94"/>
      <c r="MW57" s="94"/>
      <c r="MX57" s="94"/>
      <c r="MY57" s="94"/>
      <c r="MZ57" s="94"/>
      <c r="NA57" s="94"/>
      <c r="NB57" s="94"/>
      <c r="NC57" s="94"/>
      <c r="ND57" s="94"/>
      <c r="NE57" s="94"/>
      <c r="NF57" s="94"/>
      <c r="NG57" s="94"/>
      <c r="NH57" s="94"/>
      <c r="NI57" s="94"/>
      <c r="NJ57" s="94"/>
    </row>
    <row r="58" spans="1:374" x14ac:dyDescent="0.25">
      <c r="A58" s="88"/>
      <c r="B58" s="88"/>
      <c r="C58" s="88"/>
      <c r="D58" s="88"/>
      <c r="E58" s="89"/>
      <c r="F58" s="88"/>
      <c r="G58" s="88"/>
      <c r="H58" s="88" t="str">
        <f t="shared" si="26"/>
        <v xml:space="preserve">  </v>
      </c>
      <c r="I58" s="88"/>
      <c r="J58" s="88"/>
      <c r="K58" s="88"/>
      <c r="L58" s="88"/>
      <c r="M58" s="88"/>
      <c r="N58" s="88"/>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1"/>
      <c r="AR58" s="75"/>
      <c r="AS58" s="91"/>
      <c r="AT58" s="91"/>
      <c r="AU58" s="90"/>
      <c r="AV58" s="91"/>
      <c r="AW58" s="91"/>
      <c r="AX58" s="91"/>
      <c r="AY58" s="91"/>
      <c r="AZ58" s="91"/>
      <c r="BA58" s="91"/>
      <c r="BB58" s="90"/>
      <c r="BC58" s="91"/>
      <c r="BD58" s="75"/>
      <c r="BE58" s="91"/>
      <c r="BF58" s="91"/>
      <c r="BG58" s="90"/>
      <c r="BH58" s="91"/>
      <c r="BI58" s="91"/>
      <c r="BJ58" s="91"/>
      <c r="BK58" s="91"/>
      <c r="BL58" s="91"/>
      <c r="BM58" s="91"/>
      <c r="BN58" s="90"/>
      <c r="BO58" s="91"/>
      <c r="BP58" s="75"/>
      <c r="BQ58" s="91"/>
      <c r="BR58" s="91"/>
      <c r="BS58" s="90"/>
      <c r="BT58" s="91"/>
      <c r="BU58" s="91"/>
      <c r="BV58" s="91"/>
      <c r="BW58" s="91"/>
      <c r="BX58" s="91"/>
      <c r="BY58" s="91"/>
      <c r="BZ58" s="90"/>
      <c r="CA58" s="91"/>
      <c r="CB58" s="75"/>
      <c r="CC58" s="91"/>
      <c r="CD58" s="91"/>
      <c r="CE58" s="90"/>
      <c r="CF58" s="91"/>
      <c r="CG58" s="91"/>
      <c r="CH58" s="91"/>
      <c r="CI58" s="91"/>
      <c r="CJ58" s="91"/>
      <c r="CK58" s="91"/>
      <c r="CL58" s="90"/>
      <c r="CM58" s="91"/>
      <c r="CN58" s="75"/>
      <c r="CO58" s="91"/>
      <c r="CP58" s="91"/>
      <c r="CQ58" s="90"/>
      <c r="CR58" s="91"/>
      <c r="CS58" s="91"/>
      <c r="CT58" s="91"/>
      <c r="CU58" s="91"/>
      <c r="CV58" s="91"/>
      <c r="CW58" s="91"/>
      <c r="CX58" s="90"/>
      <c r="CY58" s="91"/>
      <c r="CZ58" s="75"/>
      <c r="DA58" s="91"/>
      <c r="DB58" s="91"/>
      <c r="DC58" s="90"/>
      <c r="DD58" s="91"/>
      <c r="DE58" s="91"/>
      <c r="DF58" s="91"/>
      <c r="DG58" s="91"/>
      <c r="DH58" s="91"/>
      <c r="DI58" s="91"/>
      <c r="DJ58" s="90"/>
      <c r="DK58" s="91"/>
      <c r="DL58" s="75"/>
      <c r="DM58" s="75"/>
      <c r="DN58" s="75">
        <f t="shared" si="1"/>
        <v>0</v>
      </c>
      <c r="DO58" s="75" t="str">
        <f t="shared" si="2"/>
        <v/>
      </c>
      <c r="DP58" s="91" t="str">
        <f>IFERROR(#REF!/#REF!*1000,"")</f>
        <v/>
      </c>
      <c r="DQ58" s="91" t="str">
        <f>IFERROR(#REF!/#REF!*1000,"")</f>
        <v/>
      </c>
      <c r="DR58" s="90"/>
      <c r="DS58" s="91" t="str">
        <f>IFERROR(#REF!/#REF!*1000,"")</f>
        <v/>
      </c>
      <c r="DT58" s="91" t="str">
        <f>IFERROR(#REF!/#REF!*1000,"")</f>
        <v/>
      </c>
      <c r="DU58" s="91"/>
      <c r="DV58" s="91"/>
      <c r="DW58" s="91"/>
      <c r="DX58" s="91"/>
      <c r="DY58" s="90"/>
      <c r="DZ58" s="91"/>
      <c r="EA58" s="75"/>
      <c r="EB58" s="91"/>
      <c r="EC58" s="91"/>
      <c r="ED58" s="90"/>
      <c r="EE58" s="91"/>
      <c r="EF58" s="91"/>
      <c r="EG58" s="91"/>
      <c r="EH58" s="91"/>
      <c r="EI58" s="91"/>
      <c r="EJ58" s="91"/>
      <c r="EK58" s="90"/>
      <c r="EL58" s="90"/>
      <c r="EM58" s="88"/>
      <c r="EN58" s="92"/>
      <c r="EO58" s="92"/>
      <c r="EP58" s="92"/>
      <c r="EQ58" s="92"/>
      <c r="ER58" s="92"/>
      <c r="ES58" s="92"/>
      <c r="ET58" s="92"/>
      <c r="EU58" s="92"/>
      <c r="EV58" s="92"/>
      <c r="EW58" s="92"/>
      <c r="EX58" s="92"/>
      <c r="EY58" s="92"/>
      <c r="EZ58" s="92"/>
      <c r="FA58" s="92"/>
      <c r="FB58" s="92"/>
      <c r="FC58" s="92"/>
      <c r="FD58" s="92"/>
      <c r="FE58" s="92"/>
      <c r="FF58" s="92"/>
      <c r="FG58" s="92"/>
      <c r="FH58" s="92"/>
      <c r="FI58" s="92"/>
      <c r="FJ58" s="92"/>
      <c r="FK58" s="92"/>
      <c r="FL58" s="92"/>
      <c r="FM58" s="92"/>
      <c r="FN58" s="92"/>
      <c r="FO58" s="92"/>
      <c r="FP58" s="92"/>
      <c r="FQ58" s="92"/>
      <c r="FR58" s="92"/>
      <c r="FS58" s="92"/>
      <c r="FT58" s="92"/>
      <c r="FU58" s="92"/>
      <c r="FV58" s="92"/>
      <c r="FW58" s="92"/>
      <c r="FX58" s="92"/>
      <c r="FY58" s="92"/>
      <c r="FZ58" s="92"/>
      <c r="GA58" s="92"/>
      <c r="GB58" s="92"/>
      <c r="GC58" s="92"/>
      <c r="GD58" s="92"/>
      <c r="GE58" s="92"/>
      <c r="GF58" s="92"/>
      <c r="GG58" s="92"/>
      <c r="GH58" s="92"/>
      <c r="GI58" s="92"/>
      <c r="GJ58" s="92"/>
      <c r="GK58" s="92"/>
      <c r="GL58" s="92"/>
      <c r="GM58" s="92"/>
      <c r="GN58" s="92"/>
      <c r="GO58" s="92"/>
      <c r="GP58" s="92"/>
      <c r="GQ58" s="92"/>
      <c r="GR58" s="92"/>
      <c r="GS58" s="92"/>
      <c r="GT58" s="92"/>
      <c r="GU58" s="92"/>
      <c r="GV58" s="92"/>
      <c r="GW58" s="92"/>
      <c r="GX58" s="92"/>
      <c r="GY58" s="92"/>
      <c r="GZ58" s="92"/>
      <c r="HA58" s="92"/>
      <c r="HB58" s="92"/>
      <c r="HC58" s="92"/>
      <c r="HD58" s="92"/>
      <c r="HE58" s="92"/>
      <c r="HF58" s="92"/>
      <c r="HG58" s="92"/>
      <c r="HH58" s="92"/>
      <c r="HI58" s="92"/>
      <c r="HJ58" s="92"/>
      <c r="HK58" s="92"/>
      <c r="HL58" s="92"/>
      <c r="HM58" s="92"/>
      <c r="HN58" s="92"/>
      <c r="HO58" s="92"/>
      <c r="HP58" s="92"/>
      <c r="HQ58" s="92"/>
      <c r="HR58" s="92"/>
      <c r="HS58" s="92"/>
      <c r="HT58" s="92"/>
      <c r="HU58" s="92"/>
      <c r="HV58" s="92"/>
      <c r="HW58" s="92"/>
      <c r="HX58" s="92"/>
      <c r="HY58" s="92"/>
      <c r="HZ58" s="92"/>
      <c r="IA58" s="92"/>
      <c r="IB58" s="92"/>
      <c r="IC58" s="92"/>
      <c r="ID58" s="92"/>
      <c r="IE58" s="92"/>
      <c r="IF58" s="92"/>
      <c r="IG58" s="92"/>
      <c r="IH58" s="92"/>
      <c r="II58" s="92"/>
      <c r="IJ58" s="92"/>
      <c r="IK58" s="92"/>
      <c r="IL58" s="92"/>
      <c r="IM58" s="92"/>
      <c r="IN58" s="92"/>
      <c r="IO58" s="92"/>
      <c r="IP58" s="92"/>
      <c r="IQ58" s="92"/>
      <c r="IR58" s="92"/>
      <c r="IS58" s="92"/>
      <c r="IT58" s="92"/>
      <c r="IU58" s="92"/>
      <c r="IV58" s="92"/>
      <c r="IW58" s="92"/>
      <c r="IX58" s="92"/>
      <c r="IY58" s="92"/>
      <c r="IZ58" s="92"/>
      <c r="JA58" s="92"/>
      <c r="JB58" s="92"/>
      <c r="JC58" s="92"/>
      <c r="JD58" s="92"/>
      <c r="JE58" s="92"/>
      <c r="JF58" s="92"/>
      <c r="JG58" s="92"/>
      <c r="JH58" s="92"/>
      <c r="JI58" s="92"/>
      <c r="JJ58" s="92"/>
      <c r="JK58" s="92"/>
      <c r="JL58" s="92"/>
      <c r="JM58" s="92"/>
      <c r="JN58" s="92"/>
      <c r="JO58" s="92"/>
      <c r="JP58" s="92"/>
      <c r="JQ58" s="92"/>
      <c r="JR58" s="92"/>
      <c r="JS58" s="92"/>
      <c r="JT58" s="92"/>
      <c r="JU58" s="92"/>
      <c r="JV58" s="92"/>
      <c r="JW58" s="92"/>
      <c r="JX58" s="92"/>
      <c r="JY58" s="92"/>
      <c r="JZ58" s="92"/>
      <c r="KA58" s="92"/>
      <c r="KB58" s="92"/>
      <c r="KC58" s="92"/>
      <c r="KD58" s="92"/>
      <c r="KE58" s="92"/>
      <c r="KF58" s="92"/>
      <c r="KG58" s="92"/>
      <c r="KH58" s="92"/>
      <c r="KI58" s="92"/>
      <c r="KJ58" s="92"/>
      <c r="KK58" s="92"/>
      <c r="KL58" s="92"/>
      <c r="KM58" s="92"/>
      <c r="KN58" s="92"/>
      <c r="KO58" s="92"/>
      <c r="KP58" s="92"/>
      <c r="KQ58" s="88"/>
      <c r="KR58" s="92"/>
      <c r="KS58" s="92"/>
      <c r="KT58" s="92"/>
      <c r="KU58" s="93"/>
      <c r="KV58" s="92"/>
      <c r="KW58" s="93"/>
      <c r="KX58" s="92"/>
      <c r="KY58" s="93"/>
      <c r="KZ58" s="92"/>
      <c r="LA58" s="93"/>
      <c r="LB58" s="92"/>
      <c r="LC58" s="93"/>
      <c r="LD58" s="92"/>
      <c r="LE58" s="93"/>
      <c r="LF58" s="92"/>
      <c r="LG58" s="92"/>
      <c r="LH58" s="92"/>
      <c r="LI58" s="92"/>
      <c r="LJ58" s="92"/>
      <c r="LK58" s="92"/>
      <c r="LL58" s="92"/>
      <c r="LM58" s="92"/>
      <c r="LN58" s="92"/>
      <c r="LO58" s="92"/>
      <c r="LP58" s="88"/>
      <c r="LQ58" s="93"/>
      <c r="LR58" s="88"/>
      <c r="LS58" s="93"/>
      <c r="LT58" s="93"/>
      <c r="LU58" s="93"/>
      <c r="LV58" s="93"/>
      <c r="LW58" s="93"/>
      <c r="LX58" s="93"/>
      <c r="LY58" s="93"/>
      <c r="LZ58" s="93"/>
      <c r="MA58" s="93"/>
      <c r="MB58" s="93"/>
      <c r="MC58" s="94"/>
      <c r="MD58" s="94"/>
      <c r="ME58" s="94"/>
      <c r="MF58" s="94"/>
      <c r="MG58" s="94"/>
      <c r="MH58" s="94"/>
      <c r="MI58" s="94"/>
      <c r="MJ58" s="94"/>
      <c r="MK58" s="94"/>
      <c r="ML58" s="94"/>
      <c r="MM58" s="94"/>
      <c r="MN58" s="94"/>
      <c r="MO58" s="95"/>
      <c r="MP58" s="95"/>
      <c r="MQ58" s="94"/>
      <c r="MR58" s="94"/>
      <c r="MS58" s="94"/>
      <c r="MT58" s="94"/>
      <c r="MU58" s="94"/>
      <c r="MV58" s="94"/>
      <c r="MW58" s="94"/>
      <c r="MX58" s="94"/>
      <c r="MY58" s="94"/>
      <c r="MZ58" s="94"/>
      <c r="NA58" s="94"/>
      <c r="NB58" s="94"/>
      <c r="NC58" s="94"/>
      <c r="ND58" s="94"/>
      <c r="NE58" s="94"/>
      <c r="NF58" s="94"/>
      <c r="NG58" s="94"/>
      <c r="NH58" s="94"/>
      <c r="NI58" s="94"/>
      <c r="NJ58" s="94"/>
    </row>
    <row r="59" spans="1:374" x14ac:dyDescent="0.25">
      <c r="A59" s="88"/>
      <c r="B59" s="88"/>
      <c r="C59" s="88"/>
      <c r="D59" s="88"/>
      <c r="E59" s="89"/>
      <c r="F59" s="88"/>
      <c r="G59" s="88"/>
      <c r="H59" s="88" t="str">
        <f t="shared" si="26"/>
        <v xml:space="preserve">  </v>
      </c>
      <c r="I59" s="88"/>
      <c r="J59" s="88"/>
      <c r="K59" s="88"/>
      <c r="L59" s="88"/>
      <c r="M59" s="88"/>
      <c r="N59" s="88"/>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1"/>
      <c r="AR59" s="75"/>
      <c r="AS59" s="91"/>
      <c r="AT59" s="91"/>
      <c r="AU59" s="90"/>
      <c r="AV59" s="91"/>
      <c r="AW59" s="91"/>
      <c r="AX59" s="91"/>
      <c r="AY59" s="91"/>
      <c r="AZ59" s="91"/>
      <c r="BA59" s="91"/>
      <c r="BB59" s="90"/>
      <c r="BC59" s="91"/>
      <c r="BD59" s="75"/>
      <c r="BE59" s="91"/>
      <c r="BF59" s="91"/>
      <c r="BG59" s="90"/>
      <c r="BH59" s="91"/>
      <c r="BI59" s="91"/>
      <c r="BJ59" s="91"/>
      <c r="BK59" s="91"/>
      <c r="BL59" s="91"/>
      <c r="BM59" s="91"/>
      <c r="BN59" s="90"/>
      <c r="BO59" s="91"/>
      <c r="BP59" s="75"/>
      <c r="BQ59" s="91"/>
      <c r="BR59" s="91"/>
      <c r="BS59" s="90"/>
      <c r="BT59" s="91"/>
      <c r="BU59" s="91"/>
      <c r="BV59" s="91"/>
      <c r="BW59" s="91"/>
      <c r="BX59" s="91"/>
      <c r="BY59" s="91"/>
      <c r="BZ59" s="90"/>
      <c r="CA59" s="91"/>
      <c r="CB59" s="75"/>
      <c r="CC59" s="91"/>
      <c r="CD59" s="91"/>
      <c r="CE59" s="90"/>
      <c r="CF59" s="91"/>
      <c r="CG59" s="91"/>
      <c r="CH59" s="91"/>
      <c r="CI59" s="91"/>
      <c r="CJ59" s="91"/>
      <c r="CK59" s="91"/>
      <c r="CL59" s="90"/>
      <c r="CM59" s="91"/>
      <c r="CN59" s="75"/>
      <c r="CO59" s="91"/>
      <c r="CP59" s="91"/>
      <c r="CQ59" s="90"/>
      <c r="CR59" s="91"/>
      <c r="CS59" s="91"/>
      <c r="CT59" s="91"/>
      <c r="CU59" s="91"/>
      <c r="CV59" s="91"/>
      <c r="CW59" s="91"/>
      <c r="CX59" s="90"/>
      <c r="CY59" s="91"/>
      <c r="CZ59" s="75"/>
      <c r="DA59" s="91"/>
      <c r="DB59" s="91"/>
      <c r="DC59" s="90"/>
      <c r="DD59" s="91"/>
      <c r="DE59" s="91"/>
      <c r="DF59" s="91"/>
      <c r="DG59" s="91"/>
      <c r="DH59" s="91"/>
      <c r="DI59" s="91"/>
      <c r="DJ59" s="90"/>
      <c r="DK59" s="91"/>
      <c r="DL59" s="75"/>
      <c r="DM59" s="75"/>
      <c r="DN59" s="75">
        <f t="shared" si="1"/>
        <v>0</v>
      </c>
      <c r="DO59" s="75" t="str">
        <f t="shared" si="2"/>
        <v/>
      </c>
      <c r="DP59" s="91" t="str">
        <f>IFERROR(#REF!/#REF!*1000,"")</f>
        <v/>
      </c>
      <c r="DQ59" s="91" t="str">
        <f>IFERROR(#REF!/#REF!*1000,"")</f>
        <v/>
      </c>
      <c r="DR59" s="90"/>
      <c r="DS59" s="91" t="str">
        <f>IFERROR(#REF!/#REF!*1000,"")</f>
        <v/>
      </c>
      <c r="DT59" s="91" t="str">
        <f>IFERROR(#REF!/#REF!*1000,"")</f>
        <v/>
      </c>
      <c r="DU59" s="91"/>
      <c r="DV59" s="91"/>
      <c r="DW59" s="91"/>
      <c r="DX59" s="91"/>
      <c r="DY59" s="90"/>
      <c r="DZ59" s="91"/>
      <c r="EA59" s="75"/>
      <c r="EB59" s="91"/>
      <c r="EC59" s="91"/>
      <c r="ED59" s="90"/>
      <c r="EE59" s="91"/>
      <c r="EF59" s="91"/>
      <c r="EG59" s="91"/>
      <c r="EH59" s="91"/>
      <c r="EI59" s="91"/>
      <c r="EJ59" s="91"/>
      <c r="EK59" s="90"/>
      <c r="EL59" s="90"/>
      <c r="EM59" s="88"/>
      <c r="EN59" s="92"/>
      <c r="EO59" s="92"/>
      <c r="EP59" s="92"/>
      <c r="EQ59" s="92"/>
      <c r="ER59" s="92"/>
      <c r="ES59" s="92"/>
      <c r="ET59" s="92"/>
      <c r="EU59" s="92"/>
      <c r="EV59" s="92"/>
      <c r="EW59" s="92"/>
      <c r="EX59" s="92"/>
      <c r="EY59" s="92"/>
      <c r="EZ59" s="92"/>
      <c r="FA59" s="92"/>
      <c r="FB59" s="92"/>
      <c r="FC59" s="92"/>
      <c r="FD59" s="92"/>
      <c r="FE59" s="92"/>
      <c r="FF59" s="92"/>
      <c r="FG59" s="92"/>
      <c r="FH59" s="92"/>
      <c r="FI59" s="92"/>
      <c r="FJ59" s="92"/>
      <c r="FK59" s="92"/>
      <c r="FL59" s="92"/>
      <c r="FM59" s="92"/>
      <c r="FN59" s="92"/>
      <c r="FO59" s="92"/>
      <c r="FP59" s="92"/>
      <c r="FQ59" s="92"/>
      <c r="FR59" s="92"/>
      <c r="FS59" s="92"/>
      <c r="FT59" s="92"/>
      <c r="FU59" s="92"/>
      <c r="FV59" s="92"/>
      <c r="FW59" s="92"/>
      <c r="FX59" s="92"/>
      <c r="FY59" s="92"/>
      <c r="FZ59" s="92"/>
      <c r="GA59" s="92"/>
      <c r="GB59" s="92"/>
      <c r="GC59" s="92"/>
      <c r="GD59" s="92"/>
      <c r="GE59" s="92"/>
      <c r="GF59" s="92"/>
      <c r="GG59" s="92"/>
      <c r="GH59" s="92"/>
      <c r="GI59" s="92"/>
      <c r="GJ59" s="92"/>
      <c r="GK59" s="92"/>
      <c r="GL59" s="92"/>
      <c r="GM59" s="92"/>
      <c r="GN59" s="92"/>
      <c r="GO59" s="92"/>
      <c r="GP59" s="92"/>
      <c r="GQ59" s="92"/>
      <c r="GR59" s="92"/>
      <c r="GS59" s="92"/>
      <c r="GT59" s="92"/>
      <c r="GU59" s="92"/>
      <c r="GV59" s="92"/>
      <c r="GW59" s="92"/>
      <c r="GX59" s="92"/>
      <c r="GY59" s="92"/>
      <c r="GZ59" s="92"/>
      <c r="HA59" s="92"/>
      <c r="HB59" s="92"/>
      <c r="HC59" s="92"/>
      <c r="HD59" s="92"/>
      <c r="HE59" s="92"/>
      <c r="HF59" s="92"/>
      <c r="HG59" s="92"/>
      <c r="HH59" s="92"/>
      <c r="HI59" s="92"/>
      <c r="HJ59" s="92"/>
      <c r="HK59" s="92"/>
      <c r="HL59" s="92"/>
      <c r="HM59" s="92"/>
      <c r="HN59" s="92"/>
      <c r="HO59" s="92"/>
      <c r="HP59" s="92"/>
      <c r="HQ59" s="92"/>
      <c r="HR59" s="92"/>
      <c r="HS59" s="92"/>
      <c r="HT59" s="92"/>
      <c r="HU59" s="92"/>
      <c r="HV59" s="92"/>
      <c r="HW59" s="92"/>
      <c r="HX59" s="92"/>
      <c r="HY59" s="92"/>
      <c r="HZ59" s="92"/>
      <c r="IA59" s="92"/>
      <c r="IB59" s="92"/>
      <c r="IC59" s="92"/>
      <c r="ID59" s="92"/>
      <c r="IE59" s="92"/>
      <c r="IF59" s="92"/>
      <c r="IG59" s="92"/>
      <c r="IH59" s="92"/>
      <c r="II59" s="92"/>
      <c r="IJ59" s="92"/>
      <c r="IK59" s="92"/>
      <c r="IL59" s="92"/>
      <c r="IM59" s="92"/>
      <c r="IN59" s="92"/>
      <c r="IO59" s="92"/>
      <c r="IP59" s="92"/>
      <c r="IQ59" s="92"/>
      <c r="IR59" s="92"/>
      <c r="IS59" s="92"/>
      <c r="IT59" s="92"/>
      <c r="IU59" s="92"/>
      <c r="IV59" s="92"/>
      <c r="IW59" s="92"/>
      <c r="IX59" s="92"/>
      <c r="IY59" s="92"/>
      <c r="IZ59" s="92"/>
      <c r="JA59" s="92"/>
      <c r="JB59" s="92"/>
      <c r="JC59" s="92"/>
      <c r="JD59" s="92"/>
      <c r="JE59" s="92"/>
      <c r="JF59" s="92"/>
      <c r="JG59" s="92"/>
      <c r="JH59" s="92"/>
      <c r="JI59" s="92"/>
      <c r="JJ59" s="92"/>
      <c r="JK59" s="92"/>
      <c r="JL59" s="92"/>
      <c r="JM59" s="92"/>
      <c r="JN59" s="92"/>
      <c r="JO59" s="92"/>
      <c r="JP59" s="92"/>
      <c r="JQ59" s="92"/>
      <c r="JR59" s="92"/>
      <c r="JS59" s="92"/>
      <c r="JT59" s="92"/>
      <c r="JU59" s="92"/>
      <c r="JV59" s="92"/>
      <c r="JW59" s="92"/>
      <c r="JX59" s="92"/>
      <c r="JY59" s="92"/>
      <c r="JZ59" s="92"/>
      <c r="KA59" s="92"/>
      <c r="KB59" s="92"/>
      <c r="KC59" s="92"/>
      <c r="KD59" s="92"/>
      <c r="KE59" s="92"/>
      <c r="KF59" s="92"/>
      <c r="KG59" s="92"/>
      <c r="KH59" s="92"/>
      <c r="KI59" s="92"/>
      <c r="KJ59" s="92"/>
      <c r="KK59" s="92"/>
      <c r="KL59" s="92"/>
      <c r="KM59" s="92"/>
      <c r="KN59" s="92"/>
      <c r="KO59" s="92"/>
      <c r="KP59" s="92"/>
      <c r="KQ59" s="88"/>
      <c r="KR59" s="92"/>
      <c r="KS59" s="92"/>
      <c r="KT59" s="92"/>
      <c r="KU59" s="93"/>
      <c r="KV59" s="92"/>
      <c r="KW59" s="93"/>
      <c r="KX59" s="92"/>
      <c r="KY59" s="93"/>
      <c r="KZ59" s="92"/>
      <c r="LA59" s="93"/>
      <c r="LB59" s="92"/>
      <c r="LC59" s="93"/>
      <c r="LD59" s="92"/>
      <c r="LE59" s="93"/>
      <c r="LF59" s="92"/>
      <c r="LG59" s="92"/>
      <c r="LH59" s="92"/>
      <c r="LI59" s="92"/>
      <c r="LJ59" s="92"/>
      <c r="LK59" s="92"/>
      <c r="LL59" s="92"/>
      <c r="LM59" s="92"/>
      <c r="LN59" s="92"/>
      <c r="LO59" s="92"/>
      <c r="LP59" s="88"/>
      <c r="LQ59" s="93"/>
      <c r="LR59" s="88"/>
      <c r="LS59" s="93"/>
      <c r="LT59" s="93"/>
      <c r="LU59" s="93"/>
      <c r="LV59" s="93"/>
      <c r="LW59" s="93"/>
      <c r="LX59" s="93"/>
      <c r="LY59" s="93"/>
      <c r="LZ59" s="93"/>
      <c r="MA59" s="93"/>
      <c r="MB59" s="93"/>
      <c r="MC59" s="94"/>
      <c r="MD59" s="94"/>
      <c r="ME59" s="94"/>
      <c r="MF59" s="94"/>
      <c r="MG59" s="94"/>
      <c r="MH59" s="94"/>
      <c r="MI59" s="94"/>
      <c r="MJ59" s="94"/>
      <c r="MK59" s="94"/>
      <c r="ML59" s="94"/>
      <c r="MM59" s="94"/>
      <c r="MN59" s="94"/>
      <c r="MO59" s="95"/>
      <c r="MP59" s="95"/>
      <c r="MQ59" s="94"/>
      <c r="MR59" s="94"/>
      <c r="MS59" s="94"/>
      <c r="MT59" s="94"/>
      <c r="MU59" s="94"/>
      <c r="MV59" s="94"/>
      <c r="MW59" s="94"/>
      <c r="MX59" s="94"/>
      <c r="MY59" s="94"/>
      <c r="MZ59" s="94"/>
      <c r="NA59" s="94"/>
      <c r="NB59" s="94"/>
      <c r="NC59" s="94"/>
      <c r="ND59" s="94"/>
      <c r="NE59" s="94"/>
      <c r="NF59" s="94"/>
      <c r="NG59" s="94"/>
      <c r="NH59" s="94"/>
      <c r="NI59" s="94"/>
      <c r="NJ59" s="94"/>
    </row>
    <row r="60" spans="1:374" x14ac:dyDescent="0.25">
      <c r="A60" s="88"/>
      <c r="B60" s="88"/>
      <c r="C60" s="88"/>
      <c r="D60" s="88"/>
      <c r="E60" s="89"/>
      <c r="F60" s="88"/>
      <c r="G60" s="88"/>
      <c r="H60" s="88" t="str">
        <f t="shared" si="26"/>
        <v xml:space="preserve">  </v>
      </c>
      <c r="I60" s="88"/>
      <c r="J60" s="88"/>
      <c r="K60" s="88"/>
      <c r="L60" s="88"/>
      <c r="M60" s="88"/>
      <c r="N60" s="88"/>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1"/>
      <c r="AR60" s="75"/>
      <c r="AS60" s="91"/>
      <c r="AT60" s="91"/>
      <c r="AU60" s="90"/>
      <c r="AV60" s="91"/>
      <c r="AW60" s="91"/>
      <c r="AX60" s="91"/>
      <c r="AY60" s="91"/>
      <c r="AZ60" s="91"/>
      <c r="BA60" s="91"/>
      <c r="BB60" s="90"/>
      <c r="BC60" s="91"/>
      <c r="BD60" s="75"/>
      <c r="BE60" s="91"/>
      <c r="BF60" s="91"/>
      <c r="BG60" s="90"/>
      <c r="BH60" s="91"/>
      <c r="BI60" s="91"/>
      <c r="BJ60" s="91"/>
      <c r="BK60" s="91"/>
      <c r="BL60" s="91"/>
      <c r="BM60" s="91"/>
      <c r="BN60" s="90"/>
      <c r="BO60" s="91"/>
      <c r="BP60" s="75"/>
      <c r="BQ60" s="91"/>
      <c r="BR60" s="91"/>
      <c r="BS60" s="90"/>
      <c r="BT60" s="91"/>
      <c r="BU60" s="91"/>
      <c r="BV60" s="91"/>
      <c r="BW60" s="91"/>
      <c r="BX60" s="91"/>
      <c r="BY60" s="91"/>
      <c r="BZ60" s="90"/>
      <c r="CA60" s="91"/>
      <c r="CB60" s="75"/>
      <c r="CC60" s="91"/>
      <c r="CD60" s="91"/>
      <c r="CE60" s="90"/>
      <c r="CF60" s="91"/>
      <c r="CG60" s="91"/>
      <c r="CH60" s="91"/>
      <c r="CI60" s="91"/>
      <c r="CJ60" s="91"/>
      <c r="CK60" s="91"/>
      <c r="CL60" s="90"/>
      <c r="CM60" s="91"/>
      <c r="CN60" s="75"/>
      <c r="CO60" s="91"/>
      <c r="CP60" s="91"/>
      <c r="CQ60" s="90"/>
      <c r="CR60" s="91"/>
      <c r="CS60" s="91"/>
      <c r="CT60" s="91"/>
      <c r="CU60" s="91"/>
      <c r="CV60" s="91"/>
      <c r="CW60" s="91"/>
      <c r="CX60" s="90"/>
      <c r="CY60" s="91"/>
      <c r="CZ60" s="75"/>
      <c r="DA60" s="91"/>
      <c r="DB60" s="91"/>
      <c r="DC60" s="90"/>
      <c r="DD60" s="91"/>
      <c r="DE60" s="91"/>
      <c r="DF60" s="91"/>
      <c r="DG60" s="91"/>
      <c r="DH60" s="91"/>
      <c r="DI60" s="91"/>
      <c r="DJ60" s="90"/>
      <c r="DK60" s="91"/>
      <c r="DL60" s="75"/>
      <c r="DM60" s="75"/>
      <c r="DN60" s="75">
        <f t="shared" si="1"/>
        <v>0</v>
      </c>
      <c r="DO60" s="75" t="str">
        <f t="shared" si="2"/>
        <v/>
      </c>
      <c r="DP60" s="91" t="str">
        <f>IFERROR(#REF!/#REF!*1000,"")</f>
        <v/>
      </c>
      <c r="DQ60" s="91" t="str">
        <f>IFERROR(#REF!/#REF!*1000,"")</f>
        <v/>
      </c>
      <c r="DR60" s="90"/>
      <c r="DS60" s="91" t="str">
        <f>IFERROR(#REF!/#REF!*1000,"")</f>
        <v/>
      </c>
      <c r="DT60" s="91" t="str">
        <f>IFERROR(#REF!/#REF!*1000,"")</f>
        <v/>
      </c>
      <c r="DU60" s="91"/>
      <c r="DV60" s="91"/>
      <c r="DW60" s="91"/>
      <c r="DX60" s="91"/>
      <c r="DY60" s="90"/>
      <c r="DZ60" s="91"/>
      <c r="EA60" s="75"/>
      <c r="EB60" s="91"/>
      <c r="EC60" s="91"/>
      <c r="ED60" s="90"/>
      <c r="EE60" s="91"/>
      <c r="EF60" s="91"/>
      <c r="EG60" s="91"/>
      <c r="EH60" s="91"/>
      <c r="EI60" s="91"/>
      <c r="EJ60" s="91"/>
      <c r="EK60" s="90"/>
      <c r="EL60" s="90"/>
      <c r="EM60" s="88"/>
      <c r="EN60" s="92"/>
      <c r="EO60" s="92"/>
      <c r="EP60" s="92"/>
      <c r="EQ60" s="92"/>
      <c r="ER60" s="92"/>
      <c r="ES60" s="92"/>
      <c r="ET60" s="92"/>
      <c r="EU60" s="92"/>
      <c r="EV60" s="92"/>
      <c r="EW60" s="92"/>
      <c r="EX60" s="92"/>
      <c r="EY60" s="92"/>
      <c r="EZ60" s="92"/>
      <c r="FA60" s="92"/>
      <c r="FB60" s="92"/>
      <c r="FC60" s="92"/>
      <c r="FD60" s="92"/>
      <c r="FE60" s="92"/>
      <c r="FF60" s="92"/>
      <c r="FG60" s="92"/>
      <c r="FH60" s="92"/>
      <c r="FI60" s="92"/>
      <c r="FJ60" s="92"/>
      <c r="FK60" s="92"/>
      <c r="FL60" s="92"/>
      <c r="FM60" s="92"/>
      <c r="FN60" s="92"/>
      <c r="FO60" s="92"/>
      <c r="FP60" s="92"/>
      <c r="FQ60" s="92"/>
      <c r="FR60" s="92"/>
      <c r="FS60" s="92"/>
      <c r="FT60" s="92"/>
      <c r="FU60" s="92"/>
      <c r="FV60" s="92"/>
      <c r="FW60" s="92"/>
      <c r="FX60" s="92"/>
      <c r="FY60" s="92"/>
      <c r="FZ60" s="92"/>
      <c r="GA60" s="92"/>
      <c r="GB60" s="92"/>
      <c r="GC60" s="92"/>
      <c r="GD60" s="92"/>
      <c r="GE60" s="92"/>
      <c r="GF60" s="92"/>
      <c r="GG60" s="92"/>
      <c r="GH60" s="92"/>
      <c r="GI60" s="92"/>
      <c r="GJ60" s="92"/>
      <c r="GK60" s="92"/>
      <c r="GL60" s="92"/>
      <c r="GM60" s="92"/>
      <c r="GN60" s="92"/>
      <c r="GO60" s="92"/>
      <c r="GP60" s="92"/>
      <c r="GQ60" s="92"/>
      <c r="GR60" s="92"/>
      <c r="GS60" s="92"/>
      <c r="GT60" s="92"/>
      <c r="GU60" s="92"/>
      <c r="GV60" s="92"/>
      <c r="GW60" s="92"/>
      <c r="GX60" s="92"/>
      <c r="GY60" s="92"/>
      <c r="GZ60" s="92"/>
      <c r="HA60" s="92"/>
      <c r="HB60" s="92"/>
      <c r="HC60" s="92"/>
      <c r="HD60" s="92"/>
      <c r="HE60" s="92"/>
      <c r="HF60" s="92"/>
      <c r="HG60" s="92"/>
      <c r="HH60" s="92"/>
      <c r="HI60" s="92"/>
      <c r="HJ60" s="92"/>
      <c r="HK60" s="92"/>
      <c r="HL60" s="92"/>
      <c r="HM60" s="92"/>
      <c r="HN60" s="92"/>
      <c r="HO60" s="92"/>
      <c r="HP60" s="92"/>
      <c r="HQ60" s="92"/>
      <c r="HR60" s="92"/>
      <c r="HS60" s="92"/>
      <c r="HT60" s="92"/>
      <c r="HU60" s="92"/>
      <c r="HV60" s="92"/>
      <c r="HW60" s="92"/>
      <c r="HX60" s="92"/>
      <c r="HY60" s="92"/>
      <c r="HZ60" s="92"/>
      <c r="IA60" s="92"/>
      <c r="IB60" s="92"/>
      <c r="IC60" s="92"/>
      <c r="ID60" s="92"/>
      <c r="IE60" s="92"/>
      <c r="IF60" s="92"/>
      <c r="IG60" s="92"/>
      <c r="IH60" s="92"/>
      <c r="II60" s="92"/>
      <c r="IJ60" s="92"/>
      <c r="IK60" s="92"/>
      <c r="IL60" s="92"/>
      <c r="IM60" s="92"/>
      <c r="IN60" s="92"/>
      <c r="IO60" s="92"/>
      <c r="IP60" s="92"/>
      <c r="IQ60" s="92"/>
      <c r="IR60" s="92"/>
      <c r="IS60" s="92"/>
      <c r="IT60" s="92"/>
      <c r="IU60" s="92"/>
      <c r="IV60" s="92"/>
      <c r="IW60" s="92"/>
      <c r="IX60" s="92"/>
      <c r="IY60" s="92"/>
      <c r="IZ60" s="92"/>
      <c r="JA60" s="92"/>
      <c r="JB60" s="92"/>
      <c r="JC60" s="92"/>
      <c r="JD60" s="92"/>
      <c r="JE60" s="92"/>
      <c r="JF60" s="92"/>
      <c r="JG60" s="92"/>
      <c r="JH60" s="92"/>
      <c r="JI60" s="92"/>
      <c r="JJ60" s="92"/>
      <c r="JK60" s="92"/>
      <c r="JL60" s="92"/>
      <c r="JM60" s="92"/>
      <c r="JN60" s="92"/>
      <c r="JO60" s="92"/>
      <c r="JP60" s="92"/>
      <c r="JQ60" s="92"/>
      <c r="JR60" s="92"/>
      <c r="JS60" s="92"/>
      <c r="JT60" s="92"/>
      <c r="JU60" s="92"/>
      <c r="JV60" s="92"/>
      <c r="JW60" s="92"/>
      <c r="JX60" s="92"/>
      <c r="JY60" s="92"/>
      <c r="JZ60" s="92"/>
      <c r="KA60" s="92"/>
      <c r="KB60" s="92"/>
      <c r="KC60" s="92"/>
      <c r="KD60" s="92"/>
      <c r="KE60" s="92"/>
      <c r="KF60" s="92"/>
      <c r="KG60" s="92"/>
      <c r="KH60" s="92"/>
      <c r="KI60" s="92"/>
      <c r="KJ60" s="92"/>
      <c r="KK60" s="92"/>
      <c r="KL60" s="92"/>
      <c r="KM60" s="92"/>
      <c r="KN60" s="92"/>
      <c r="KO60" s="92"/>
      <c r="KP60" s="92"/>
      <c r="KQ60" s="88"/>
      <c r="KR60" s="92"/>
      <c r="KS60" s="92"/>
      <c r="KT60" s="92"/>
      <c r="KU60" s="93"/>
      <c r="KV60" s="92"/>
      <c r="KW60" s="93"/>
      <c r="KX60" s="92"/>
      <c r="KY60" s="93"/>
      <c r="KZ60" s="92"/>
      <c r="LA60" s="93"/>
      <c r="LB60" s="92"/>
      <c r="LC60" s="93"/>
      <c r="LD60" s="92"/>
      <c r="LE60" s="93"/>
      <c r="LF60" s="92"/>
      <c r="LG60" s="92"/>
      <c r="LH60" s="92"/>
      <c r="LI60" s="92"/>
      <c r="LJ60" s="92"/>
      <c r="LK60" s="92"/>
      <c r="LL60" s="92"/>
      <c r="LM60" s="92"/>
      <c r="LN60" s="92"/>
      <c r="LO60" s="92"/>
      <c r="LP60" s="88"/>
      <c r="LQ60" s="93"/>
      <c r="LR60" s="88"/>
      <c r="LS60" s="93"/>
      <c r="LT60" s="93"/>
      <c r="LU60" s="93"/>
      <c r="LV60" s="93"/>
      <c r="LW60" s="93"/>
      <c r="LX60" s="93"/>
      <c r="LY60" s="93"/>
      <c r="LZ60" s="93"/>
      <c r="MA60" s="93"/>
      <c r="MB60" s="93"/>
      <c r="MC60" s="94"/>
      <c r="MD60" s="94"/>
      <c r="ME60" s="94"/>
      <c r="MF60" s="94"/>
      <c r="MG60" s="94"/>
      <c r="MH60" s="94"/>
      <c r="MI60" s="94"/>
      <c r="MJ60" s="94"/>
      <c r="MK60" s="94"/>
      <c r="ML60" s="94"/>
      <c r="MM60" s="94"/>
      <c r="MN60" s="94"/>
      <c r="MO60" s="95"/>
      <c r="MP60" s="95"/>
      <c r="MQ60" s="94"/>
      <c r="MR60" s="94"/>
      <c r="MS60" s="94"/>
      <c r="MT60" s="94"/>
      <c r="MU60" s="94"/>
      <c r="MV60" s="94"/>
      <c r="MW60" s="94"/>
      <c r="MX60" s="94"/>
      <c r="MY60" s="94"/>
      <c r="MZ60" s="94"/>
      <c r="NA60" s="94"/>
      <c r="NB60" s="94"/>
      <c r="NC60" s="94"/>
      <c r="ND60" s="94"/>
      <c r="NE60" s="94"/>
      <c r="NF60" s="94"/>
      <c r="NG60" s="94"/>
      <c r="NH60" s="94"/>
      <c r="NI60" s="94"/>
      <c r="NJ60" s="94"/>
    </row>
    <row r="61" spans="1:374" x14ac:dyDescent="0.25">
      <c r="A61" s="88"/>
      <c r="B61" s="88"/>
      <c r="C61" s="88"/>
      <c r="D61" s="88"/>
      <c r="E61" s="89"/>
      <c r="F61" s="88"/>
      <c r="G61" s="88"/>
      <c r="H61" s="88" t="str">
        <f t="shared" si="26"/>
        <v xml:space="preserve">  </v>
      </c>
      <c r="I61" s="88"/>
      <c r="J61" s="88"/>
      <c r="K61" s="88"/>
      <c r="L61" s="88"/>
      <c r="M61" s="88"/>
      <c r="N61" s="88"/>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1"/>
      <c r="AR61" s="75"/>
      <c r="AS61" s="91"/>
      <c r="AT61" s="91"/>
      <c r="AU61" s="90"/>
      <c r="AV61" s="91"/>
      <c r="AW61" s="91"/>
      <c r="AX61" s="91"/>
      <c r="AY61" s="91"/>
      <c r="AZ61" s="91"/>
      <c r="BA61" s="91"/>
      <c r="BB61" s="90"/>
      <c r="BC61" s="91"/>
      <c r="BD61" s="75"/>
      <c r="BE61" s="91"/>
      <c r="BF61" s="91"/>
      <c r="BG61" s="90"/>
      <c r="BH61" s="91"/>
      <c r="BI61" s="91"/>
      <c r="BJ61" s="91"/>
      <c r="BK61" s="91"/>
      <c r="BL61" s="91"/>
      <c r="BM61" s="91"/>
      <c r="BN61" s="90"/>
      <c r="BO61" s="91"/>
      <c r="BP61" s="75"/>
      <c r="BQ61" s="91"/>
      <c r="BR61" s="91"/>
      <c r="BS61" s="90"/>
      <c r="BT61" s="91"/>
      <c r="BU61" s="91"/>
      <c r="BV61" s="91"/>
      <c r="BW61" s="91"/>
      <c r="BX61" s="91"/>
      <c r="BY61" s="91"/>
      <c r="BZ61" s="90"/>
      <c r="CA61" s="91"/>
      <c r="CB61" s="75"/>
      <c r="CC61" s="91"/>
      <c r="CD61" s="91"/>
      <c r="CE61" s="90"/>
      <c r="CF61" s="91"/>
      <c r="CG61" s="91"/>
      <c r="CH61" s="91"/>
      <c r="CI61" s="91"/>
      <c r="CJ61" s="91"/>
      <c r="CK61" s="91"/>
      <c r="CL61" s="90"/>
      <c r="CM61" s="91"/>
      <c r="CN61" s="75"/>
      <c r="CO61" s="91"/>
      <c r="CP61" s="91"/>
      <c r="CQ61" s="90"/>
      <c r="CR61" s="91"/>
      <c r="CS61" s="91"/>
      <c r="CT61" s="91"/>
      <c r="CU61" s="91"/>
      <c r="CV61" s="91"/>
      <c r="CW61" s="91"/>
      <c r="CX61" s="90"/>
      <c r="CY61" s="91"/>
      <c r="CZ61" s="75"/>
      <c r="DA61" s="91"/>
      <c r="DB61" s="91"/>
      <c r="DC61" s="90"/>
      <c r="DD61" s="91"/>
      <c r="DE61" s="91"/>
      <c r="DF61" s="91"/>
      <c r="DG61" s="91"/>
      <c r="DH61" s="91"/>
      <c r="DI61" s="91"/>
      <c r="DJ61" s="90"/>
      <c r="DK61" s="91"/>
      <c r="DL61" s="75"/>
      <c r="DM61" s="75"/>
      <c r="DN61" s="75">
        <f t="shared" si="1"/>
        <v>0</v>
      </c>
      <c r="DO61" s="75" t="str">
        <f t="shared" si="2"/>
        <v/>
      </c>
      <c r="DP61" s="91" t="str">
        <f>IFERROR(#REF!/#REF!*1000,"")</f>
        <v/>
      </c>
      <c r="DQ61" s="91" t="str">
        <f>IFERROR(#REF!/#REF!*1000,"")</f>
        <v/>
      </c>
      <c r="DR61" s="90"/>
      <c r="DS61" s="91" t="str">
        <f>IFERROR(#REF!/#REF!*1000,"")</f>
        <v/>
      </c>
      <c r="DT61" s="91" t="str">
        <f>IFERROR(#REF!/#REF!*1000,"")</f>
        <v/>
      </c>
      <c r="DU61" s="91"/>
      <c r="DV61" s="91"/>
      <c r="DW61" s="91"/>
      <c r="DX61" s="91"/>
      <c r="DY61" s="90"/>
      <c r="DZ61" s="91"/>
      <c r="EA61" s="75"/>
      <c r="EB61" s="91"/>
      <c r="EC61" s="91"/>
      <c r="ED61" s="90"/>
      <c r="EE61" s="91"/>
      <c r="EF61" s="91"/>
      <c r="EG61" s="91"/>
      <c r="EH61" s="91"/>
      <c r="EI61" s="91"/>
      <c r="EJ61" s="91"/>
      <c r="EK61" s="90"/>
      <c r="EL61" s="90"/>
      <c r="EM61" s="88"/>
      <c r="EN61" s="92"/>
      <c r="EO61" s="92"/>
      <c r="EP61" s="92"/>
      <c r="EQ61" s="92"/>
      <c r="ER61" s="92"/>
      <c r="ES61" s="92"/>
      <c r="ET61" s="92"/>
      <c r="EU61" s="92"/>
      <c r="EV61" s="92"/>
      <c r="EW61" s="92"/>
      <c r="EX61" s="92"/>
      <c r="EY61" s="92"/>
      <c r="EZ61" s="92"/>
      <c r="FA61" s="92"/>
      <c r="FB61" s="92"/>
      <c r="FC61" s="92"/>
      <c r="FD61" s="92"/>
      <c r="FE61" s="92"/>
      <c r="FF61" s="92"/>
      <c r="FG61" s="92"/>
      <c r="FH61" s="92"/>
      <c r="FI61" s="92"/>
      <c r="FJ61" s="92"/>
      <c r="FK61" s="92"/>
      <c r="FL61" s="92"/>
      <c r="FM61" s="92"/>
      <c r="FN61" s="92"/>
      <c r="FO61" s="92"/>
      <c r="FP61" s="92"/>
      <c r="FQ61" s="92"/>
      <c r="FR61" s="92"/>
      <c r="FS61" s="92"/>
      <c r="FT61" s="92"/>
      <c r="FU61" s="92"/>
      <c r="FV61" s="92"/>
      <c r="FW61" s="92"/>
      <c r="FX61" s="92"/>
      <c r="FY61" s="92"/>
      <c r="FZ61" s="92"/>
      <c r="GA61" s="92"/>
      <c r="GB61" s="92"/>
      <c r="GC61" s="92"/>
      <c r="GD61" s="92"/>
      <c r="GE61" s="92"/>
      <c r="GF61" s="92"/>
      <c r="GG61" s="92"/>
      <c r="GH61" s="92"/>
      <c r="GI61" s="92"/>
      <c r="GJ61" s="92"/>
      <c r="GK61" s="92"/>
      <c r="GL61" s="92"/>
      <c r="GM61" s="92"/>
      <c r="GN61" s="92"/>
      <c r="GO61" s="92"/>
      <c r="GP61" s="92"/>
      <c r="GQ61" s="92"/>
      <c r="GR61" s="92"/>
      <c r="GS61" s="92"/>
      <c r="GT61" s="92"/>
      <c r="GU61" s="92"/>
      <c r="GV61" s="92"/>
      <c r="GW61" s="92"/>
      <c r="GX61" s="92"/>
      <c r="GY61" s="92"/>
      <c r="GZ61" s="92"/>
      <c r="HA61" s="92"/>
      <c r="HB61" s="92"/>
      <c r="HC61" s="92"/>
      <c r="HD61" s="92"/>
      <c r="HE61" s="92"/>
      <c r="HF61" s="92"/>
      <c r="HG61" s="92"/>
      <c r="HH61" s="92"/>
      <c r="HI61" s="92"/>
      <c r="HJ61" s="92"/>
      <c r="HK61" s="92"/>
      <c r="HL61" s="92"/>
      <c r="HM61" s="92"/>
      <c r="HN61" s="92"/>
      <c r="HO61" s="92"/>
      <c r="HP61" s="92"/>
      <c r="HQ61" s="92"/>
      <c r="HR61" s="92"/>
      <c r="HS61" s="92"/>
      <c r="HT61" s="92"/>
      <c r="HU61" s="92"/>
      <c r="HV61" s="92"/>
      <c r="HW61" s="92"/>
      <c r="HX61" s="92"/>
      <c r="HY61" s="92"/>
      <c r="HZ61" s="92"/>
      <c r="IA61" s="92"/>
      <c r="IB61" s="92"/>
      <c r="IC61" s="92"/>
      <c r="ID61" s="92"/>
      <c r="IE61" s="92"/>
      <c r="IF61" s="92"/>
      <c r="IG61" s="92"/>
      <c r="IH61" s="92"/>
      <c r="II61" s="92"/>
      <c r="IJ61" s="92"/>
      <c r="IK61" s="92"/>
      <c r="IL61" s="92"/>
      <c r="IM61" s="92"/>
      <c r="IN61" s="92"/>
      <c r="IO61" s="92"/>
      <c r="IP61" s="92"/>
      <c r="IQ61" s="92"/>
      <c r="IR61" s="92"/>
      <c r="IS61" s="92"/>
      <c r="IT61" s="92"/>
      <c r="IU61" s="92"/>
      <c r="IV61" s="92"/>
      <c r="IW61" s="92"/>
      <c r="IX61" s="92"/>
      <c r="IY61" s="92"/>
      <c r="IZ61" s="92"/>
      <c r="JA61" s="92"/>
      <c r="JB61" s="92"/>
      <c r="JC61" s="92"/>
      <c r="JD61" s="92"/>
      <c r="JE61" s="92"/>
      <c r="JF61" s="92"/>
      <c r="JG61" s="92"/>
      <c r="JH61" s="92"/>
      <c r="JI61" s="92"/>
      <c r="JJ61" s="92"/>
      <c r="JK61" s="92"/>
      <c r="JL61" s="92"/>
      <c r="JM61" s="92"/>
      <c r="JN61" s="92"/>
      <c r="JO61" s="92"/>
      <c r="JP61" s="92"/>
      <c r="JQ61" s="92"/>
      <c r="JR61" s="92"/>
      <c r="JS61" s="92"/>
      <c r="JT61" s="92"/>
      <c r="JU61" s="92"/>
      <c r="JV61" s="92"/>
      <c r="JW61" s="92"/>
      <c r="JX61" s="92"/>
      <c r="JY61" s="92"/>
      <c r="JZ61" s="92"/>
      <c r="KA61" s="92"/>
      <c r="KB61" s="92"/>
      <c r="KC61" s="92"/>
      <c r="KD61" s="92"/>
      <c r="KE61" s="92"/>
      <c r="KF61" s="92"/>
      <c r="KG61" s="92"/>
      <c r="KH61" s="92"/>
      <c r="KI61" s="92"/>
      <c r="KJ61" s="92"/>
      <c r="KK61" s="92"/>
      <c r="KL61" s="92"/>
      <c r="KM61" s="92"/>
      <c r="KN61" s="92"/>
      <c r="KO61" s="92"/>
      <c r="KP61" s="92"/>
      <c r="KQ61" s="88"/>
      <c r="KR61" s="92"/>
      <c r="KS61" s="92"/>
      <c r="KT61" s="92"/>
      <c r="KU61" s="93"/>
      <c r="KV61" s="92"/>
      <c r="KW61" s="93"/>
      <c r="KX61" s="92"/>
      <c r="KY61" s="93"/>
      <c r="KZ61" s="92"/>
      <c r="LA61" s="93"/>
      <c r="LB61" s="92"/>
      <c r="LC61" s="93"/>
      <c r="LD61" s="92"/>
      <c r="LE61" s="93"/>
      <c r="LF61" s="92"/>
      <c r="LG61" s="92"/>
      <c r="LH61" s="92"/>
      <c r="LI61" s="92"/>
      <c r="LJ61" s="92"/>
      <c r="LK61" s="92"/>
      <c r="LL61" s="92"/>
      <c r="LM61" s="92"/>
      <c r="LN61" s="92"/>
      <c r="LO61" s="92"/>
      <c r="LP61" s="88"/>
      <c r="LQ61" s="93"/>
      <c r="LR61" s="88"/>
      <c r="LS61" s="93"/>
      <c r="LT61" s="93"/>
      <c r="LU61" s="93"/>
      <c r="LV61" s="93"/>
      <c r="LW61" s="93"/>
      <c r="LX61" s="93"/>
      <c r="LY61" s="93"/>
      <c r="LZ61" s="93"/>
      <c r="MA61" s="93"/>
      <c r="MB61" s="93"/>
      <c r="MC61" s="94"/>
      <c r="MD61" s="94"/>
      <c r="ME61" s="94"/>
      <c r="MF61" s="94"/>
      <c r="MG61" s="94"/>
      <c r="MH61" s="94"/>
      <c r="MI61" s="94"/>
      <c r="MJ61" s="94"/>
      <c r="MK61" s="94"/>
      <c r="ML61" s="94"/>
      <c r="MM61" s="94"/>
      <c r="MN61" s="94"/>
      <c r="MO61" s="95"/>
      <c r="MP61" s="95"/>
      <c r="MQ61" s="94"/>
      <c r="MR61" s="94"/>
      <c r="MS61" s="94"/>
      <c r="MT61" s="94"/>
      <c r="MU61" s="94"/>
      <c r="MV61" s="94"/>
      <c r="MW61" s="94"/>
      <c r="MX61" s="94"/>
      <c r="MY61" s="94"/>
      <c r="MZ61" s="94"/>
      <c r="NA61" s="94"/>
      <c r="NB61" s="94"/>
      <c r="NC61" s="94"/>
      <c r="ND61" s="94"/>
      <c r="NE61" s="94"/>
      <c r="NF61" s="94"/>
      <c r="NG61" s="94"/>
      <c r="NH61" s="94"/>
      <c r="NI61" s="94"/>
      <c r="NJ61" s="94"/>
    </row>
    <row r="62" spans="1:374" x14ac:dyDescent="0.25">
      <c r="A62" s="88"/>
      <c r="B62" s="88"/>
      <c r="C62" s="88"/>
      <c r="D62" s="88"/>
      <c r="E62" s="89"/>
      <c r="F62" s="88"/>
      <c r="G62" s="88"/>
      <c r="H62" s="88" t="str">
        <f t="shared" si="26"/>
        <v xml:space="preserve">  </v>
      </c>
      <c r="I62" s="88"/>
      <c r="J62" s="88"/>
      <c r="K62" s="88"/>
      <c r="L62" s="88"/>
      <c r="M62" s="88"/>
      <c r="N62" s="88"/>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1"/>
      <c r="AR62" s="75"/>
      <c r="AS62" s="91"/>
      <c r="AT62" s="91"/>
      <c r="AU62" s="90"/>
      <c r="AV62" s="91"/>
      <c r="AW62" s="91"/>
      <c r="AX62" s="91"/>
      <c r="AY62" s="91"/>
      <c r="AZ62" s="91"/>
      <c r="BA62" s="91"/>
      <c r="BB62" s="90"/>
      <c r="BC62" s="91"/>
      <c r="BD62" s="75"/>
      <c r="BE62" s="91"/>
      <c r="BF62" s="91"/>
      <c r="BG62" s="90"/>
      <c r="BH62" s="91"/>
      <c r="BI62" s="91"/>
      <c r="BJ62" s="91"/>
      <c r="BK62" s="91"/>
      <c r="BL62" s="91"/>
      <c r="BM62" s="91"/>
      <c r="BN62" s="90"/>
      <c r="BO62" s="91"/>
      <c r="BP62" s="75"/>
      <c r="BQ62" s="91"/>
      <c r="BR62" s="91"/>
      <c r="BS62" s="90"/>
      <c r="BT62" s="91"/>
      <c r="BU62" s="91"/>
      <c r="BV62" s="91"/>
      <c r="BW62" s="91"/>
      <c r="BX62" s="91"/>
      <c r="BY62" s="91"/>
      <c r="BZ62" s="90"/>
      <c r="CA62" s="91"/>
      <c r="CB62" s="75"/>
      <c r="CC62" s="91"/>
      <c r="CD62" s="91"/>
      <c r="CE62" s="90"/>
      <c r="CF62" s="91"/>
      <c r="CG62" s="91"/>
      <c r="CH62" s="91"/>
      <c r="CI62" s="91"/>
      <c r="CJ62" s="91"/>
      <c r="CK62" s="91"/>
      <c r="CL62" s="90"/>
      <c r="CM62" s="91"/>
      <c r="CN62" s="75"/>
      <c r="CO62" s="91"/>
      <c r="CP62" s="91"/>
      <c r="CQ62" s="90"/>
      <c r="CR62" s="91"/>
      <c r="CS62" s="91"/>
      <c r="CT62" s="91"/>
      <c r="CU62" s="91"/>
      <c r="CV62" s="91"/>
      <c r="CW62" s="91"/>
      <c r="CX62" s="90"/>
      <c r="CY62" s="91"/>
      <c r="CZ62" s="75"/>
      <c r="DA62" s="91"/>
      <c r="DB62" s="91"/>
      <c r="DC62" s="90"/>
      <c r="DD62" s="91"/>
      <c r="DE62" s="91"/>
      <c r="DF62" s="91"/>
      <c r="DG62" s="91"/>
      <c r="DH62" s="91"/>
      <c r="DI62" s="91"/>
      <c r="DJ62" s="90"/>
      <c r="DK62" s="91"/>
      <c r="DL62" s="75"/>
      <c r="DM62" s="75"/>
      <c r="DN62" s="75">
        <f t="shared" si="1"/>
        <v>0</v>
      </c>
      <c r="DO62" s="75" t="str">
        <f t="shared" si="2"/>
        <v/>
      </c>
      <c r="DP62" s="91" t="str">
        <f>IFERROR(#REF!/#REF!*1000,"")</f>
        <v/>
      </c>
      <c r="DQ62" s="91" t="str">
        <f>IFERROR(#REF!/#REF!*1000,"")</f>
        <v/>
      </c>
      <c r="DR62" s="90"/>
      <c r="DS62" s="91" t="str">
        <f>IFERROR(#REF!/#REF!*1000,"")</f>
        <v/>
      </c>
      <c r="DT62" s="91" t="str">
        <f>IFERROR(#REF!/#REF!*1000,"")</f>
        <v/>
      </c>
      <c r="DU62" s="91"/>
      <c r="DV62" s="91"/>
      <c r="DW62" s="91"/>
      <c r="DX62" s="91"/>
      <c r="DY62" s="90"/>
      <c r="DZ62" s="91"/>
      <c r="EA62" s="75"/>
      <c r="EB62" s="91"/>
      <c r="EC62" s="91"/>
      <c r="ED62" s="90"/>
      <c r="EE62" s="91"/>
      <c r="EF62" s="91"/>
      <c r="EG62" s="91"/>
      <c r="EH62" s="91"/>
      <c r="EI62" s="91"/>
      <c r="EJ62" s="91"/>
      <c r="EK62" s="90"/>
      <c r="EL62" s="90"/>
      <c r="EM62" s="88"/>
      <c r="EN62" s="92"/>
      <c r="EO62" s="92"/>
      <c r="EP62" s="92"/>
      <c r="EQ62" s="92"/>
      <c r="ER62" s="92"/>
      <c r="ES62" s="92"/>
      <c r="ET62" s="92"/>
      <c r="EU62" s="92"/>
      <c r="EV62" s="92"/>
      <c r="EW62" s="92"/>
      <c r="EX62" s="92"/>
      <c r="EY62" s="92"/>
      <c r="EZ62" s="92"/>
      <c r="FA62" s="92"/>
      <c r="FB62" s="92"/>
      <c r="FC62" s="92"/>
      <c r="FD62" s="92"/>
      <c r="FE62" s="92"/>
      <c r="FF62" s="92"/>
      <c r="FG62" s="92"/>
      <c r="FH62" s="92"/>
      <c r="FI62" s="92"/>
      <c r="FJ62" s="92"/>
      <c r="FK62" s="92"/>
      <c r="FL62" s="92"/>
      <c r="FM62" s="92"/>
      <c r="FN62" s="92"/>
      <c r="FO62" s="92"/>
      <c r="FP62" s="92"/>
      <c r="FQ62" s="92"/>
      <c r="FR62" s="92"/>
      <c r="FS62" s="92"/>
      <c r="FT62" s="92"/>
      <c r="FU62" s="92"/>
      <c r="FV62" s="92"/>
      <c r="FW62" s="92"/>
      <c r="FX62" s="92"/>
      <c r="FY62" s="92"/>
      <c r="FZ62" s="92"/>
      <c r="GA62" s="92"/>
      <c r="GB62" s="92"/>
      <c r="GC62" s="92"/>
      <c r="GD62" s="92"/>
      <c r="GE62" s="92"/>
      <c r="GF62" s="92"/>
      <c r="GG62" s="92"/>
      <c r="GH62" s="92"/>
      <c r="GI62" s="92"/>
      <c r="GJ62" s="92"/>
      <c r="GK62" s="92"/>
      <c r="GL62" s="92"/>
      <c r="GM62" s="92"/>
      <c r="GN62" s="92"/>
      <c r="GO62" s="92"/>
      <c r="GP62" s="92"/>
      <c r="GQ62" s="92"/>
      <c r="GR62" s="92"/>
      <c r="GS62" s="92"/>
      <c r="GT62" s="92"/>
      <c r="GU62" s="92"/>
      <c r="GV62" s="92"/>
      <c r="GW62" s="92"/>
      <c r="GX62" s="92"/>
      <c r="GY62" s="92"/>
      <c r="GZ62" s="92"/>
      <c r="HA62" s="92"/>
      <c r="HB62" s="92"/>
      <c r="HC62" s="92"/>
      <c r="HD62" s="92"/>
      <c r="HE62" s="92"/>
      <c r="HF62" s="92"/>
      <c r="HG62" s="92"/>
      <c r="HH62" s="92"/>
      <c r="HI62" s="92"/>
      <c r="HJ62" s="92"/>
      <c r="HK62" s="92"/>
      <c r="HL62" s="92"/>
      <c r="HM62" s="92"/>
      <c r="HN62" s="92"/>
      <c r="HO62" s="92"/>
      <c r="HP62" s="92"/>
      <c r="HQ62" s="92"/>
      <c r="HR62" s="92"/>
      <c r="HS62" s="92"/>
      <c r="HT62" s="92"/>
      <c r="HU62" s="92"/>
      <c r="HV62" s="92"/>
      <c r="HW62" s="92"/>
      <c r="HX62" s="92"/>
      <c r="HY62" s="92"/>
      <c r="HZ62" s="92"/>
      <c r="IA62" s="92"/>
      <c r="IB62" s="92"/>
      <c r="IC62" s="92"/>
      <c r="ID62" s="92"/>
      <c r="IE62" s="92"/>
      <c r="IF62" s="92"/>
      <c r="IG62" s="92"/>
      <c r="IH62" s="92"/>
      <c r="II62" s="92"/>
      <c r="IJ62" s="92"/>
      <c r="IK62" s="92"/>
      <c r="IL62" s="92"/>
      <c r="IM62" s="92"/>
      <c r="IN62" s="92"/>
      <c r="IO62" s="92"/>
      <c r="IP62" s="92"/>
      <c r="IQ62" s="92"/>
      <c r="IR62" s="92"/>
      <c r="IS62" s="92"/>
      <c r="IT62" s="92"/>
      <c r="IU62" s="92"/>
      <c r="IV62" s="92"/>
      <c r="IW62" s="92"/>
      <c r="IX62" s="92"/>
      <c r="IY62" s="92"/>
      <c r="IZ62" s="92"/>
      <c r="JA62" s="92"/>
      <c r="JB62" s="92"/>
      <c r="JC62" s="92"/>
      <c r="JD62" s="92"/>
      <c r="JE62" s="92"/>
      <c r="JF62" s="92"/>
      <c r="JG62" s="92"/>
      <c r="JH62" s="92"/>
      <c r="JI62" s="92"/>
      <c r="JJ62" s="92"/>
      <c r="JK62" s="92"/>
      <c r="JL62" s="92"/>
      <c r="JM62" s="92"/>
      <c r="JN62" s="92"/>
      <c r="JO62" s="92"/>
      <c r="JP62" s="92"/>
      <c r="JQ62" s="92"/>
      <c r="JR62" s="92"/>
      <c r="JS62" s="92"/>
      <c r="JT62" s="92"/>
      <c r="JU62" s="92"/>
      <c r="JV62" s="92"/>
      <c r="JW62" s="92"/>
      <c r="JX62" s="92"/>
      <c r="JY62" s="92"/>
      <c r="JZ62" s="92"/>
      <c r="KA62" s="92"/>
      <c r="KB62" s="92"/>
      <c r="KC62" s="92"/>
      <c r="KD62" s="92"/>
      <c r="KE62" s="92"/>
      <c r="KF62" s="92"/>
      <c r="KG62" s="92"/>
      <c r="KH62" s="92"/>
      <c r="KI62" s="92"/>
      <c r="KJ62" s="92"/>
      <c r="KK62" s="92"/>
      <c r="KL62" s="92"/>
      <c r="KM62" s="92"/>
      <c r="KN62" s="92"/>
      <c r="KO62" s="92"/>
      <c r="KP62" s="92"/>
      <c r="KQ62" s="88"/>
      <c r="KR62" s="92"/>
      <c r="KS62" s="92"/>
      <c r="KT62" s="92"/>
      <c r="KU62" s="93"/>
      <c r="KV62" s="92"/>
      <c r="KW62" s="93"/>
      <c r="KX62" s="92"/>
      <c r="KY62" s="93"/>
      <c r="KZ62" s="92"/>
      <c r="LA62" s="93"/>
      <c r="LB62" s="92"/>
      <c r="LC62" s="93"/>
      <c r="LD62" s="92"/>
      <c r="LE62" s="93"/>
      <c r="LF62" s="92"/>
      <c r="LG62" s="92"/>
      <c r="LH62" s="92"/>
      <c r="LI62" s="92"/>
      <c r="LJ62" s="92"/>
      <c r="LK62" s="92"/>
      <c r="LL62" s="92"/>
      <c r="LM62" s="92"/>
      <c r="LN62" s="92"/>
      <c r="LO62" s="92"/>
      <c r="LP62" s="88"/>
      <c r="LQ62" s="93"/>
      <c r="LR62" s="88"/>
      <c r="LS62" s="93"/>
      <c r="LT62" s="93"/>
      <c r="LU62" s="93"/>
      <c r="LV62" s="93"/>
      <c r="LW62" s="93"/>
      <c r="LX62" s="93"/>
      <c r="LY62" s="93"/>
      <c r="LZ62" s="93"/>
      <c r="MA62" s="93"/>
      <c r="MB62" s="93"/>
      <c r="MC62" s="94"/>
      <c r="MD62" s="94"/>
      <c r="ME62" s="94"/>
      <c r="MF62" s="94"/>
      <c r="MG62" s="94"/>
      <c r="MH62" s="94"/>
      <c r="MI62" s="94"/>
      <c r="MJ62" s="94"/>
      <c r="MK62" s="94"/>
      <c r="ML62" s="94"/>
      <c r="MM62" s="94"/>
      <c r="MN62" s="94"/>
      <c r="MO62" s="95"/>
      <c r="MP62" s="95"/>
      <c r="MQ62" s="94"/>
      <c r="MR62" s="94"/>
      <c r="MS62" s="94"/>
      <c r="MT62" s="94"/>
      <c r="MU62" s="94"/>
      <c r="MV62" s="94"/>
      <c r="MW62" s="94"/>
      <c r="MX62" s="94"/>
      <c r="MY62" s="94"/>
      <c r="MZ62" s="94"/>
      <c r="NA62" s="94"/>
      <c r="NB62" s="94"/>
      <c r="NC62" s="94"/>
      <c r="ND62" s="94"/>
      <c r="NE62" s="94"/>
      <c r="NF62" s="94"/>
      <c r="NG62" s="94"/>
      <c r="NH62" s="94"/>
      <c r="NI62" s="94"/>
      <c r="NJ62" s="94"/>
    </row>
    <row r="63" spans="1:374" x14ac:dyDescent="0.25">
      <c r="A63" s="88"/>
      <c r="B63" s="88"/>
      <c r="C63" s="88"/>
      <c r="D63" s="88"/>
      <c r="E63" s="89"/>
      <c r="F63" s="88"/>
      <c r="G63" s="88"/>
      <c r="H63" s="88" t="str">
        <f t="shared" si="26"/>
        <v xml:space="preserve">  </v>
      </c>
      <c r="I63" s="88"/>
      <c r="J63" s="88"/>
      <c r="K63" s="88"/>
      <c r="L63" s="88"/>
      <c r="M63" s="88"/>
      <c r="N63" s="88"/>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1"/>
      <c r="AR63" s="75"/>
      <c r="AS63" s="91"/>
      <c r="AT63" s="91"/>
      <c r="AU63" s="90"/>
      <c r="AV63" s="91"/>
      <c r="AW63" s="91"/>
      <c r="AX63" s="91"/>
      <c r="AY63" s="91"/>
      <c r="AZ63" s="91"/>
      <c r="BA63" s="91"/>
      <c r="BB63" s="90"/>
      <c r="BC63" s="91"/>
      <c r="BD63" s="75"/>
      <c r="BE63" s="91"/>
      <c r="BF63" s="91"/>
      <c r="BG63" s="90"/>
      <c r="BH63" s="91"/>
      <c r="BI63" s="91"/>
      <c r="BJ63" s="91"/>
      <c r="BK63" s="91"/>
      <c r="BL63" s="91"/>
      <c r="BM63" s="91"/>
      <c r="BN63" s="90"/>
      <c r="BO63" s="91"/>
      <c r="BP63" s="75"/>
      <c r="BQ63" s="91"/>
      <c r="BR63" s="91"/>
      <c r="BS63" s="90"/>
      <c r="BT63" s="91"/>
      <c r="BU63" s="91"/>
      <c r="BV63" s="91"/>
      <c r="BW63" s="91"/>
      <c r="BX63" s="91"/>
      <c r="BY63" s="91"/>
      <c r="BZ63" s="90"/>
      <c r="CA63" s="91"/>
      <c r="CB63" s="75"/>
      <c r="CC63" s="91"/>
      <c r="CD63" s="91"/>
      <c r="CE63" s="90"/>
      <c r="CF63" s="91"/>
      <c r="CG63" s="91"/>
      <c r="CH63" s="91"/>
      <c r="CI63" s="91"/>
      <c r="CJ63" s="91"/>
      <c r="CK63" s="91"/>
      <c r="CL63" s="90"/>
      <c r="CM63" s="91"/>
      <c r="CN63" s="75"/>
      <c r="CO63" s="91"/>
      <c r="CP63" s="91"/>
      <c r="CQ63" s="90"/>
      <c r="CR63" s="91"/>
      <c r="CS63" s="91"/>
      <c r="CT63" s="91"/>
      <c r="CU63" s="91"/>
      <c r="CV63" s="91"/>
      <c r="CW63" s="91"/>
      <c r="CX63" s="90"/>
      <c r="CY63" s="91"/>
      <c r="CZ63" s="75"/>
      <c r="DA63" s="91"/>
      <c r="DB63" s="91"/>
      <c r="DC63" s="90"/>
      <c r="DD63" s="91"/>
      <c r="DE63" s="91"/>
      <c r="DF63" s="91"/>
      <c r="DG63" s="91"/>
      <c r="DH63" s="91"/>
      <c r="DI63" s="91"/>
      <c r="DJ63" s="90"/>
      <c r="DK63" s="91"/>
      <c r="DL63" s="75"/>
      <c r="DM63" s="75"/>
      <c r="DN63" s="75">
        <f t="shared" si="1"/>
        <v>0</v>
      </c>
      <c r="DO63" s="75" t="str">
        <f t="shared" si="2"/>
        <v/>
      </c>
      <c r="DP63" s="91" t="str">
        <f>IFERROR(#REF!/#REF!*1000,"")</f>
        <v/>
      </c>
      <c r="DQ63" s="91" t="str">
        <f>IFERROR(#REF!/#REF!*1000,"")</f>
        <v/>
      </c>
      <c r="DR63" s="90"/>
      <c r="DS63" s="91" t="str">
        <f>IFERROR(#REF!/#REF!*1000,"")</f>
        <v/>
      </c>
      <c r="DT63" s="91" t="str">
        <f>IFERROR(#REF!/#REF!*1000,"")</f>
        <v/>
      </c>
      <c r="DU63" s="91"/>
      <c r="DV63" s="91"/>
      <c r="DW63" s="91"/>
      <c r="DX63" s="91"/>
      <c r="DY63" s="90"/>
      <c r="DZ63" s="91"/>
      <c r="EA63" s="75"/>
      <c r="EB63" s="91"/>
      <c r="EC63" s="91"/>
      <c r="ED63" s="90"/>
      <c r="EE63" s="91"/>
      <c r="EF63" s="91"/>
      <c r="EG63" s="91"/>
      <c r="EH63" s="91"/>
      <c r="EI63" s="91"/>
      <c r="EJ63" s="91"/>
      <c r="EK63" s="90"/>
      <c r="EL63" s="90"/>
      <c r="EM63" s="88"/>
      <c r="EN63" s="92"/>
      <c r="EO63" s="92"/>
      <c r="EP63" s="92"/>
      <c r="EQ63" s="92"/>
      <c r="ER63" s="92"/>
      <c r="ES63" s="92"/>
      <c r="ET63" s="92"/>
      <c r="EU63" s="92"/>
      <c r="EV63" s="92"/>
      <c r="EW63" s="92"/>
      <c r="EX63" s="92"/>
      <c r="EY63" s="92"/>
      <c r="EZ63" s="92"/>
      <c r="FA63" s="92"/>
      <c r="FB63" s="92"/>
      <c r="FC63" s="92"/>
      <c r="FD63" s="92"/>
      <c r="FE63" s="92"/>
      <c r="FF63" s="92"/>
      <c r="FG63" s="92"/>
      <c r="FH63" s="92"/>
      <c r="FI63" s="92"/>
      <c r="FJ63" s="92"/>
      <c r="FK63" s="92"/>
      <c r="FL63" s="92"/>
      <c r="FM63" s="92"/>
      <c r="FN63" s="92"/>
      <c r="FO63" s="92"/>
      <c r="FP63" s="92"/>
      <c r="FQ63" s="92"/>
      <c r="FR63" s="92"/>
      <c r="FS63" s="92"/>
      <c r="FT63" s="92"/>
      <c r="FU63" s="92"/>
      <c r="FV63" s="92"/>
      <c r="FW63" s="92"/>
      <c r="FX63" s="92"/>
      <c r="FY63" s="92"/>
      <c r="FZ63" s="92"/>
      <c r="GA63" s="92"/>
      <c r="GB63" s="92"/>
      <c r="GC63" s="92"/>
      <c r="GD63" s="92"/>
      <c r="GE63" s="92"/>
      <c r="GF63" s="92"/>
      <c r="GG63" s="92"/>
      <c r="GH63" s="92"/>
      <c r="GI63" s="92"/>
      <c r="GJ63" s="92"/>
      <c r="GK63" s="92"/>
      <c r="GL63" s="92"/>
      <c r="GM63" s="92"/>
      <c r="GN63" s="92"/>
      <c r="GO63" s="92"/>
      <c r="GP63" s="92"/>
      <c r="GQ63" s="92"/>
      <c r="GR63" s="92"/>
      <c r="GS63" s="92"/>
      <c r="GT63" s="92"/>
      <c r="GU63" s="92"/>
      <c r="GV63" s="92"/>
      <c r="GW63" s="92"/>
      <c r="GX63" s="92"/>
      <c r="GY63" s="92"/>
      <c r="GZ63" s="92"/>
      <c r="HA63" s="92"/>
      <c r="HB63" s="92"/>
      <c r="HC63" s="92"/>
      <c r="HD63" s="92"/>
      <c r="HE63" s="92"/>
      <c r="HF63" s="92"/>
      <c r="HG63" s="92"/>
      <c r="HH63" s="92"/>
      <c r="HI63" s="92"/>
      <c r="HJ63" s="92"/>
      <c r="HK63" s="92"/>
      <c r="HL63" s="92"/>
      <c r="HM63" s="92"/>
      <c r="HN63" s="92"/>
      <c r="HO63" s="92"/>
      <c r="HP63" s="92"/>
      <c r="HQ63" s="92"/>
      <c r="HR63" s="92"/>
      <c r="HS63" s="92"/>
      <c r="HT63" s="92"/>
      <c r="HU63" s="92"/>
      <c r="HV63" s="92"/>
      <c r="HW63" s="92"/>
      <c r="HX63" s="92"/>
      <c r="HY63" s="92"/>
      <c r="HZ63" s="92"/>
      <c r="IA63" s="92"/>
      <c r="IB63" s="92"/>
      <c r="IC63" s="92"/>
      <c r="ID63" s="92"/>
      <c r="IE63" s="92"/>
      <c r="IF63" s="92"/>
      <c r="IG63" s="92"/>
      <c r="IH63" s="92"/>
      <c r="II63" s="92"/>
      <c r="IJ63" s="92"/>
      <c r="IK63" s="92"/>
      <c r="IL63" s="92"/>
      <c r="IM63" s="92"/>
      <c r="IN63" s="92"/>
      <c r="IO63" s="92"/>
      <c r="IP63" s="92"/>
      <c r="IQ63" s="92"/>
      <c r="IR63" s="92"/>
      <c r="IS63" s="92"/>
      <c r="IT63" s="92"/>
      <c r="IU63" s="92"/>
      <c r="IV63" s="92"/>
      <c r="IW63" s="92"/>
      <c r="IX63" s="92"/>
      <c r="IY63" s="92"/>
      <c r="IZ63" s="92"/>
      <c r="JA63" s="92"/>
      <c r="JB63" s="92"/>
      <c r="JC63" s="92"/>
      <c r="JD63" s="92"/>
      <c r="JE63" s="92"/>
      <c r="JF63" s="92"/>
      <c r="JG63" s="92"/>
      <c r="JH63" s="92"/>
      <c r="JI63" s="92"/>
      <c r="JJ63" s="92"/>
      <c r="JK63" s="92"/>
      <c r="JL63" s="92"/>
      <c r="JM63" s="92"/>
      <c r="JN63" s="92"/>
      <c r="JO63" s="92"/>
      <c r="JP63" s="92"/>
      <c r="JQ63" s="92"/>
      <c r="JR63" s="92"/>
      <c r="JS63" s="92"/>
      <c r="JT63" s="92"/>
      <c r="JU63" s="92"/>
      <c r="JV63" s="92"/>
      <c r="JW63" s="92"/>
      <c r="JX63" s="92"/>
      <c r="JY63" s="92"/>
      <c r="JZ63" s="92"/>
      <c r="KA63" s="92"/>
      <c r="KB63" s="92"/>
      <c r="KC63" s="92"/>
      <c r="KD63" s="92"/>
      <c r="KE63" s="92"/>
      <c r="KF63" s="92"/>
      <c r="KG63" s="92"/>
      <c r="KH63" s="92"/>
      <c r="KI63" s="92"/>
      <c r="KJ63" s="92"/>
      <c r="KK63" s="92"/>
      <c r="KL63" s="92"/>
      <c r="KM63" s="92"/>
      <c r="KN63" s="92"/>
      <c r="KO63" s="92"/>
      <c r="KP63" s="92"/>
      <c r="KQ63" s="88"/>
      <c r="KR63" s="92"/>
      <c r="KS63" s="92"/>
      <c r="KT63" s="92"/>
      <c r="KU63" s="93"/>
      <c r="KV63" s="92"/>
      <c r="KW63" s="93"/>
      <c r="KX63" s="92"/>
      <c r="KY63" s="93"/>
      <c r="KZ63" s="92"/>
      <c r="LA63" s="93"/>
      <c r="LB63" s="92"/>
      <c r="LC63" s="93"/>
      <c r="LD63" s="92"/>
      <c r="LE63" s="93"/>
      <c r="LF63" s="92"/>
      <c r="LG63" s="92"/>
      <c r="LH63" s="92"/>
      <c r="LI63" s="92"/>
      <c r="LJ63" s="92"/>
      <c r="LK63" s="92"/>
      <c r="LL63" s="92"/>
      <c r="LM63" s="92"/>
      <c r="LN63" s="92"/>
      <c r="LO63" s="92"/>
      <c r="LP63" s="88"/>
      <c r="LQ63" s="93"/>
      <c r="LR63" s="88"/>
      <c r="LS63" s="93"/>
      <c r="LT63" s="93"/>
      <c r="LU63" s="93"/>
      <c r="LV63" s="93"/>
      <c r="LW63" s="93"/>
      <c r="LX63" s="93"/>
      <c r="LY63" s="93"/>
      <c r="LZ63" s="93"/>
      <c r="MA63" s="93"/>
      <c r="MB63" s="93"/>
      <c r="MC63" s="94"/>
      <c r="MD63" s="94"/>
      <c r="ME63" s="94"/>
      <c r="MF63" s="94"/>
      <c r="MG63" s="94"/>
      <c r="MH63" s="94"/>
      <c r="MI63" s="94"/>
      <c r="MJ63" s="94"/>
      <c r="MK63" s="94"/>
      <c r="ML63" s="94"/>
      <c r="MM63" s="94"/>
      <c r="MN63" s="94"/>
      <c r="MO63" s="95"/>
      <c r="MP63" s="95"/>
      <c r="MQ63" s="94"/>
      <c r="MR63" s="94"/>
      <c r="MS63" s="94"/>
      <c r="MT63" s="94"/>
      <c r="MU63" s="94"/>
      <c r="MV63" s="94"/>
      <c r="MW63" s="94"/>
      <c r="MX63" s="94"/>
      <c r="MY63" s="94"/>
      <c r="MZ63" s="94"/>
      <c r="NA63" s="94"/>
      <c r="NB63" s="94"/>
      <c r="NC63" s="94"/>
      <c r="ND63" s="94"/>
      <c r="NE63" s="94"/>
      <c r="NF63" s="94"/>
      <c r="NG63" s="94"/>
      <c r="NH63" s="94"/>
      <c r="NI63" s="94"/>
      <c r="NJ63" s="94"/>
    </row>
    <row r="64" spans="1:374" x14ac:dyDescent="0.25">
      <c r="A64" s="88"/>
      <c r="B64" s="88"/>
      <c r="C64" s="88"/>
      <c r="D64" s="88"/>
      <c r="E64" s="89"/>
      <c r="F64" s="88"/>
      <c r="G64" s="88"/>
      <c r="H64" s="88" t="str">
        <f t="shared" si="26"/>
        <v xml:space="preserve">  </v>
      </c>
      <c r="I64" s="88"/>
      <c r="J64" s="88"/>
      <c r="K64" s="88"/>
      <c r="L64" s="88"/>
      <c r="M64" s="88"/>
      <c r="N64" s="88"/>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1"/>
      <c r="AR64" s="75"/>
      <c r="AS64" s="91"/>
      <c r="AT64" s="91"/>
      <c r="AU64" s="90"/>
      <c r="AV64" s="91"/>
      <c r="AW64" s="91"/>
      <c r="AX64" s="91"/>
      <c r="AY64" s="91"/>
      <c r="AZ64" s="91"/>
      <c r="BA64" s="91"/>
      <c r="BB64" s="90"/>
      <c r="BC64" s="91"/>
      <c r="BD64" s="75"/>
      <c r="BE64" s="91"/>
      <c r="BF64" s="91"/>
      <c r="BG64" s="90"/>
      <c r="BH64" s="91"/>
      <c r="BI64" s="91"/>
      <c r="BJ64" s="91"/>
      <c r="BK64" s="91"/>
      <c r="BL64" s="91"/>
      <c r="BM64" s="91"/>
      <c r="BN64" s="90"/>
      <c r="BO64" s="91"/>
      <c r="BP64" s="75"/>
      <c r="BQ64" s="91"/>
      <c r="BR64" s="91"/>
      <c r="BS64" s="90"/>
      <c r="BT64" s="91"/>
      <c r="BU64" s="91"/>
      <c r="BV64" s="91"/>
      <c r="BW64" s="91"/>
      <c r="BX64" s="91"/>
      <c r="BY64" s="91"/>
      <c r="BZ64" s="90"/>
      <c r="CA64" s="91"/>
      <c r="CB64" s="75"/>
      <c r="CC64" s="91"/>
      <c r="CD64" s="91"/>
      <c r="CE64" s="90"/>
      <c r="CF64" s="91"/>
      <c r="CG64" s="91"/>
      <c r="CH64" s="91"/>
      <c r="CI64" s="91"/>
      <c r="CJ64" s="91"/>
      <c r="CK64" s="91"/>
      <c r="CL64" s="90"/>
      <c r="CM64" s="91"/>
      <c r="CN64" s="75"/>
      <c r="CO64" s="91"/>
      <c r="CP64" s="91"/>
      <c r="CQ64" s="90"/>
      <c r="CR64" s="91"/>
      <c r="CS64" s="91"/>
      <c r="CT64" s="91"/>
      <c r="CU64" s="91"/>
      <c r="CV64" s="91"/>
      <c r="CW64" s="91"/>
      <c r="CX64" s="90"/>
      <c r="CY64" s="91"/>
      <c r="CZ64" s="75"/>
      <c r="DA64" s="91"/>
      <c r="DB64" s="91"/>
      <c r="DC64" s="90"/>
      <c r="DD64" s="91"/>
      <c r="DE64" s="91"/>
      <c r="DF64" s="91"/>
      <c r="DG64" s="91"/>
      <c r="DH64" s="91"/>
      <c r="DI64" s="91"/>
      <c r="DJ64" s="90"/>
      <c r="DK64" s="91"/>
      <c r="DL64" s="75"/>
      <c r="DM64" s="75"/>
      <c r="DN64" s="75">
        <f t="shared" si="1"/>
        <v>0</v>
      </c>
      <c r="DO64" s="75" t="str">
        <f t="shared" si="2"/>
        <v/>
      </c>
      <c r="DP64" s="91" t="str">
        <f>IFERROR(#REF!/#REF!*1000,"")</f>
        <v/>
      </c>
      <c r="DQ64" s="91" t="str">
        <f>IFERROR(#REF!/#REF!*1000,"")</f>
        <v/>
      </c>
      <c r="DR64" s="90"/>
      <c r="DS64" s="91" t="str">
        <f>IFERROR(#REF!/#REF!*1000,"")</f>
        <v/>
      </c>
      <c r="DT64" s="91" t="str">
        <f>IFERROR(#REF!/#REF!*1000,"")</f>
        <v/>
      </c>
      <c r="DU64" s="91"/>
      <c r="DV64" s="91"/>
      <c r="DW64" s="91"/>
      <c r="DX64" s="91"/>
      <c r="DY64" s="90"/>
      <c r="DZ64" s="91"/>
      <c r="EA64" s="75"/>
      <c r="EB64" s="91"/>
      <c r="EC64" s="91"/>
      <c r="ED64" s="90"/>
      <c r="EE64" s="91"/>
      <c r="EF64" s="91"/>
      <c r="EG64" s="91"/>
      <c r="EH64" s="91"/>
      <c r="EI64" s="91"/>
      <c r="EJ64" s="91"/>
      <c r="EK64" s="90"/>
      <c r="EL64" s="90"/>
      <c r="EM64" s="88"/>
      <c r="EN64" s="92"/>
      <c r="EO64" s="92"/>
      <c r="EP64" s="92"/>
      <c r="EQ64" s="92"/>
      <c r="ER64" s="92"/>
      <c r="ES64" s="92"/>
      <c r="ET64" s="92"/>
      <c r="EU64" s="92"/>
      <c r="EV64" s="92"/>
      <c r="EW64" s="92"/>
      <c r="EX64" s="92"/>
      <c r="EY64" s="92"/>
      <c r="EZ64" s="92"/>
      <c r="FA64" s="92"/>
      <c r="FB64" s="92"/>
      <c r="FC64" s="92"/>
      <c r="FD64" s="92"/>
      <c r="FE64" s="92"/>
      <c r="FF64" s="92"/>
      <c r="FG64" s="92"/>
      <c r="FH64" s="92"/>
      <c r="FI64" s="92"/>
      <c r="FJ64" s="92"/>
      <c r="FK64" s="92"/>
      <c r="FL64" s="92"/>
      <c r="FM64" s="92"/>
      <c r="FN64" s="92"/>
      <c r="FO64" s="92"/>
      <c r="FP64" s="92"/>
      <c r="FQ64" s="92"/>
      <c r="FR64" s="92"/>
      <c r="FS64" s="92"/>
      <c r="FT64" s="92"/>
      <c r="FU64" s="92"/>
      <c r="FV64" s="92"/>
      <c r="FW64" s="92"/>
      <c r="FX64" s="92"/>
      <c r="FY64" s="92"/>
      <c r="FZ64" s="92"/>
      <c r="GA64" s="92"/>
      <c r="GB64" s="92"/>
      <c r="GC64" s="92"/>
      <c r="GD64" s="92"/>
      <c r="GE64" s="92"/>
      <c r="GF64" s="92"/>
      <c r="GG64" s="92"/>
      <c r="GH64" s="92"/>
      <c r="GI64" s="92"/>
      <c r="GJ64" s="92"/>
      <c r="GK64" s="92"/>
      <c r="GL64" s="92"/>
      <c r="GM64" s="92"/>
      <c r="GN64" s="92"/>
      <c r="GO64" s="92"/>
      <c r="GP64" s="92"/>
      <c r="GQ64" s="92"/>
      <c r="GR64" s="92"/>
      <c r="GS64" s="92"/>
      <c r="GT64" s="92"/>
      <c r="GU64" s="92"/>
      <c r="GV64" s="92"/>
      <c r="GW64" s="92"/>
      <c r="GX64" s="92"/>
      <c r="GY64" s="92"/>
      <c r="GZ64" s="92"/>
      <c r="HA64" s="92"/>
      <c r="HB64" s="92"/>
      <c r="HC64" s="92"/>
      <c r="HD64" s="92"/>
      <c r="HE64" s="92"/>
      <c r="HF64" s="92"/>
      <c r="HG64" s="92"/>
      <c r="HH64" s="92"/>
      <c r="HI64" s="92"/>
      <c r="HJ64" s="92"/>
      <c r="HK64" s="92"/>
      <c r="HL64" s="92"/>
      <c r="HM64" s="92"/>
      <c r="HN64" s="92"/>
      <c r="HO64" s="92"/>
      <c r="HP64" s="92"/>
      <c r="HQ64" s="92"/>
      <c r="HR64" s="92"/>
      <c r="HS64" s="92"/>
      <c r="HT64" s="92"/>
      <c r="HU64" s="92"/>
      <c r="HV64" s="92"/>
      <c r="HW64" s="92"/>
      <c r="HX64" s="92"/>
      <c r="HY64" s="92"/>
      <c r="HZ64" s="92"/>
      <c r="IA64" s="92"/>
      <c r="IB64" s="92"/>
      <c r="IC64" s="92"/>
      <c r="ID64" s="92"/>
      <c r="IE64" s="92"/>
      <c r="IF64" s="92"/>
      <c r="IG64" s="92"/>
      <c r="IH64" s="92"/>
      <c r="II64" s="92"/>
      <c r="IJ64" s="92"/>
      <c r="IK64" s="92"/>
      <c r="IL64" s="92"/>
      <c r="IM64" s="92"/>
      <c r="IN64" s="92"/>
      <c r="IO64" s="92"/>
      <c r="IP64" s="92"/>
      <c r="IQ64" s="92"/>
      <c r="IR64" s="92"/>
      <c r="IS64" s="92"/>
      <c r="IT64" s="92"/>
      <c r="IU64" s="92"/>
      <c r="IV64" s="92"/>
      <c r="IW64" s="92"/>
      <c r="IX64" s="92"/>
      <c r="IY64" s="92"/>
      <c r="IZ64" s="92"/>
      <c r="JA64" s="92"/>
      <c r="JB64" s="92"/>
      <c r="JC64" s="92"/>
      <c r="JD64" s="92"/>
      <c r="JE64" s="92"/>
      <c r="JF64" s="92"/>
      <c r="JG64" s="92"/>
      <c r="JH64" s="92"/>
      <c r="JI64" s="92"/>
      <c r="JJ64" s="92"/>
      <c r="JK64" s="92"/>
      <c r="JL64" s="92"/>
      <c r="JM64" s="92"/>
      <c r="JN64" s="92"/>
      <c r="JO64" s="92"/>
      <c r="JP64" s="92"/>
      <c r="JQ64" s="92"/>
      <c r="JR64" s="92"/>
      <c r="JS64" s="92"/>
      <c r="JT64" s="92"/>
      <c r="JU64" s="92"/>
      <c r="JV64" s="92"/>
      <c r="JW64" s="92"/>
      <c r="JX64" s="92"/>
      <c r="JY64" s="92"/>
      <c r="JZ64" s="92"/>
      <c r="KA64" s="92"/>
      <c r="KB64" s="92"/>
      <c r="KC64" s="92"/>
      <c r="KD64" s="92"/>
      <c r="KE64" s="92"/>
      <c r="KF64" s="92"/>
      <c r="KG64" s="92"/>
      <c r="KH64" s="92"/>
      <c r="KI64" s="92"/>
      <c r="KJ64" s="92"/>
      <c r="KK64" s="92"/>
      <c r="KL64" s="92"/>
      <c r="KM64" s="92"/>
      <c r="KN64" s="92"/>
      <c r="KO64" s="92"/>
      <c r="KP64" s="92"/>
      <c r="KQ64" s="88"/>
      <c r="KR64" s="92"/>
      <c r="KS64" s="92"/>
      <c r="KT64" s="92"/>
      <c r="KU64" s="93"/>
      <c r="KV64" s="92"/>
      <c r="KW64" s="93"/>
      <c r="KX64" s="92"/>
      <c r="KY64" s="93"/>
      <c r="KZ64" s="92"/>
      <c r="LA64" s="93"/>
      <c r="LB64" s="92"/>
      <c r="LC64" s="93"/>
      <c r="LD64" s="92"/>
      <c r="LE64" s="93"/>
      <c r="LF64" s="92"/>
      <c r="LG64" s="92"/>
      <c r="LH64" s="92"/>
      <c r="LI64" s="92"/>
      <c r="LJ64" s="92"/>
      <c r="LK64" s="92"/>
      <c r="LL64" s="92"/>
      <c r="LM64" s="92"/>
      <c r="LN64" s="92"/>
      <c r="LO64" s="92"/>
      <c r="LP64" s="88"/>
      <c r="LQ64" s="93"/>
      <c r="LR64" s="88"/>
      <c r="LS64" s="93"/>
      <c r="LT64" s="93"/>
      <c r="LU64" s="93"/>
      <c r="LV64" s="93"/>
      <c r="LW64" s="93"/>
      <c r="LX64" s="93"/>
      <c r="LY64" s="93"/>
      <c r="LZ64" s="93"/>
      <c r="MA64" s="93"/>
      <c r="MB64" s="93"/>
      <c r="MC64" s="94"/>
      <c r="MD64" s="94"/>
      <c r="ME64" s="94"/>
      <c r="MF64" s="94"/>
      <c r="MG64" s="94"/>
      <c r="MH64" s="94"/>
      <c r="MI64" s="94"/>
      <c r="MJ64" s="94"/>
      <c r="MK64" s="94"/>
      <c r="ML64" s="94"/>
      <c r="MM64" s="94"/>
      <c r="MN64" s="94"/>
      <c r="MO64" s="95"/>
      <c r="MP64" s="95"/>
      <c r="MQ64" s="94"/>
      <c r="MR64" s="94"/>
      <c r="MS64" s="94"/>
      <c r="MT64" s="94"/>
      <c r="MU64" s="94"/>
      <c r="MV64" s="94"/>
      <c r="MW64" s="94"/>
      <c r="MX64" s="94"/>
      <c r="MY64" s="94"/>
      <c r="MZ64" s="94"/>
      <c r="NA64" s="94"/>
      <c r="NB64" s="94"/>
      <c r="NC64" s="94"/>
      <c r="ND64" s="94"/>
      <c r="NE64" s="94"/>
      <c r="NF64" s="94"/>
      <c r="NG64" s="94"/>
      <c r="NH64" s="94"/>
      <c r="NI64" s="94"/>
      <c r="NJ64" s="94"/>
    </row>
    <row r="65" spans="1:374" x14ac:dyDescent="0.25">
      <c r="A65" s="88"/>
      <c r="B65" s="88"/>
      <c r="C65" s="88"/>
      <c r="D65" s="88"/>
      <c r="E65" s="89"/>
      <c r="F65" s="88"/>
      <c r="G65" s="88"/>
      <c r="H65" s="88" t="str">
        <f t="shared" si="26"/>
        <v xml:space="preserve">  </v>
      </c>
      <c r="I65" s="88"/>
      <c r="J65" s="88"/>
      <c r="K65" s="88"/>
      <c r="L65" s="88"/>
      <c r="M65" s="88"/>
      <c r="N65" s="88"/>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1"/>
      <c r="AR65" s="75"/>
      <c r="AS65" s="91"/>
      <c r="AT65" s="91"/>
      <c r="AU65" s="90"/>
      <c r="AV65" s="91"/>
      <c r="AW65" s="91"/>
      <c r="AX65" s="91"/>
      <c r="AY65" s="91"/>
      <c r="AZ65" s="91"/>
      <c r="BA65" s="91"/>
      <c r="BB65" s="90"/>
      <c r="BC65" s="91"/>
      <c r="BD65" s="75"/>
      <c r="BE65" s="91"/>
      <c r="BF65" s="91"/>
      <c r="BG65" s="90"/>
      <c r="BH65" s="91"/>
      <c r="BI65" s="91"/>
      <c r="BJ65" s="91"/>
      <c r="BK65" s="91"/>
      <c r="BL65" s="91"/>
      <c r="BM65" s="91"/>
      <c r="BN65" s="90"/>
      <c r="BO65" s="91"/>
      <c r="BP65" s="75"/>
      <c r="BQ65" s="91"/>
      <c r="BR65" s="91"/>
      <c r="BS65" s="90"/>
      <c r="BT65" s="91"/>
      <c r="BU65" s="91"/>
      <c r="BV65" s="91"/>
      <c r="BW65" s="91"/>
      <c r="BX65" s="91"/>
      <c r="BY65" s="91"/>
      <c r="BZ65" s="90"/>
      <c r="CA65" s="91"/>
      <c r="CB65" s="75"/>
      <c r="CC65" s="91"/>
      <c r="CD65" s="91"/>
      <c r="CE65" s="90"/>
      <c r="CF65" s="91"/>
      <c r="CG65" s="91"/>
      <c r="CH65" s="91"/>
      <c r="CI65" s="91"/>
      <c r="CJ65" s="91"/>
      <c r="CK65" s="91"/>
      <c r="CL65" s="90"/>
      <c r="CM65" s="91"/>
      <c r="CN65" s="75"/>
      <c r="CO65" s="91"/>
      <c r="CP65" s="91"/>
      <c r="CQ65" s="90"/>
      <c r="CR65" s="91"/>
      <c r="CS65" s="91"/>
      <c r="CT65" s="91"/>
      <c r="CU65" s="91"/>
      <c r="CV65" s="91"/>
      <c r="CW65" s="91"/>
      <c r="CX65" s="90"/>
      <c r="CY65" s="91"/>
      <c r="CZ65" s="75"/>
      <c r="DA65" s="91"/>
      <c r="DB65" s="91"/>
      <c r="DC65" s="90"/>
      <c r="DD65" s="91"/>
      <c r="DE65" s="91"/>
      <c r="DF65" s="91"/>
      <c r="DG65" s="91"/>
      <c r="DH65" s="91"/>
      <c r="DI65" s="91"/>
      <c r="DJ65" s="90"/>
      <c r="DK65" s="91"/>
      <c r="DL65" s="75"/>
      <c r="DM65" s="75"/>
      <c r="DN65" s="75">
        <f t="shared" si="1"/>
        <v>0</v>
      </c>
      <c r="DO65" s="75" t="str">
        <f t="shared" si="2"/>
        <v/>
      </c>
      <c r="DP65" s="91" t="str">
        <f>IFERROR(#REF!/#REF!*1000,"")</f>
        <v/>
      </c>
      <c r="DQ65" s="91" t="str">
        <f>IFERROR(#REF!/#REF!*1000,"")</f>
        <v/>
      </c>
      <c r="DR65" s="90"/>
      <c r="DS65" s="91" t="str">
        <f>IFERROR(#REF!/#REF!*1000,"")</f>
        <v/>
      </c>
      <c r="DT65" s="91" t="str">
        <f>IFERROR(#REF!/#REF!*1000,"")</f>
        <v/>
      </c>
      <c r="DU65" s="91"/>
      <c r="DV65" s="91"/>
      <c r="DW65" s="91"/>
      <c r="DX65" s="91"/>
      <c r="DY65" s="90"/>
      <c r="DZ65" s="91"/>
      <c r="EA65" s="75"/>
      <c r="EB65" s="91"/>
      <c r="EC65" s="91"/>
      <c r="ED65" s="90"/>
      <c r="EE65" s="91"/>
      <c r="EF65" s="91"/>
      <c r="EG65" s="91"/>
      <c r="EH65" s="91"/>
      <c r="EI65" s="91"/>
      <c r="EJ65" s="91"/>
      <c r="EK65" s="90"/>
      <c r="EL65" s="90"/>
      <c r="EM65" s="88"/>
      <c r="EN65" s="92"/>
      <c r="EO65" s="92"/>
      <c r="EP65" s="92"/>
      <c r="EQ65" s="92"/>
      <c r="ER65" s="92"/>
      <c r="ES65" s="92"/>
      <c r="ET65" s="92"/>
      <c r="EU65" s="92"/>
      <c r="EV65" s="92"/>
      <c r="EW65" s="92"/>
      <c r="EX65" s="92"/>
      <c r="EY65" s="92"/>
      <c r="EZ65" s="92"/>
      <c r="FA65" s="92"/>
      <c r="FB65" s="92"/>
      <c r="FC65" s="92"/>
      <c r="FD65" s="92"/>
      <c r="FE65" s="92"/>
      <c r="FF65" s="92"/>
      <c r="FG65" s="92"/>
      <c r="FH65" s="92"/>
      <c r="FI65" s="92"/>
      <c r="FJ65" s="92"/>
      <c r="FK65" s="92"/>
      <c r="FL65" s="92"/>
      <c r="FM65" s="92"/>
      <c r="FN65" s="92"/>
      <c r="FO65" s="92"/>
      <c r="FP65" s="92"/>
      <c r="FQ65" s="92"/>
      <c r="FR65" s="92"/>
      <c r="FS65" s="92"/>
      <c r="FT65" s="92"/>
      <c r="FU65" s="92"/>
      <c r="FV65" s="92"/>
      <c r="FW65" s="92"/>
      <c r="FX65" s="92"/>
      <c r="FY65" s="92"/>
      <c r="FZ65" s="92"/>
      <c r="GA65" s="92"/>
      <c r="GB65" s="92"/>
      <c r="GC65" s="92"/>
      <c r="GD65" s="92"/>
      <c r="GE65" s="92"/>
      <c r="GF65" s="92"/>
      <c r="GG65" s="92"/>
      <c r="GH65" s="92"/>
      <c r="GI65" s="92"/>
      <c r="GJ65" s="92"/>
      <c r="GK65" s="92"/>
      <c r="GL65" s="92"/>
      <c r="GM65" s="92"/>
      <c r="GN65" s="92"/>
      <c r="GO65" s="92"/>
      <c r="GP65" s="92"/>
      <c r="GQ65" s="92"/>
      <c r="GR65" s="92"/>
      <c r="GS65" s="92"/>
      <c r="GT65" s="92"/>
      <c r="GU65" s="92"/>
      <c r="GV65" s="92"/>
      <c r="GW65" s="92"/>
      <c r="GX65" s="92"/>
      <c r="GY65" s="92"/>
      <c r="GZ65" s="92"/>
      <c r="HA65" s="92"/>
      <c r="HB65" s="92"/>
      <c r="HC65" s="92"/>
      <c r="HD65" s="92"/>
      <c r="HE65" s="92"/>
      <c r="HF65" s="92"/>
      <c r="HG65" s="92"/>
      <c r="HH65" s="92"/>
      <c r="HI65" s="92"/>
      <c r="HJ65" s="92"/>
      <c r="HK65" s="92"/>
      <c r="HL65" s="92"/>
      <c r="HM65" s="92"/>
      <c r="HN65" s="92"/>
      <c r="HO65" s="92"/>
      <c r="HP65" s="92"/>
      <c r="HQ65" s="92"/>
      <c r="HR65" s="92"/>
      <c r="HS65" s="92"/>
      <c r="HT65" s="92"/>
      <c r="HU65" s="92"/>
      <c r="HV65" s="92"/>
      <c r="HW65" s="92"/>
      <c r="HX65" s="92"/>
      <c r="HY65" s="92"/>
      <c r="HZ65" s="92"/>
      <c r="IA65" s="92"/>
      <c r="IB65" s="92"/>
      <c r="IC65" s="92"/>
      <c r="ID65" s="92"/>
      <c r="IE65" s="92"/>
      <c r="IF65" s="92"/>
      <c r="IG65" s="92"/>
      <c r="IH65" s="92"/>
      <c r="II65" s="92"/>
      <c r="IJ65" s="92"/>
      <c r="IK65" s="92"/>
      <c r="IL65" s="92"/>
      <c r="IM65" s="92"/>
      <c r="IN65" s="92"/>
      <c r="IO65" s="92"/>
      <c r="IP65" s="92"/>
      <c r="IQ65" s="92"/>
      <c r="IR65" s="92"/>
      <c r="IS65" s="92"/>
      <c r="IT65" s="92"/>
      <c r="IU65" s="92"/>
      <c r="IV65" s="92"/>
      <c r="IW65" s="92"/>
      <c r="IX65" s="92"/>
      <c r="IY65" s="92"/>
      <c r="IZ65" s="92"/>
      <c r="JA65" s="92"/>
      <c r="JB65" s="92"/>
      <c r="JC65" s="92"/>
      <c r="JD65" s="92"/>
      <c r="JE65" s="92"/>
      <c r="JF65" s="92"/>
      <c r="JG65" s="92"/>
      <c r="JH65" s="92"/>
      <c r="JI65" s="92"/>
      <c r="JJ65" s="92"/>
      <c r="JK65" s="92"/>
      <c r="JL65" s="92"/>
      <c r="JM65" s="92"/>
      <c r="JN65" s="92"/>
      <c r="JO65" s="92"/>
      <c r="JP65" s="92"/>
      <c r="JQ65" s="92"/>
      <c r="JR65" s="92"/>
      <c r="JS65" s="92"/>
      <c r="JT65" s="92"/>
      <c r="JU65" s="92"/>
      <c r="JV65" s="92"/>
      <c r="JW65" s="92"/>
      <c r="JX65" s="92"/>
      <c r="JY65" s="92"/>
      <c r="JZ65" s="92"/>
      <c r="KA65" s="92"/>
      <c r="KB65" s="92"/>
      <c r="KC65" s="92"/>
      <c r="KD65" s="92"/>
      <c r="KE65" s="92"/>
      <c r="KF65" s="92"/>
      <c r="KG65" s="92"/>
      <c r="KH65" s="92"/>
      <c r="KI65" s="92"/>
      <c r="KJ65" s="92"/>
      <c r="KK65" s="92"/>
      <c r="KL65" s="92"/>
      <c r="KM65" s="92"/>
      <c r="KN65" s="92"/>
      <c r="KO65" s="92"/>
      <c r="KP65" s="92"/>
      <c r="KQ65" s="88"/>
      <c r="KR65" s="92"/>
      <c r="KS65" s="92"/>
      <c r="KT65" s="92"/>
      <c r="KU65" s="93"/>
      <c r="KV65" s="92"/>
      <c r="KW65" s="93"/>
      <c r="KX65" s="92"/>
      <c r="KY65" s="93"/>
      <c r="KZ65" s="92"/>
      <c r="LA65" s="93"/>
      <c r="LB65" s="92"/>
      <c r="LC65" s="93"/>
      <c r="LD65" s="92"/>
      <c r="LE65" s="93"/>
      <c r="LF65" s="92"/>
      <c r="LG65" s="92"/>
      <c r="LH65" s="92"/>
      <c r="LI65" s="92"/>
      <c r="LJ65" s="92"/>
      <c r="LK65" s="92"/>
      <c r="LL65" s="92"/>
      <c r="LM65" s="92"/>
      <c r="LN65" s="92"/>
      <c r="LO65" s="92"/>
      <c r="LP65" s="88"/>
      <c r="LQ65" s="93"/>
      <c r="LR65" s="88"/>
      <c r="LS65" s="93"/>
      <c r="LT65" s="93"/>
      <c r="LU65" s="93"/>
      <c r="LV65" s="93"/>
      <c r="LW65" s="93"/>
      <c r="LX65" s="93"/>
      <c r="LY65" s="93"/>
      <c r="LZ65" s="93"/>
      <c r="MA65" s="93"/>
      <c r="MB65" s="93"/>
      <c r="MC65" s="94"/>
      <c r="MD65" s="94"/>
      <c r="ME65" s="94"/>
      <c r="MF65" s="94"/>
      <c r="MG65" s="94"/>
      <c r="MH65" s="94"/>
      <c r="MI65" s="94"/>
      <c r="MJ65" s="94"/>
      <c r="MK65" s="94"/>
      <c r="ML65" s="94"/>
      <c r="MM65" s="94"/>
      <c r="MN65" s="94"/>
      <c r="MO65" s="95"/>
      <c r="MP65" s="95"/>
      <c r="MQ65" s="94"/>
      <c r="MR65" s="94"/>
      <c r="MS65" s="94"/>
      <c r="MT65" s="94"/>
      <c r="MU65" s="94"/>
      <c r="MV65" s="94"/>
      <c r="MW65" s="94"/>
      <c r="MX65" s="94"/>
      <c r="MY65" s="94"/>
      <c r="MZ65" s="94"/>
      <c r="NA65" s="94"/>
      <c r="NB65" s="94"/>
      <c r="NC65" s="94"/>
      <c r="ND65" s="94"/>
      <c r="NE65" s="94"/>
      <c r="NF65" s="94"/>
      <c r="NG65" s="94"/>
      <c r="NH65" s="94"/>
      <c r="NI65" s="94"/>
      <c r="NJ65" s="94"/>
    </row>
    <row r="66" spans="1:374" x14ac:dyDescent="0.25">
      <c r="A66" s="88"/>
      <c r="B66" s="88"/>
      <c r="C66" s="88"/>
      <c r="D66" s="88"/>
      <c r="E66" s="89"/>
      <c r="F66" s="88"/>
      <c r="G66" s="88"/>
      <c r="H66" s="88" t="str">
        <f t="shared" si="26"/>
        <v xml:space="preserve">  </v>
      </c>
      <c r="I66" s="88"/>
      <c r="J66" s="88"/>
      <c r="K66" s="88"/>
      <c r="L66" s="88"/>
      <c r="M66" s="88"/>
      <c r="N66" s="88"/>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1"/>
      <c r="AR66" s="75"/>
      <c r="AS66" s="91"/>
      <c r="AT66" s="91"/>
      <c r="AU66" s="90"/>
      <c r="AV66" s="91"/>
      <c r="AW66" s="91"/>
      <c r="AX66" s="91"/>
      <c r="AY66" s="91"/>
      <c r="AZ66" s="91"/>
      <c r="BA66" s="91"/>
      <c r="BB66" s="90"/>
      <c r="BC66" s="91"/>
      <c r="BD66" s="75"/>
      <c r="BE66" s="91"/>
      <c r="BF66" s="91"/>
      <c r="BG66" s="90"/>
      <c r="BH66" s="91"/>
      <c r="BI66" s="91"/>
      <c r="BJ66" s="91"/>
      <c r="BK66" s="91"/>
      <c r="BL66" s="91"/>
      <c r="BM66" s="91"/>
      <c r="BN66" s="90"/>
      <c r="BO66" s="91"/>
      <c r="BP66" s="75"/>
      <c r="BQ66" s="91"/>
      <c r="BR66" s="91"/>
      <c r="BS66" s="90"/>
      <c r="BT66" s="91"/>
      <c r="BU66" s="91"/>
      <c r="BV66" s="91"/>
      <c r="BW66" s="91"/>
      <c r="BX66" s="91"/>
      <c r="BY66" s="91"/>
      <c r="BZ66" s="90"/>
      <c r="CA66" s="91"/>
      <c r="CB66" s="75"/>
      <c r="CC66" s="91"/>
      <c r="CD66" s="91"/>
      <c r="CE66" s="90"/>
      <c r="CF66" s="91"/>
      <c r="CG66" s="91"/>
      <c r="CH66" s="91"/>
      <c r="CI66" s="91"/>
      <c r="CJ66" s="91"/>
      <c r="CK66" s="91"/>
      <c r="CL66" s="90"/>
      <c r="CM66" s="91"/>
      <c r="CN66" s="75"/>
      <c r="CO66" s="91"/>
      <c r="CP66" s="91"/>
      <c r="CQ66" s="90"/>
      <c r="CR66" s="91"/>
      <c r="CS66" s="91"/>
      <c r="CT66" s="91"/>
      <c r="CU66" s="91"/>
      <c r="CV66" s="91"/>
      <c r="CW66" s="91"/>
      <c r="CX66" s="90"/>
      <c r="CY66" s="91"/>
      <c r="CZ66" s="75"/>
      <c r="DA66" s="91"/>
      <c r="DB66" s="91"/>
      <c r="DC66" s="90"/>
      <c r="DD66" s="91"/>
      <c r="DE66" s="91"/>
      <c r="DF66" s="91"/>
      <c r="DG66" s="91"/>
      <c r="DH66" s="91"/>
      <c r="DI66" s="91"/>
      <c r="DJ66" s="90"/>
      <c r="DK66" s="91"/>
      <c r="DL66" s="75"/>
      <c r="DM66" s="75"/>
      <c r="DN66" s="75">
        <f t="shared" si="1"/>
        <v>0</v>
      </c>
      <c r="DO66" s="75" t="str">
        <f t="shared" si="2"/>
        <v/>
      </c>
      <c r="DP66" s="91" t="str">
        <f>IFERROR(#REF!/#REF!*1000,"")</f>
        <v/>
      </c>
      <c r="DQ66" s="91" t="str">
        <f>IFERROR(#REF!/#REF!*1000,"")</f>
        <v/>
      </c>
      <c r="DR66" s="90"/>
      <c r="DS66" s="91" t="str">
        <f>IFERROR(#REF!/#REF!*1000,"")</f>
        <v/>
      </c>
      <c r="DT66" s="91" t="str">
        <f>IFERROR(#REF!/#REF!*1000,"")</f>
        <v/>
      </c>
      <c r="DU66" s="91"/>
      <c r="DV66" s="91"/>
      <c r="DW66" s="91"/>
      <c r="DX66" s="91"/>
      <c r="DY66" s="90"/>
      <c r="DZ66" s="91"/>
      <c r="EA66" s="75"/>
      <c r="EB66" s="91"/>
      <c r="EC66" s="91"/>
      <c r="ED66" s="90"/>
      <c r="EE66" s="91"/>
      <c r="EF66" s="91"/>
      <c r="EG66" s="91"/>
      <c r="EH66" s="91"/>
      <c r="EI66" s="91"/>
      <c r="EJ66" s="91"/>
      <c r="EK66" s="90"/>
      <c r="EL66" s="90"/>
      <c r="EM66" s="88"/>
      <c r="EN66" s="92"/>
      <c r="EO66" s="92"/>
      <c r="EP66" s="92"/>
      <c r="EQ66" s="92"/>
      <c r="ER66" s="92"/>
      <c r="ES66" s="92"/>
      <c r="ET66" s="92"/>
      <c r="EU66" s="92"/>
      <c r="EV66" s="92"/>
      <c r="EW66" s="92"/>
      <c r="EX66" s="92"/>
      <c r="EY66" s="92"/>
      <c r="EZ66" s="92"/>
      <c r="FA66" s="92"/>
      <c r="FB66" s="92"/>
      <c r="FC66" s="92"/>
      <c r="FD66" s="92"/>
      <c r="FE66" s="92"/>
      <c r="FF66" s="92"/>
      <c r="FG66" s="92"/>
      <c r="FH66" s="92"/>
      <c r="FI66" s="92"/>
      <c r="FJ66" s="92"/>
      <c r="FK66" s="92"/>
      <c r="FL66" s="92"/>
      <c r="FM66" s="92"/>
      <c r="FN66" s="92"/>
      <c r="FO66" s="92"/>
      <c r="FP66" s="92"/>
      <c r="FQ66" s="92"/>
      <c r="FR66" s="92"/>
      <c r="FS66" s="92"/>
      <c r="FT66" s="92"/>
      <c r="FU66" s="92"/>
      <c r="FV66" s="92"/>
      <c r="FW66" s="92"/>
      <c r="FX66" s="92"/>
      <c r="FY66" s="92"/>
      <c r="FZ66" s="92"/>
      <c r="GA66" s="92"/>
      <c r="GB66" s="92"/>
      <c r="GC66" s="92"/>
      <c r="GD66" s="92"/>
      <c r="GE66" s="92"/>
      <c r="GF66" s="92"/>
      <c r="GG66" s="92"/>
      <c r="GH66" s="92"/>
      <c r="GI66" s="92"/>
      <c r="GJ66" s="92"/>
      <c r="GK66" s="92"/>
      <c r="GL66" s="92"/>
      <c r="GM66" s="92"/>
      <c r="GN66" s="92"/>
      <c r="GO66" s="92"/>
      <c r="GP66" s="92"/>
      <c r="GQ66" s="92"/>
      <c r="GR66" s="92"/>
      <c r="GS66" s="92"/>
      <c r="GT66" s="92"/>
      <c r="GU66" s="92"/>
      <c r="GV66" s="92"/>
      <c r="GW66" s="92"/>
      <c r="GX66" s="92"/>
      <c r="GY66" s="92"/>
      <c r="GZ66" s="92"/>
      <c r="HA66" s="92"/>
      <c r="HB66" s="92"/>
      <c r="HC66" s="92"/>
      <c r="HD66" s="92"/>
      <c r="HE66" s="92"/>
      <c r="HF66" s="92"/>
      <c r="HG66" s="92"/>
      <c r="HH66" s="92"/>
      <c r="HI66" s="92"/>
      <c r="HJ66" s="92"/>
      <c r="HK66" s="92"/>
      <c r="HL66" s="92"/>
      <c r="HM66" s="92"/>
      <c r="HN66" s="92"/>
      <c r="HO66" s="92"/>
      <c r="HP66" s="92"/>
      <c r="HQ66" s="92"/>
      <c r="HR66" s="92"/>
      <c r="HS66" s="92"/>
      <c r="HT66" s="92"/>
      <c r="HU66" s="92"/>
      <c r="HV66" s="92"/>
      <c r="HW66" s="92"/>
      <c r="HX66" s="92"/>
      <c r="HY66" s="92"/>
      <c r="HZ66" s="92"/>
      <c r="IA66" s="92"/>
      <c r="IB66" s="92"/>
      <c r="IC66" s="92"/>
      <c r="ID66" s="92"/>
      <c r="IE66" s="92"/>
      <c r="IF66" s="92"/>
      <c r="IG66" s="92"/>
      <c r="IH66" s="92"/>
      <c r="II66" s="92"/>
      <c r="IJ66" s="92"/>
      <c r="IK66" s="92"/>
      <c r="IL66" s="92"/>
      <c r="IM66" s="92"/>
      <c r="IN66" s="92"/>
      <c r="IO66" s="92"/>
      <c r="IP66" s="92"/>
      <c r="IQ66" s="92"/>
      <c r="IR66" s="92"/>
      <c r="IS66" s="92"/>
      <c r="IT66" s="92"/>
      <c r="IU66" s="92"/>
      <c r="IV66" s="92"/>
      <c r="IW66" s="92"/>
      <c r="IX66" s="92"/>
      <c r="IY66" s="92"/>
      <c r="IZ66" s="92"/>
      <c r="JA66" s="92"/>
      <c r="JB66" s="92"/>
      <c r="JC66" s="92"/>
      <c r="JD66" s="92"/>
      <c r="JE66" s="92"/>
      <c r="JF66" s="92"/>
      <c r="JG66" s="92"/>
      <c r="JH66" s="92"/>
      <c r="JI66" s="92"/>
      <c r="JJ66" s="92"/>
      <c r="JK66" s="92"/>
      <c r="JL66" s="92"/>
      <c r="JM66" s="92"/>
      <c r="JN66" s="92"/>
      <c r="JO66" s="92"/>
      <c r="JP66" s="92"/>
      <c r="JQ66" s="92"/>
      <c r="JR66" s="92"/>
      <c r="JS66" s="92"/>
      <c r="JT66" s="92"/>
      <c r="JU66" s="92"/>
      <c r="JV66" s="92"/>
      <c r="JW66" s="92"/>
      <c r="JX66" s="92"/>
      <c r="JY66" s="92"/>
      <c r="JZ66" s="92"/>
      <c r="KA66" s="92"/>
      <c r="KB66" s="92"/>
      <c r="KC66" s="92"/>
      <c r="KD66" s="92"/>
      <c r="KE66" s="92"/>
      <c r="KF66" s="92"/>
      <c r="KG66" s="92"/>
      <c r="KH66" s="92"/>
      <c r="KI66" s="92"/>
      <c r="KJ66" s="92"/>
      <c r="KK66" s="92"/>
      <c r="KL66" s="92"/>
      <c r="KM66" s="92"/>
      <c r="KN66" s="92"/>
      <c r="KO66" s="92"/>
      <c r="KP66" s="92"/>
      <c r="KQ66" s="88"/>
      <c r="KR66" s="92"/>
      <c r="KS66" s="92"/>
      <c r="KT66" s="92"/>
      <c r="KU66" s="93"/>
      <c r="KV66" s="92"/>
      <c r="KW66" s="93"/>
      <c r="KX66" s="92"/>
      <c r="KY66" s="93"/>
      <c r="KZ66" s="92"/>
      <c r="LA66" s="93"/>
      <c r="LB66" s="92"/>
      <c r="LC66" s="93"/>
      <c r="LD66" s="92"/>
      <c r="LE66" s="93"/>
      <c r="LF66" s="92"/>
      <c r="LG66" s="92"/>
      <c r="LH66" s="92"/>
      <c r="LI66" s="92"/>
      <c r="LJ66" s="92"/>
      <c r="LK66" s="92"/>
      <c r="LL66" s="92"/>
      <c r="LM66" s="92"/>
      <c r="LN66" s="92"/>
      <c r="LO66" s="92"/>
      <c r="LP66" s="88"/>
      <c r="LQ66" s="93"/>
      <c r="LR66" s="88"/>
      <c r="LS66" s="93"/>
      <c r="LT66" s="93"/>
      <c r="LU66" s="93"/>
      <c r="LV66" s="93"/>
      <c r="LW66" s="93"/>
      <c r="LX66" s="93"/>
      <c r="LY66" s="93"/>
      <c r="LZ66" s="93"/>
      <c r="MA66" s="93"/>
      <c r="MB66" s="93"/>
      <c r="MC66" s="94"/>
      <c r="MD66" s="94"/>
      <c r="ME66" s="94"/>
      <c r="MF66" s="94"/>
      <c r="MG66" s="94"/>
      <c r="MH66" s="94"/>
      <c r="MI66" s="94"/>
      <c r="MJ66" s="94"/>
      <c r="MK66" s="94"/>
      <c r="ML66" s="94"/>
      <c r="MM66" s="94"/>
      <c r="MN66" s="94"/>
      <c r="MO66" s="95"/>
      <c r="MP66" s="95"/>
      <c r="MQ66" s="94"/>
      <c r="MR66" s="94"/>
      <c r="MS66" s="94"/>
      <c r="MT66" s="94"/>
      <c r="MU66" s="94"/>
      <c r="MV66" s="94"/>
      <c r="MW66" s="94"/>
      <c r="MX66" s="94"/>
      <c r="MY66" s="94"/>
      <c r="MZ66" s="94"/>
      <c r="NA66" s="94"/>
      <c r="NB66" s="94"/>
      <c r="NC66" s="94"/>
      <c r="ND66" s="94"/>
      <c r="NE66" s="94"/>
      <c r="NF66" s="94"/>
      <c r="NG66" s="94"/>
      <c r="NH66" s="94"/>
      <c r="NI66" s="94"/>
      <c r="NJ66" s="94"/>
    </row>
    <row r="67" spans="1:374" x14ac:dyDescent="0.25">
      <c r="A67" s="88"/>
      <c r="B67" s="88"/>
      <c r="C67" s="88"/>
      <c r="D67" s="88"/>
      <c r="E67" s="89"/>
      <c r="F67" s="88"/>
      <c r="G67" s="88"/>
      <c r="H67" s="88" t="str">
        <f t="shared" si="26"/>
        <v xml:space="preserve">  </v>
      </c>
      <c r="I67" s="88"/>
      <c r="J67" s="88"/>
      <c r="K67" s="88"/>
      <c r="L67" s="88"/>
      <c r="M67" s="88"/>
      <c r="N67" s="88"/>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1"/>
      <c r="AR67" s="75"/>
      <c r="AS67" s="91"/>
      <c r="AT67" s="91"/>
      <c r="AU67" s="90"/>
      <c r="AV67" s="91"/>
      <c r="AW67" s="91"/>
      <c r="AX67" s="91"/>
      <c r="AY67" s="91"/>
      <c r="AZ67" s="91"/>
      <c r="BA67" s="91"/>
      <c r="BB67" s="90"/>
      <c r="BC67" s="91"/>
      <c r="BD67" s="75"/>
      <c r="BE67" s="91"/>
      <c r="BF67" s="91"/>
      <c r="BG67" s="90"/>
      <c r="BH67" s="91"/>
      <c r="BI67" s="91"/>
      <c r="BJ67" s="91"/>
      <c r="BK67" s="91"/>
      <c r="BL67" s="91"/>
      <c r="BM67" s="91"/>
      <c r="BN67" s="90"/>
      <c r="BO67" s="91"/>
      <c r="BP67" s="75"/>
      <c r="BQ67" s="91"/>
      <c r="BR67" s="91"/>
      <c r="BS67" s="90"/>
      <c r="BT67" s="91"/>
      <c r="BU67" s="91"/>
      <c r="BV67" s="91"/>
      <c r="BW67" s="91"/>
      <c r="BX67" s="91"/>
      <c r="BY67" s="91"/>
      <c r="BZ67" s="90"/>
      <c r="CA67" s="91"/>
      <c r="CB67" s="75"/>
      <c r="CC67" s="91"/>
      <c r="CD67" s="91"/>
      <c r="CE67" s="90"/>
      <c r="CF67" s="91"/>
      <c r="CG67" s="91"/>
      <c r="CH67" s="91"/>
      <c r="CI67" s="91"/>
      <c r="CJ67" s="91"/>
      <c r="CK67" s="91"/>
      <c r="CL67" s="90"/>
      <c r="CM67" s="91"/>
      <c r="CN67" s="75"/>
      <c r="CO67" s="91"/>
      <c r="CP67" s="91"/>
      <c r="CQ67" s="90"/>
      <c r="CR67" s="91"/>
      <c r="CS67" s="91"/>
      <c r="CT67" s="91"/>
      <c r="CU67" s="91"/>
      <c r="CV67" s="91"/>
      <c r="CW67" s="91"/>
      <c r="CX67" s="90"/>
      <c r="CY67" s="91"/>
      <c r="CZ67" s="75"/>
      <c r="DA67" s="91"/>
      <c r="DB67" s="91"/>
      <c r="DC67" s="90"/>
      <c r="DD67" s="91"/>
      <c r="DE67" s="91"/>
      <c r="DF67" s="91"/>
      <c r="DG67" s="91"/>
      <c r="DH67" s="91"/>
      <c r="DI67" s="91"/>
      <c r="DJ67" s="90"/>
      <c r="DK67" s="91"/>
      <c r="DL67" s="75"/>
      <c r="DM67" s="75"/>
      <c r="DN67" s="75">
        <f t="shared" si="1"/>
        <v>0</v>
      </c>
      <c r="DO67" s="75" t="str">
        <f t="shared" si="2"/>
        <v/>
      </c>
      <c r="DP67" s="91" t="str">
        <f>IFERROR(#REF!/#REF!*1000,"")</f>
        <v/>
      </c>
      <c r="DQ67" s="91" t="str">
        <f>IFERROR(#REF!/#REF!*1000,"")</f>
        <v/>
      </c>
      <c r="DR67" s="90"/>
      <c r="DS67" s="91" t="str">
        <f>IFERROR(#REF!/#REF!*1000,"")</f>
        <v/>
      </c>
      <c r="DT67" s="91" t="str">
        <f>IFERROR(#REF!/#REF!*1000,"")</f>
        <v/>
      </c>
      <c r="DU67" s="91"/>
      <c r="DV67" s="91"/>
      <c r="DW67" s="91"/>
      <c r="DX67" s="91"/>
      <c r="DY67" s="90"/>
      <c r="DZ67" s="91"/>
      <c r="EA67" s="75"/>
      <c r="EB67" s="91"/>
      <c r="EC67" s="91"/>
      <c r="ED67" s="90"/>
      <c r="EE67" s="91"/>
      <c r="EF67" s="91"/>
      <c r="EG67" s="91"/>
      <c r="EH67" s="91"/>
      <c r="EI67" s="91"/>
      <c r="EJ67" s="91"/>
      <c r="EK67" s="90"/>
      <c r="EL67" s="90"/>
      <c r="EM67" s="88"/>
      <c r="EN67" s="92"/>
      <c r="EO67" s="92"/>
      <c r="EP67" s="92"/>
      <c r="EQ67" s="92"/>
      <c r="ER67" s="92"/>
      <c r="ES67" s="92"/>
      <c r="ET67" s="92"/>
      <c r="EU67" s="92"/>
      <c r="EV67" s="92"/>
      <c r="EW67" s="92"/>
      <c r="EX67" s="92"/>
      <c r="EY67" s="92"/>
      <c r="EZ67" s="92"/>
      <c r="FA67" s="92"/>
      <c r="FB67" s="92"/>
      <c r="FC67" s="92"/>
      <c r="FD67" s="92"/>
      <c r="FE67" s="92"/>
      <c r="FF67" s="92"/>
      <c r="FG67" s="92"/>
      <c r="FH67" s="92"/>
      <c r="FI67" s="92"/>
      <c r="FJ67" s="92"/>
      <c r="FK67" s="92"/>
      <c r="FL67" s="92"/>
      <c r="FM67" s="92"/>
      <c r="FN67" s="92"/>
      <c r="FO67" s="92"/>
      <c r="FP67" s="92"/>
      <c r="FQ67" s="92"/>
      <c r="FR67" s="92"/>
      <c r="FS67" s="92"/>
      <c r="FT67" s="92"/>
      <c r="FU67" s="92"/>
      <c r="FV67" s="92"/>
      <c r="FW67" s="92"/>
      <c r="FX67" s="92"/>
      <c r="FY67" s="92"/>
      <c r="FZ67" s="92"/>
      <c r="GA67" s="92"/>
      <c r="GB67" s="92"/>
      <c r="GC67" s="92"/>
      <c r="GD67" s="92"/>
      <c r="GE67" s="92"/>
      <c r="GF67" s="92"/>
      <c r="GG67" s="92"/>
      <c r="GH67" s="92"/>
      <c r="GI67" s="92"/>
      <c r="GJ67" s="92"/>
      <c r="GK67" s="92"/>
      <c r="GL67" s="92"/>
      <c r="GM67" s="92"/>
      <c r="GN67" s="92"/>
      <c r="GO67" s="92"/>
      <c r="GP67" s="92"/>
      <c r="GQ67" s="92"/>
      <c r="GR67" s="92"/>
      <c r="GS67" s="92"/>
      <c r="GT67" s="92"/>
      <c r="GU67" s="92"/>
      <c r="GV67" s="92"/>
      <c r="GW67" s="92"/>
      <c r="GX67" s="92"/>
      <c r="GY67" s="92"/>
      <c r="GZ67" s="92"/>
      <c r="HA67" s="92"/>
      <c r="HB67" s="92"/>
      <c r="HC67" s="92"/>
      <c r="HD67" s="92"/>
      <c r="HE67" s="92"/>
      <c r="HF67" s="92"/>
      <c r="HG67" s="92"/>
      <c r="HH67" s="92"/>
      <c r="HI67" s="92"/>
      <c r="HJ67" s="92"/>
      <c r="HK67" s="92"/>
      <c r="HL67" s="92"/>
      <c r="HM67" s="92"/>
      <c r="HN67" s="92"/>
      <c r="HO67" s="92"/>
      <c r="HP67" s="92"/>
      <c r="HQ67" s="92"/>
      <c r="HR67" s="92"/>
      <c r="HS67" s="92"/>
      <c r="HT67" s="92"/>
      <c r="HU67" s="92"/>
      <c r="HV67" s="92"/>
      <c r="HW67" s="92"/>
      <c r="HX67" s="92"/>
      <c r="HY67" s="92"/>
      <c r="HZ67" s="92"/>
      <c r="IA67" s="92"/>
      <c r="IB67" s="92"/>
      <c r="IC67" s="92"/>
      <c r="ID67" s="92"/>
      <c r="IE67" s="92"/>
      <c r="IF67" s="92"/>
      <c r="IG67" s="92"/>
      <c r="IH67" s="92"/>
      <c r="II67" s="92"/>
      <c r="IJ67" s="92"/>
      <c r="IK67" s="92"/>
      <c r="IL67" s="92"/>
      <c r="IM67" s="92"/>
      <c r="IN67" s="92"/>
      <c r="IO67" s="92"/>
      <c r="IP67" s="92"/>
      <c r="IQ67" s="92"/>
      <c r="IR67" s="92"/>
      <c r="IS67" s="92"/>
      <c r="IT67" s="92"/>
      <c r="IU67" s="92"/>
      <c r="IV67" s="92"/>
      <c r="IW67" s="92"/>
      <c r="IX67" s="92"/>
      <c r="IY67" s="92"/>
      <c r="IZ67" s="92"/>
      <c r="JA67" s="92"/>
      <c r="JB67" s="92"/>
      <c r="JC67" s="92"/>
      <c r="JD67" s="92"/>
      <c r="JE67" s="92"/>
      <c r="JF67" s="92"/>
      <c r="JG67" s="92"/>
      <c r="JH67" s="92"/>
      <c r="JI67" s="92"/>
      <c r="JJ67" s="92"/>
      <c r="JK67" s="92"/>
      <c r="JL67" s="92"/>
      <c r="JM67" s="92"/>
      <c r="JN67" s="92"/>
      <c r="JO67" s="92"/>
      <c r="JP67" s="92"/>
      <c r="JQ67" s="92"/>
      <c r="JR67" s="92"/>
      <c r="JS67" s="92"/>
      <c r="JT67" s="92"/>
      <c r="JU67" s="92"/>
      <c r="JV67" s="92"/>
      <c r="JW67" s="92"/>
      <c r="JX67" s="92"/>
      <c r="JY67" s="92"/>
      <c r="JZ67" s="92"/>
      <c r="KA67" s="92"/>
      <c r="KB67" s="92"/>
      <c r="KC67" s="92"/>
      <c r="KD67" s="92"/>
      <c r="KE67" s="92"/>
      <c r="KF67" s="92"/>
      <c r="KG67" s="92"/>
      <c r="KH67" s="92"/>
      <c r="KI67" s="92"/>
      <c r="KJ67" s="92"/>
      <c r="KK67" s="92"/>
      <c r="KL67" s="92"/>
      <c r="KM67" s="92"/>
      <c r="KN67" s="92"/>
      <c r="KO67" s="92"/>
      <c r="KP67" s="92"/>
      <c r="KQ67" s="88"/>
      <c r="KR67" s="92"/>
      <c r="KS67" s="92"/>
      <c r="KT67" s="92"/>
      <c r="KU67" s="93"/>
      <c r="KV67" s="92"/>
      <c r="KW67" s="93"/>
      <c r="KX67" s="92"/>
      <c r="KY67" s="93"/>
      <c r="KZ67" s="92"/>
      <c r="LA67" s="93"/>
      <c r="LB67" s="92"/>
      <c r="LC67" s="93"/>
      <c r="LD67" s="92"/>
      <c r="LE67" s="93"/>
      <c r="LF67" s="92"/>
      <c r="LG67" s="92"/>
      <c r="LH67" s="92"/>
      <c r="LI67" s="92"/>
      <c r="LJ67" s="92"/>
      <c r="LK67" s="92"/>
      <c r="LL67" s="92"/>
      <c r="LM67" s="92"/>
      <c r="LN67" s="92"/>
      <c r="LO67" s="92"/>
      <c r="LP67" s="88"/>
      <c r="LQ67" s="93"/>
      <c r="LR67" s="88"/>
      <c r="LS67" s="93"/>
      <c r="LT67" s="93"/>
      <c r="LU67" s="93"/>
      <c r="LV67" s="93"/>
      <c r="LW67" s="93"/>
      <c r="LX67" s="93"/>
      <c r="LY67" s="93"/>
      <c r="LZ67" s="93"/>
      <c r="MA67" s="93"/>
      <c r="MB67" s="93"/>
      <c r="MC67" s="94"/>
      <c r="MD67" s="94"/>
      <c r="ME67" s="94"/>
      <c r="MF67" s="94"/>
      <c r="MG67" s="94"/>
      <c r="MH67" s="94"/>
      <c r="MI67" s="94"/>
      <c r="MJ67" s="94"/>
      <c r="MK67" s="94"/>
      <c r="ML67" s="94"/>
      <c r="MM67" s="94"/>
      <c r="MN67" s="94"/>
      <c r="MO67" s="95"/>
      <c r="MP67" s="95"/>
      <c r="MQ67" s="94"/>
      <c r="MR67" s="94"/>
      <c r="MS67" s="94"/>
      <c r="MT67" s="94"/>
      <c r="MU67" s="94"/>
      <c r="MV67" s="94"/>
      <c r="MW67" s="94"/>
      <c r="MX67" s="94"/>
      <c r="MY67" s="94"/>
      <c r="MZ67" s="94"/>
      <c r="NA67" s="94"/>
      <c r="NB67" s="94"/>
      <c r="NC67" s="94"/>
      <c r="ND67" s="94"/>
      <c r="NE67" s="94"/>
      <c r="NF67" s="94"/>
      <c r="NG67" s="94"/>
      <c r="NH67" s="94"/>
      <c r="NI67" s="94"/>
      <c r="NJ67" s="94"/>
    </row>
    <row r="68" spans="1:374" x14ac:dyDescent="0.25">
      <c r="A68" s="88"/>
      <c r="B68" s="88"/>
      <c r="C68" s="88"/>
      <c r="D68" s="88"/>
      <c r="E68" s="89"/>
      <c r="F68" s="88"/>
      <c r="G68" s="88"/>
      <c r="H68" s="88" t="str">
        <f t="shared" si="26"/>
        <v xml:space="preserve">  </v>
      </c>
      <c r="I68" s="88"/>
      <c r="J68" s="88"/>
      <c r="K68" s="88"/>
      <c r="L68" s="88"/>
      <c r="M68" s="88"/>
      <c r="N68" s="88"/>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1"/>
      <c r="AR68" s="75"/>
      <c r="AS68" s="91"/>
      <c r="AT68" s="91"/>
      <c r="AU68" s="90"/>
      <c r="AV68" s="91"/>
      <c r="AW68" s="91"/>
      <c r="AX68" s="91"/>
      <c r="AY68" s="91"/>
      <c r="AZ68" s="91"/>
      <c r="BA68" s="91"/>
      <c r="BB68" s="90"/>
      <c r="BC68" s="91"/>
      <c r="BD68" s="75"/>
      <c r="BE68" s="91"/>
      <c r="BF68" s="91"/>
      <c r="BG68" s="90"/>
      <c r="BH68" s="91"/>
      <c r="BI68" s="91"/>
      <c r="BJ68" s="91"/>
      <c r="BK68" s="91"/>
      <c r="BL68" s="91"/>
      <c r="BM68" s="91"/>
      <c r="BN68" s="90"/>
      <c r="BO68" s="91"/>
      <c r="BP68" s="75"/>
      <c r="BQ68" s="91"/>
      <c r="BR68" s="91"/>
      <c r="BS68" s="90"/>
      <c r="BT68" s="91"/>
      <c r="BU68" s="91"/>
      <c r="BV68" s="91"/>
      <c r="BW68" s="91"/>
      <c r="BX68" s="91"/>
      <c r="BY68" s="91"/>
      <c r="BZ68" s="90"/>
      <c r="CA68" s="91"/>
      <c r="CB68" s="75"/>
      <c r="CC68" s="91"/>
      <c r="CD68" s="91"/>
      <c r="CE68" s="90"/>
      <c r="CF68" s="91"/>
      <c r="CG68" s="91"/>
      <c r="CH68" s="91"/>
      <c r="CI68" s="91"/>
      <c r="CJ68" s="91"/>
      <c r="CK68" s="91"/>
      <c r="CL68" s="90"/>
      <c r="CM68" s="91"/>
      <c r="CN68" s="75"/>
      <c r="CO68" s="91"/>
      <c r="CP68" s="91"/>
      <c r="CQ68" s="90"/>
      <c r="CR68" s="91"/>
      <c r="CS68" s="91"/>
      <c r="CT68" s="91"/>
      <c r="CU68" s="91"/>
      <c r="CV68" s="91"/>
      <c r="CW68" s="91"/>
      <c r="CX68" s="90"/>
      <c r="CY68" s="91"/>
      <c r="CZ68" s="75"/>
      <c r="DA68" s="91"/>
      <c r="DB68" s="91"/>
      <c r="DC68" s="90"/>
      <c r="DD68" s="91"/>
      <c r="DE68" s="91"/>
      <c r="DF68" s="91"/>
      <c r="DG68" s="91"/>
      <c r="DH68" s="91"/>
      <c r="DI68" s="91"/>
      <c r="DJ68" s="90"/>
      <c r="DK68" s="91"/>
      <c r="DL68" s="75"/>
      <c r="DM68" s="75"/>
      <c r="DN68" s="75">
        <f t="shared" si="1"/>
        <v>0</v>
      </c>
      <c r="DO68" s="75" t="str">
        <f t="shared" si="2"/>
        <v/>
      </c>
      <c r="DP68" s="91" t="str">
        <f>IFERROR(#REF!/#REF!*1000,"")</f>
        <v/>
      </c>
      <c r="DQ68" s="91" t="str">
        <f>IFERROR(#REF!/#REF!*1000,"")</f>
        <v/>
      </c>
      <c r="DR68" s="90"/>
      <c r="DS68" s="91" t="str">
        <f>IFERROR(#REF!/#REF!*1000,"")</f>
        <v/>
      </c>
      <c r="DT68" s="91" t="str">
        <f>IFERROR(#REF!/#REF!*1000,"")</f>
        <v/>
      </c>
      <c r="DU68" s="91"/>
      <c r="DV68" s="91"/>
      <c r="DW68" s="91"/>
      <c r="DX68" s="91"/>
      <c r="DY68" s="90"/>
      <c r="DZ68" s="91"/>
      <c r="EA68" s="75"/>
      <c r="EB68" s="91"/>
      <c r="EC68" s="91"/>
      <c r="ED68" s="90"/>
      <c r="EE68" s="91"/>
      <c r="EF68" s="91"/>
      <c r="EG68" s="91"/>
      <c r="EH68" s="91"/>
      <c r="EI68" s="91"/>
      <c r="EJ68" s="91"/>
      <c r="EK68" s="90"/>
      <c r="EL68" s="90"/>
      <c r="EM68" s="88"/>
      <c r="EN68" s="92"/>
      <c r="EO68" s="92"/>
      <c r="EP68" s="92"/>
      <c r="EQ68" s="92"/>
      <c r="ER68" s="92"/>
      <c r="ES68" s="92"/>
      <c r="ET68" s="92"/>
      <c r="EU68" s="92"/>
      <c r="EV68" s="92"/>
      <c r="EW68" s="92"/>
      <c r="EX68" s="92"/>
      <c r="EY68" s="92"/>
      <c r="EZ68" s="92"/>
      <c r="FA68" s="92"/>
      <c r="FB68" s="92"/>
      <c r="FC68" s="92"/>
      <c r="FD68" s="92"/>
      <c r="FE68" s="92"/>
      <c r="FF68" s="92"/>
      <c r="FG68" s="92"/>
      <c r="FH68" s="92"/>
      <c r="FI68" s="92"/>
      <c r="FJ68" s="92"/>
      <c r="FK68" s="92"/>
      <c r="FL68" s="92"/>
      <c r="FM68" s="92"/>
      <c r="FN68" s="92"/>
      <c r="FO68" s="92"/>
      <c r="FP68" s="92"/>
      <c r="FQ68" s="92"/>
      <c r="FR68" s="92"/>
      <c r="FS68" s="92"/>
      <c r="FT68" s="92"/>
      <c r="FU68" s="92"/>
      <c r="FV68" s="92"/>
      <c r="FW68" s="92"/>
      <c r="FX68" s="92"/>
      <c r="FY68" s="92"/>
      <c r="FZ68" s="92"/>
      <c r="GA68" s="92"/>
      <c r="GB68" s="92"/>
      <c r="GC68" s="92"/>
      <c r="GD68" s="92"/>
      <c r="GE68" s="92"/>
      <c r="GF68" s="92"/>
      <c r="GG68" s="92"/>
      <c r="GH68" s="92"/>
      <c r="GI68" s="92"/>
      <c r="GJ68" s="92"/>
      <c r="GK68" s="92"/>
      <c r="GL68" s="92"/>
      <c r="GM68" s="92"/>
      <c r="GN68" s="92"/>
      <c r="GO68" s="92"/>
      <c r="GP68" s="92"/>
      <c r="GQ68" s="92"/>
      <c r="GR68" s="92"/>
      <c r="GS68" s="92"/>
      <c r="GT68" s="92"/>
      <c r="GU68" s="92"/>
      <c r="GV68" s="92"/>
      <c r="GW68" s="92"/>
      <c r="GX68" s="92"/>
      <c r="GY68" s="92"/>
      <c r="GZ68" s="92"/>
      <c r="HA68" s="92"/>
      <c r="HB68" s="92"/>
      <c r="HC68" s="92"/>
      <c r="HD68" s="92"/>
      <c r="HE68" s="92"/>
      <c r="HF68" s="92"/>
      <c r="HG68" s="92"/>
      <c r="HH68" s="92"/>
      <c r="HI68" s="92"/>
      <c r="HJ68" s="92"/>
      <c r="HK68" s="92"/>
      <c r="HL68" s="92"/>
      <c r="HM68" s="92"/>
      <c r="HN68" s="92"/>
      <c r="HO68" s="92"/>
      <c r="HP68" s="92"/>
      <c r="HQ68" s="92"/>
      <c r="HR68" s="92"/>
      <c r="HS68" s="92"/>
      <c r="HT68" s="92"/>
      <c r="HU68" s="92"/>
      <c r="HV68" s="92"/>
      <c r="HW68" s="92"/>
      <c r="HX68" s="92"/>
      <c r="HY68" s="92"/>
      <c r="HZ68" s="92"/>
      <c r="IA68" s="92"/>
      <c r="IB68" s="92"/>
      <c r="IC68" s="92"/>
      <c r="ID68" s="92"/>
      <c r="IE68" s="92"/>
      <c r="IF68" s="92"/>
      <c r="IG68" s="92"/>
      <c r="IH68" s="92"/>
      <c r="II68" s="92"/>
      <c r="IJ68" s="92"/>
      <c r="IK68" s="92"/>
      <c r="IL68" s="92"/>
      <c r="IM68" s="92"/>
      <c r="IN68" s="92"/>
      <c r="IO68" s="92"/>
      <c r="IP68" s="92"/>
      <c r="IQ68" s="92"/>
      <c r="IR68" s="92"/>
      <c r="IS68" s="92"/>
      <c r="IT68" s="92"/>
      <c r="IU68" s="92"/>
      <c r="IV68" s="92"/>
      <c r="IW68" s="92"/>
      <c r="IX68" s="92"/>
      <c r="IY68" s="92"/>
      <c r="IZ68" s="92"/>
      <c r="JA68" s="92"/>
      <c r="JB68" s="92"/>
      <c r="JC68" s="92"/>
      <c r="JD68" s="92"/>
      <c r="JE68" s="92"/>
      <c r="JF68" s="92"/>
      <c r="JG68" s="92"/>
      <c r="JH68" s="92"/>
      <c r="JI68" s="92"/>
      <c r="JJ68" s="92"/>
      <c r="JK68" s="92"/>
      <c r="JL68" s="92"/>
      <c r="JM68" s="92"/>
      <c r="JN68" s="92"/>
      <c r="JO68" s="92"/>
      <c r="JP68" s="92"/>
      <c r="JQ68" s="92"/>
      <c r="JR68" s="92"/>
      <c r="JS68" s="92"/>
      <c r="JT68" s="92"/>
      <c r="JU68" s="92"/>
      <c r="JV68" s="92"/>
      <c r="JW68" s="92"/>
      <c r="JX68" s="92"/>
      <c r="JY68" s="92"/>
      <c r="JZ68" s="92"/>
      <c r="KA68" s="92"/>
      <c r="KB68" s="92"/>
      <c r="KC68" s="92"/>
      <c r="KD68" s="92"/>
      <c r="KE68" s="92"/>
      <c r="KF68" s="92"/>
      <c r="KG68" s="92"/>
      <c r="KH68" s="92"/>
      <c r="KI68" s="92"/>
      <c r="KJ68" s="92"/>
      <c r="KK68" s="92"/>
      <c r="KL68" s="92"/>
      <c r="KM68" s="92"/>
      <c r="KN68" s="92"/>
      <c r="KO68" s="92"/>
      <c r="KP68" s="92"/>
      <c r="KQ68" s="88"/>
      <c r="KR68" s="92"/>
      <c r="KS68" s="92"/>
      <c r="KT68" s="92"/>
      <c r="KU68" s="93"/>
      <c r="KV68" s="92"/>
      <c r="KW68" s="93"/>
      <c r="KX68" s="92"/>
      <c r="KY68" s="93"/>
      <c r="KZ68" s="92"/>
      <c r="LA68" s="93"/>
      <c r="LB68" s="92"/>
      <c r="LC68" s="93"/>
      <c r="LD68" s="92"/>
      <c r="LE68" s="93"/>
      <c r="LF68" s="92"/>
      <c r="LG68" s="92"/>
      <c r="LH68" s="92"/>
      <c r="LI68" s="92"/>
      <c r="LJ68" s="92"/>
      <c r="LK68" s="92"/>
      <c r="LL68" s="92"/>
      <c r="LM68" s="92"/>
      <c r="LN68" s="92"/>
      <c r="LO68" s="92"/>
      <c r="LP68" s="88"/>
      <c r="LQ68" s="93"/>
      <c r="LR68" s="88"/>
      <c r="LS68" s="93"/>
      <c r="LT68" s="93"/>
      <c r="LU68" s="93"/>
      <c r="LV68" s="93"/>
      <c r="LW68" s="93"/>
      <c r="LX68" s="93"/>
      <c r="LY68" s="93"/>
      <c r="LZ68" s="93"/>
      <c r="MA68" s="93"/>
      <c r="MB68" s="93"/>
      <c r="MC68" s="94"/>
      <c r="MD68" s="94"/>
      <c r="ME68" s="94"/>
      <c r="MF68" s="94"/>
      <c r="MG68" s="94"/>
      <c r="MH68" s="94"/>
      <c r="MI68" s="94"/>
      <c r="MJ68" s="94"/>
      <c r="MK68" s="94"/>
      <c r="ML68" s="94"/>
      <c r="MM68" s="94"/>
      <c r="MN68" s="94"/>
      <c r="MO68" s="95"/>
      <c r="MP68" s="95"/>
      <c r="MQ68" s="94"/>
      <c r="MR68" s="94"/>
      <c r="MS68" s="94"/>
      <c r="MT68" s="94"/>
      <c r="MU68" s="94"/>
      <c r="MV68" s="94"/>
      <c r="MW68" s="94"/>
      <c r="MX68" s="94"/>
      <c r="MY68" s="94"/>
      <c r="MZ68" s="94"/>
      <c r="NA68" s="94"/>
      <c r="NB68" s="94"/>
      <c r="NC68" s="94"/>
      <c r="ND68" s="94"/>
      <c r="NE68" s="94"/>
      <c r="NF68" s="94"/>
      <c r="NG68" s="94"/>
      <c r="NH68" s="94"/>
      <c r="NI68" s="94"/>
      <c r="NJ68" s="94"/>
    </row>
    <row r="69" spans="1:374" x14ac:dyDescent="0.25">
      <c r="A69" s="88"/>
      <c r="B69" s="88"/>
      <c r="C69" s="88"/>
      <c r="D69" s="88"/>
      <c r="E69" s="89"/>
      <c r="F69" s="88"/>
      <c r="G69" s="88"/>
      <c r="H69" s="88" t="str">
        <f t="shared" si="26"/>
        <v xml:space="preserve">  </v>
      </c>
      <c r="I69" s="88"/>
      <c r="J69" s="88"/>
      <c r="K69" s="88"/>
      <c r="L69" s="88"/>
      <c r="M69" s="88"/>
      <c r="N69" s="88"/>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1"/>
      <c r="AR69" s="75"/>
      <c r="AS69" s="91"/>
      <c r="AT69" s="91"/>
      <c r="AU69" s="90"/>
      <c r="AV69" s="91"/>
      <c r="AW69" s="91"/>
      <c r="AX69" s="91"/>
      <c r="AY69" s="91"/>
      <c r="AZ69" s="91"/>
      <c r="BA69" s="91"/>
      <c r="BB69" s="90"/>
      <c r="BC69" s="91"/>
      <c r="BD69" s="75"/>
      <c r="BE69" s="91"/>
      <c r="BF69" s="91"/>
      <c r="BG69" s="90"/>
      <c r="BH69" s="91"/>
      <c r="BI69" s="91"/>
      <c r="BJ69" s="91"/>
      <c r="BK69" s="91"/>
      <c r="BL69" s="91"/>
      <c r="BM69" s="91"/>
      <c r="BN69" s="90"/>
      <c r="BO69" s="91"/>
      <c r="BP69" s="75"/>
      <c r="BQ69" s="91"/>
      <c r="BR69" s="91"/>
      <c r="BS69" s="90"/>
      <c r="BT69" s="91"/>
      <c r="BU69" s="91"/>
      <c r="BV69" s="91"/>
      <c r="BW69" s="91"/>
      <c r="BX69" s="91"/>
      <c r="BY69" s="91"/>
      <c r="BZ69" s="90"/>
      <c r="CA69" s="91"/>
      <c r="CB69" s="75"/>
      <c r="CC69" s="91"/>
      <c r="CD69" s="91"/>
      <c r="CE69" s="90"/>
      <c r="CF69" s="91"/>
      <c r="CG69" s="91"/>
      <c r="CH69" s="91"/>
      <c r="CI69" s="91"/>
      <c r="CJ69" s="91"/>
      <c r="CK69" s="91"/>
      <c r="CL69" s="90"/>
      <c r="CM69" s="91"/>
      <c r="CN69" s="75"/>
      <c r="CO69" s="91"/>
      <c r="CP69" s="91"/>
      <c r="CQ69" s="90"/>
      <c r="CR69" s="91"/>
      <c r="CS69" s="91"/>
      <c r="CT69" s="91"/>
      <c r="CU69" s="91"/>
      <c r="CV69" s="91"/>
      <c r="CW69" s="91"/>
      <c r="CX69" s="90"/>
      <c r="CY69" s="91"/>
      <c r="CZ69" s="75"/>
      <c r="DA69" s="91"/>
      <c r="DB69" s="91"/>
      <c r="DC69" s="90"/>
      <c r="DD69" s="91"/>
      <c r="DE69" s="91"/>
      <c r="DF69" s="91"/>
      <c r="DG69" s="91"/>
      <c r="DH69" s="91"/>
      <c r="DI69" s="91"/>
      <c r="DJ69" s="90"/>
      <c r="DK69" s="91"/>
      <c r="DL69" s="75"/>
      <c r="DM69" s="75"/>
      <c r="DN69" s="75">
        <f t="shared" ref="DN69:DN126" si="194">(IFERROR((DK69-SUM(DP69:DX69))*DL69,""))</f>
        <v>0</v>
      </c>
      <c r="DO69" s="75" t="str">
        <f t="shared" si="2"/>
        <v/>
      </c>
      <c r="DP69" s="91" t="str">
        <f>IFERROR(#REF!/#REF!*1000,"")</f>
        <v/>
      </c>
      <c r="DQ69" s="91" t="str">
        <f>IFERROR(#REF!/#REF!*1000,"")</f>
        <v/>
      </c>
      <c r="DR69" s="90"/>
      <c r="DS69" s="91" t="str">
        <f>IFERROR(#REF!/#REF!*1000,"")</f>
        <v/>
      </c>
      <c r="DT69" s="91" t="str">
        <f>IFERROR(#REF!/#REF!*1000,"")</f>
        <v/>
      </c>
      <c r="DU69" s="91"/>
      <c r="DV69" s="91"/>
      <c r="DW69" s="91"/>
      <c r="DX69" s="91"/>
      <c r="DY69" s="90"/>
      <c r="DZ69" s="91"/>
      <c r="EA69" s="75"/>
      <c r="EB69" s="91"/>
      <c r="EC69" s="91"/>
      <c r="ED69" s="90"/>
      <c r="EE69" s="91"/>
      <c r="EF69" s="91"/>
      <c r="EG69" s="91"/>
      <c r="EH69" s="91"/>
      <c r="EI69" s="91"/>
      <c r="EJ69" s="91"/>
      <c r="EK69" s="90"/>
      <c r="EL69" s="90"/>
      <c r="EM69" s="88"/>
      <c r="EN69" s="92"/>
      <c r="EO69" s="92"/>
      <c r="EP69" s="92"/>
      <c r="EQ69" s="92"/>
      <c r="ER69" s="92"/>
      <c r="ES69" s="92"/>
      <c r="ET69" s="92"/>
      <c r="EU69" s="92"/>
      <c r="EV69" s="92"/>
      <c r="EW69" s="92"/>
      <c r="EX69" s="92"/>
      <c r="EY69" s="92"/>
      <c r="EZ69" s="92"/>
      <c r="FA69" s="92"/>
      <c r="FB69" s="92"/>
      <c r="FC69" s="92"/>
      <c r="FD69" s="92"/>
      <c r="FE69" s="92"/>
      <c r="FF69" s="92"/>
      <c r="FG69" s="92"/>
      <c r="FH69" s="92"/>
      <c r="FI69" s="92"/>
      <c r="FJ69" s="92"/>
      <c r="FK69" s="92"/>
      <c r="FL69" s="92"/>
      <c r="FM69" s="92"/>
      <c r="FN69" s="92"/>
      <c r="FO69" s="92"/>
      <c r="FP69" s="92"/>
      <c r="FQ69" s="92"/>
      <c r="FR69" s="92"/>
      <c r="FS69" s="92"/>
      <c r="FT69" s="92"/>
      <c r="FU69" s="92"/>
      <c r="FV69" s="92"/>
      <c r="FW69" s="92"/>
      <c r="FX69" s="92"/>
      <c r="FY69" s="92"/>
      <c r="FZ69" s="92"/>
      <c r="GA69" s="92"/>
      <c r="GB69" s="92"/>
      <c r="GC69" s="92"/>
      <c r="GD69" s="92"/>
      <c r="GE69" s="92"/>
      <c r="GF69" s="92"/>
      <c r="GG69" s="92"/>
      <c r="GH69" s="92"/>
      <c r="GI69" s="92"/>
      <c r="GJ69" s="92"/>
      <c r="GK69" s="92"/>
      <c r="GL69" s="92"/>
      <c r="GM69" s="92"/>
      <c r="GN69" s="92"/>
      <c r="GO69" s="92"/>
      <c r="GP69" s="92"/>
      <c r="GQ69" s="92"/>
      <c r="GR69" s="92"/>
      <c r="GS69" s="92"/>
      <c r="GT69" s="92"/>
      <c r="GU69" s="92"/>
      <c r="GV69" s="92"/>
      <c r="GW69" s="92"/>
      <c r="GX69" s="92"/>
      <c r="GY69" s="92"/>
      <c r="GZ69" s="92"/>
      <c r="HA69" s="92"/>
      <c r="HB69" s="92"/>
      <c r="HC69" s="92"/>
      <c r="HD69" s="92"/>
      <c r="HE69" s="92"/>
      <c r="HF69" s="92"/>
      <c r="HG69" s="92"/>
      <c r="HH69" s="92"/>
      <c r="HI69" s="92"/>
      <c r="HJ69" s="92"/>
      <c r="HK69" s="92"/>
      <c r="HL69" s="92"/>
      <c r="HM69" s="92"/>
      <c r="HN69" s="92"/>
      <c r="HO69" s="92"/>
      <c r="HP69" s="92"/>
      <c r="HQ69" s="92"/>
      <c r="HR69" s="92"/>
      <c r="HS69" s="92"/>
      <c r="HT69" s="92"/>
      <c r="HU69" s="92"/>
      <c r="HV69" s="92"/>
      <c r="HW69" s="92"/>
      <c r="HX69" s="92"/>
      <c r="HY69" s="92"/>
      <c r="HZ69" s="92"/>
      <c r="IA69" s="92"/>
      <c r="IB69" s="92"/>
      <c r="IC69" s="92"/>
      <c r="ID69" s="92"/>
      <c r="IE69" s="92"/>
      <c r="IF69" s="92"/>
      <c r="IG69" s="92"/>
      <c r="IH69" s="92"/>
      <c r="II69" s="92"/>
      <c r="IJ69" s="92"/>
      <c r="IK69" s="92"/>
      <c r="IL69" s="92"/>
      <c r="IM69" s="92"/>
      <c r="IN69" s="92"/>
      <c r="IO69" s="92"/>
      <c r="IP69" s="92"/>
      <c r="IQ69" s="92"/>
      <c r="IR69" s="92"/>
      <c r="IS69" s="92"/>
      <c r="IT69" s="92"/>
      <c r="IU69" s="92"/>
      <c r="IV69" s="92"/>
      <c r="IW69" s="92"/>
      <c r="IX69" s="92"/>
      <c r="IY69" s="92"/>
      <c r="IZ69" s="92"/>
      <c r="JA69" s="92"/>
      <c r="JB69" s="92"/>
      <c r="JC69" s="92"/>
      <c r="JD69" s="92"/>
      <c r="JE69" s="92"/>
      <c r="JF69" s="92"/>
      <c r="JG69" s="92"/>
      <c r="JH69" s="92"/>
      <c r="JI69" s="92"/>
      <c r="JJ69" s="92"/>
      <c r="JK69" s="92"/>
      <c r="JL69" s="92"/>
      <c r="JM69" s="92"/>
      <c r="JN69" s="92"/>
      <c r="JO69" s="92"/>
      <c r="JP69" s="92"/>
      <c r="JQ69" s="92"/>
      <c r="JR69" s="92"/>
      <c r="JS69" s="92"/>
      <c r="JT69" s="92"/>
      <c r="JU69" s="92"/>
      <c r="JV69" s="92"/>
      <c r="JW69" s="92"/>
      <c r="JX69" s="92"/>
      <c r="JY69" s="92"/>
      <c r="JZ69" s="92"/>
      <c r="KA69" s="92"/>
      <c r="KB69" s="92"/>
      <c r="KC69" s="92"/>
      <c r="KD69" s="92"/>
      <c r="KE69" s="92"/>
      <c r="KF69" s="92"/>
      <c r="KG69" s="92"/>
      <c r="KH69" s="92"/>
      <c r="KI69" s="92"/>
      <c r="KJ69" s="92"/>
      <c r="KK69" s="92"/>
      <c r="KL69" s="92"/>
      <c r="KM69" s="92"/>
      <c r="KN69" s="92"/>
      <c r="KO69" s="92"/>
      <c r="KP69" s="92"/>
      <c r="KQ69" s="88"/>
      <c r="KR69" s="92"/>
      <c r="KS69" s="92"/>
      <c r="KT69" s="92"/>
      <c r="KU69" s="93"/>
      <c r="KV69" s="92"/>
      <c r="KW69" s="93"/>
      <c r="KX69" s="92"/>
      <c r="KY69" s="93"/>
      <c r="KZ69" s="92"/>
      <c r="LA69" s="93"/>
      <c r="LB69" s="92"/>
      <c r="LC69" s="93"/>
      <c r="LD69" s="92"/>
      <c r="LE69" s="93"/>
      <c r="LF69" s="92"/>
      <c r="LG69" s="92"/>
      <c r="LH69" s="92"/>
      <c r="LI69" s="92"/>
      <c r="LJ69" s="92"/>
      <c r="LK69" s="92"/>
      <c r="LL69" s="92"/>
      <c r="LM69" s="92"/>
      <c r="LN69" s="92"/>
      <c r="LO69" s="92"/>
      <c r="LP69" s="88"/>
      <c r="LQ69" s="93"/>
      <c r="LR69" s="88"/>
      <c r="LS69" s="93"/>
      <c r="LT69" s="93"/>
      <c r="LU69" s="93"/>
      <c r="LV69" s="93"/>
      <c r="LW69" s="93"/>
      <c r="LX69" s="93"/>
      <c r="LY69" s="93"/>
      <c r="LZ69" s="93"/>
      <c r="MA69" s="93"/>
      <c r="MB69" s="93"/>
      <c r="MC69" s="94"/>
      <c r="MD69" s="94"/>
      <c r="ME69" s="94"/>
      <c r="MF69" s="94"/>
      <c r="MG69" s="94"/>
      <c r="MH69" s="94"/>
      <c r="MI69" s="94"/>
      <c r="MJ69" s="94"/>
      <c r="MK69" s="94"/>
      <c r="ML69" s="94"/>
      <c r="MM69" s="94"/>
      <c r="MN69" s="94"/>
      <c r="MO69" s="95"/>
      <c r="MP69" s="95"/>
      <c r="MQ69" s="94"/>
      <c r="MR69" s="94"/>
      <c r="MS69" s="94"/>
      <c r="MT69" s="94"/>
      <c r="MU69" s="94"/>
      <c r="MV69" s="94"/>
      <c r="MW69" s="94"/>
      <c r="MX69" s="94"/>
      <c r="MY69" s="94"/>
      <c r="MZ69" s="94"/>
      <c r="NA69" s="94"/>
      <c r="NB69" s="94"/>
      <c r="NC69" s="94"/>
      <c r="ND69" s="94"/>
      <c r="NE69" s="94"/>
      <c r="NF69" s="94"/>
      <c r="NG69" s="94"/>
      <c r="NH69" s="94"/>
      <c r="NI69" s="94"/>
      <c r="NJ69" s="94"/>
    </row>
    <row r="70" spans="1:374" x14ac:dyDescent="0.25">
      <c r="A70" s="88"/>
      <c r="B70" s="88"/>
      <c r="C70" s="88"/>
      <c r="D70" s="88"/>
      <c r="E70" s="89"/>
      <c r="F70" s="88"/>
      <c r="G70" s="88"/>
      <c r="H70" s="88" t="str">
        <f t="shared" ref="H70:H127" si="195">G70&amp;" "&amp;C70&amp;" "&amp;E70</f>
        <v xml:space="preserve">  </v>
      </c>
      <c r="I70" s="88"/>
      <c r="J70" s="88"/>
      <c r="K70" s="88"/>
      <c r="L70" s="88"/>
      <c r="M70" s="88"/>
      <c r="N70" s="88"/>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1"/>
      <c r="AR70" s="75"/>
      <c r="AS70" s="91"/>
      <c r="AT70" s="91"/>
      <c r="AU70" s="90"/>
      <c r="AV70" s="91"/>
      <c r="AW70" s="91"/>
      <c r="AX70" s="91"/>
      <c r="AY70" s="91"/>
      <c r="AZ70" s="91"/>
      <c r="BA70" s="91"/>
      <c r="BB70" s="90"/>
      <c r="BC70" s="91"/>
      <c r="BD70" s="75"/>
      <c r="BE70" s="91"/>
      <c r="BF70" s="91"/>
      <c r="BG70" s="90"/>
      <c r="BH70" s="91"/>
      <c r="BI70" s="91"/>
      <c r="BJ70" s="91"/>
      <c r="BK70" s="91"/>
      <c r="BL70" s="91"/>
      <c r="BM70" s="91"/>
      <c r="BN70" s="90"/>
      <c r="BO70" s="91"/>
      <c r="BP70" s="75"/>
      <c r="BQ70" s="91"/>
      <c r="BR70" s="91"/>
      <c r="BS70" s="90"/>
      <c r="BT70" s="91"/>
      <c r="BU70" s="91"/>
      <c r="BV70" s="91"/>
      <c r="BW70" s="91"/>
      <c r="BX70" s="91"/>
      <c r="BY70" s="91"/>
      <c r="BZ70" s="90"/>
      <c r="CA70" s="91"/>
      <c r="CB70" s="75"/>
      <c r="CC70" s="91"/>
      <c r="CD70" s="91"/>
      <c r="CE70" s="90"/>
      <c r="CF70" s="91"/>
      <c r="CG70" s="91"/>
      <c r="CH70" s="91"/>
      <c r="CI70" s="91"/>
      <c r="CJ70" s="91"/>
      <c r="CK70" s="91"/>
      <c r="CL70" s="90"/>
      <c r="CM70" s="91"/>
      <c r="CN70" s="75"/>
      <c r="CO70" s="91"/>
      <c r="CP70" s="91"/>
      <c r="CQ70" s="90"/>
      <c r="CR70" s="91"/>
      <c r="CS70" s="91"/>
      <c r="CT70" s="91"/>
      <c r="CU70" s="91"/>
      <c r="CV70" s="91"/>
      <c r="CW70" s="91"/>
      <c r="CX70" s="90"/>
      <c r="CY70" s="91"/>
      <c r="CZ70" s="75"/>
      <c r="DA70" s="91"/>
      <c r="DB70" s="91"/>
      <c r="DC70" s="90"/>
      <c r="DD70" s="91"/>
      <c r="DE70" s="91"/>
      <c r="DF70" s="91"/>
      <c r="DG70" s="91"/>
      <c r="DH70" s="91"/>
      <c r="DI70" s="91"/>
      <c r="DJ70" s="90"/>
      <c r="DK70" s="91"/>
      <c r="DL70" s="75"/>
      <c r="DM70" s="75"/>
      <c r="DN70" s="75">
        <f t="shared" si="194"/>
        <v>0</v>
      </c>
      <c r="DO70" s="75" t="str">
        <f t="shared" ref="DO70:DO127" si="196">(IFERROR((DK70-SUM(DP70:DX70))/DK70,""))</f>
        <v/>
      </c>
      <c r="DP70" s="91" t="str">
        <f>IFERROR(#REF!/#REF!*1000,"")</f>
        <v/>
      </c>
      <c r="DQ70" s="91" t="str">
        <f>IFERROR(#REF!/#REF!*1000,"")</f>
        <v/>
      </c>
      <c r="DR70" s="90"/>
      <c r="DS70" s="91" t="str">
        <f>IFERROR(#REF!/#REF!*1000,"")</f>
        <v/>
      </c>
      <c r="DT70" s="91" t="str">
        <f>IFERROR(#REF!/#REF!*1000,"")</f>
        <v/>
      </c>
      <c r="DU70" s="91"/>
      <c r="DV70" s="91"/>
      <c r="DW70" s="91"/>
      <c r="DX70" s="91"/>
      <c r="DY70" s="90"/>
      <c r="DZ70" s="91"/>
      <c r="EA70" s="75"/>
      <c r="EB70" s="91"/>
      <c r="EC70" s="91"/>
      <c r="ED70" s="90"/>
      <c r="EE70" s="91"/>
      <c r="EF70" s="91"/>
      <c r="EG70" s="91"/>
      <c r="EH70" s="91"/>
      <c r="EI70" s="91"/>
      <c r="EJ70" s="91"/>
      <c r="EK70" s="90"/>
      <c r="EL70" s="90"/>
      <c r="EM70" s="88"/>
      <c r="EN70" s="92"/>
      <c r="EO70" s="92"/>
      <c r="EP70" s="92"/>
      <c r="EQ70" s="92"/>
      <c r="ER70" s="92"/>
      <c r="ES70" s="92"/>
      <c r="ET70" s="92"/>
      <c r="EU70" s="92"/>
      <c r="EV70" s="92"/>
      <c r="EW70" s="92"/>
      <c r="EX70" s="92"/>
      <c r="EY70" s="92"/>
      <c r="EZ70" s="92"/>
      <c r="FA70" s="92"/>
      <c r="FB70" s="92"/>
      <c r="FC70" s="92"/>
      <c r="FD70" s="92"/>
      <c r="FE70" s="92"/>
      <c r="FF70" s="92"/>
      <c r="FG70" s="92"/>
      <c r="FH70" s="92"/>
      <c r="FI70" s="92"/>
      <c r="FJ70" s="92"/>
      <c r="FK70" s="92"/>
      <c r="FL70" s="92"/>
      <c r="FM70" s="92"/>
      <c r="FN70" s="92"/>
      <c r="FO70" s="92"/>
      <c r="FP70" s="92"/>
      <c r="FQ70" s="92"/>
      <c r="FR70" s="92"/>
      <c r="FS70" s="92"/>
      <c r="FT70" s="92"/>
      <c r="FU70" s="92"/>
      <c r="FV70" s="92"/>
      <c r="FW70" s="92"/>
      <c r="FX70" s="92"/>
      <c r="FY70" s="92"/>
      <c r="FZ70" s="92"/>
      <c r="GA70" s="92"/>
      <c r="GB70" s="92"/>
      <c r="GC70" s="92"/>
      <c r="GD70" s="92"/>
      <c r="GE70" s="92"/>
      <c r="GF70" s="92"/>
      <c r="GG70" s="92"/>
      <c r="GH70" s="92"/>
      <c r="GI70" s="92"/>
      <c r="GJ70" s="92"/>
      <c r="GK70" s="92"/>
      <c r="GL70" s="92"/>
      <c r="GM70" s="92"/>
      <c r="GN70" s="92"/>
      <c r="GO70" s="92"/>
      <c r="GP70" s="92"/>
      <c r="GQ70" s="92"/>
      <c r="GR70" s="92"/>
      <c r="GS70" s="92"/>
      <c r="GT70" s="92"/>
      <c r="GU70" s="92"/>
      <c r="GV70" s="92"/>
      <c r="GW70" s="92"/>
      <c r="GX70" s="92"/>
      <c r="GY70" s="92"/>
      <c r="GZ70" s="92"/>
      <c r="HA70" s="92"/>
      <c r="HB70" s="92"/>
      <c r="HC70" s="92"/>
      <c r="HD70" s="92"/>
      <c r="HE70" s="92"/>
      <c r="HF70" s="92"/>
      <c r="HG70" s="92"/>
      <c r="HH70" s="92"/>
      <c r="HI70" s="92"/>
      <c r="HJ70" s="92"/>
      <c r="HK70" s="92"/>
      <c r="HL70" s="92"/>
      <c r="HM70" s="92"/>
      <c r="HN70" s="92"/>
      <c r="HO70" s="92"/>
      <c r="HP70" s="92"/>
      <c r="HQ70" s="92"/>
      <c r="HR70" s="92"/>
      <c r="HS70" s="92"/>
      <c r="HT70" s="92"/>
      <c r="HU70" s="92"/>
      <c r="HV70" s="92"/>
      <c r="HW70" s="92"/>
      <c r="HX70" s="92"/>
      <c r="HY70" s="92"/>
      <c r="HZ70" s="92"/>
      <c r="IA70" s="92"/>
      <c r="IB70" s="92"/>
      <c r="IC70" s="92"/>
      <c r="ID70" s="92"/>
      <c r="IE70" s="92"/>
      <c r="IF70" s="92"/>
      <c r="IG70" s="92"/>
      <c r="IH70" s="92"/>
      <c r="II70" s="92"/>
      <c r="IJ70" s="92"/>
      <c r="IK70" s="92"/>
      <c r="IL70" s="92"/>
      <c r="IM70" s="92"/>
      <c r="IN70" s="92"/>
      <c r="IO70" s="92"/>
      <c r="IP70" s="92"/>
      <c r="IQ70" s="92"/>
      <c r="IR70" s="92"/>
      <c r="IS70" s="92"/>
      <c r="IT70" s="92"/>
      <c r="IU70" s="92"/>
      <c r="IV70" s="92"/>
      <c r="IW70" s="92"/>
      <c r="IX70" s="92"/>
      <c r="IY70" s="92"/>
      <c r="IZ70" s="92"/>
      <c r="JA70" s="92"/>
      <c r="JB70" s="92"/>
      <c r="JC70" s="92"/>
      <c r="JD70" s="92"/>
      <c r="JE70" s="92"/>
      <c r="JF70" s="92"/>
      <c r="JG70" s="92"/>
      <c r="JH70" s="92"/>
      <c r="JI70" s="92"/>
      <c r="JJ70" s="92"/>
      <c r="JK70" s="92"/>
      <c r="JL70" s="92"/>
      <c r="JM70" s="92"/>
      <c r="JN70" s="92"/>
      <c r="JO70" s="92"/>
      <c r="JP70" s="92"/>
      <c r="JQ70" s="92"/>
      <c r="JR70" s="92"/>
      <c r="JS70" s="92"/>
      <c r="JT70" s="92"/>
      <c r="JU70" s="92"/>
      <c r="JV70" s="92"/>
      <c r="JW70" s="92"/>
      <c r="JX70" s="92"/>
      <c r="JY70" s="92"/>
      <c r="JZ70" s="92"/>
      <c r="KA70" s="92"/>
      <c r="KB70" s="92"/>
      <c r="KC70" s="92"/>
      <c r="KD70" s="92"/>
      <c r="KE70" s="92"/>
      <c r="KF70" s="92"/>
      <c r="KG70" s="92"/>
      <c r="KH70" s="92"/>
      <c r="KI70" s="92"/>
      <c r="KJ70" s="92"/>
      <c r="KK70" s="92"/>
      <c r="KL70" s="92"/>
      <c r="KM70" s="92"/>
      <c r="KN70" s="92"/>
      <c r="KO70" s="92"/>
      <c r="KP70" s="92"/>
      <c r="KQ70" s="88"/>
      <c r="KR70" s="92"/>
      <c r="KS70" s="92"/>
      <c r="KT70" s="92"/>
      <c r="KU70" s="93"/>
      <c r="KV70" s="92"/>
      <c r="KW70" s="93"/>
      <c r="KX70" s="92"/>
      <c r="KY70" s="93"/>
      <c r="KZ70" s="92"/>
      <c r="LA70" s="93"/>
      <c r="LB70" s="92"/>
      <c r="LC70" s="93"/>
      <c r="LD70" s="92"/>
      <c r="LE70" s="93"/>
      <c r="LF70" s="92"/>
      <c r="LG70" s="92"/>
      <c r="LH70" s="92"/>
      <c r="LI70" s="92"/>
      <c r="LJ70" s="92"/>
      <c r="LK70" s="92"/>
      <c r="LL70" s="92"/>
      <c r="LM70" s="92"/>
      <c r="LN70" s="92"/>
      <c r="LO70" s="92"/>
      <c r="LP70" s="88"/>
      <c r="LQ70" s="93"/>
      <c r="LR70" s="88"/>
      <c r="LS70" s="93"/>
      <c r="LT70" s="93"/>
      <c r="LU70" s="93"/>
      <c r="LV70" s="93"/>
      <c r="LW70" s="93"/>
      <c r="LX70" s="93"/>
      <c r="LY70" s="93"/>
      <c r="LZ70" s="93"/>
      <c r="MA70" s="93"/>
      <c r="MB70" s="93"/>
      <c r="MC70" s="94"/>
      <c r="MD70" s="94"/>
      <c r="ME70" s="94"/>
      <c r="MF70" s="94"/>
      <c r="MG70" s="94"/>
      <c r="MH70" s="94"/>
      <c r="MI70" s="94"/>
      <c r="MJ70" s="94"/>
      <c r="MK70" s="94"/>
      <c r="ML70" s="94"/>
      <c r="MM70" s="94"/>
      <c r="MN70" s="94"/>
      <c r="MO70" s="95"/>
      <c r="MP70" s="95"/>
      <c r="MQ70" s="94"/>
      <c r="MR70" s="94"/>
      <c r="MS70" s="94"/>
      <c r="MT70" s="94"/>
      <c r="MU70" s="94"/>
      <c r="MV70" s="94"/>
      <c r="MW70" s="94"/>
      <c r="MX70" s="94"/>
      <c r="MY70" s="94"/>
      <c r="MZ70" s="94"/>
      <c r="NA70" s="94"/>
      <c r="NB70" s="94"/>
      <c r="NC70" s="94"/>
      <c r="ND70" s="94"/>
      <c r="NE70" s="94"/>
      <c r="NF70" s="94"/>
      <c r="NG70" s="94"/>
      <c r="NH70" s="94"/>
      <c r="NI70" s="94"/>
      <c r="NJ70" s="94"/>
    </row>
    <row r="71" spans="1:374" x14ac:dyDescent="0.25">
      <c r="A71" s="88"/>
      <c r="B71" s="88"/>
      <c r="C71" s="88"/>
      <c r="D71" s="88"/>
      <c r="E71" s="89"/>
      <c r="F71" s="88"/>
      <c r="G71" s="88"/>
      <c r="H71" s="88" t="str">
        <f t="shared" si="195"/>
        <v xml:space="preserve">  </v>
      </c>
      <c r="I71" s="88"/>
      <c r="J71" s="88"/>
      <c r="K71" s="88"/>
      <c r="L71" s="88"/>
      <c r="M71" s="88"/>
      <c r="N71" s="88"/>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1"/>
      <c r="AR71" s="75"/>
      <c r="AS71" s="91"/>
      <c r="AT71" s="91"/>
      <c r="AU71" s="90"/>
      <c r="AV71" s="91"/>
      <c r="AW71" s="91"/>
      <c r="AX71" s="91"/>
      <c r="AY71" s="91"/>
      <c r="AZ71" s="91"/>
      <c r="BA71" s="91"/>
      <c r="BB71" s="90"/>
      <c r="BC71" s="91"/>
      <c r="BD71" s="75"/>
      <c r="BE71" s="91"/>
      <c r="BF71" s="91"/>
      <c r="BG71" s="90"/>
      <c r="BH71" s="91"/>
      <c r="BI71" s="91"/>
      <c r="BJ71" s="91"/>
      <c r="BK71" s="91"/>
      <c r="BL71" s="91"/>
      <c r="BM71" s="91"/>
      <c r="BN71" s="90"/>
      <c r="BO71" s="91"/>
      <c r="BP71" s="75"/>
      <c r="BQ71" s="91"/>
      <c r="BR71" s="91"/>
      <c r="BS71" s="90"/>
      <c r="BT71" s="91"/>
      <c r="BU71" s="91"/>
      <c r="BV71" s="91"/>
      <c r="BW71" s="91"/>
      <c r="BX71" s="91"/>
      <c r="BY71" s="91"/>
      <c r="BZ71" s="90"/>
      <c r="CA71" s="91"/>
      <c r="CB71" s="75"/>
      <c r="CC71" s="91"/>
      <c r="CD71" s="91"/>
      <c r="CE71" s="90"/>
      <c r="CF71" s="91"/>
      <c r="CG71" s="91"/>
      <c r="CH71" s="91"/>
      <c r="CI71" s="91"/>
      <c r="CJ71" s="91"/>
      <c r="CK71" s="91"/>
      <c r="CL71" s="90"/>
      <c r="CM71" s="91"/>
      <c r="CN71" s="75"/>
      <c r="CO71" s="91"/>
      <c r="CP71" s="91"/>
      <c r="CQ71" s="90"/>
      <c r="CR71" s="91"/>
      <c r="CS71" s="91"/>
      <c r="CT71" s="91"/>
      <c r="CU71" s="91"/>
      <c r="CV71" s="91"/>
      <c r="CW71" s="91"/>
      <c r="CX71" s="90"/>
      <c r="CY71" s="91"/>
      <c r="CZ71" s="75"/>
      <c r="DA71" s="91"/>
      <c r="DB71" s="91"/>
      <c r="DC71" s="90"/>
      <c r="DD71" s="91"/>
      <c r="DE71" s="91"/>
      <c r="DF71" s="91"/>
      <c r="DG71" s="91"/>
      <c r="DH71" s="91"/>
      <c r="DI71" s="91"/>
      <c r="DJ71" s="90"/>
      <c r="DK71" s="91"/>
      <c r="DL71" s="75"/>
      <c r="DM71" s="75"/>
      <c r="DN71" s="75">
        <f t="shared" si="194"/>
        <v>0</v>
      </c>
      <c r="DO71" s="75" t="str">
        <f t="shared" si="196"/>
        <v/>
      </c>
      <c r="DP71" s="91" t="str">
        <f>IFERROR(#REF!/#REF!*1000,"")</f>
        <v/>
      </c>
      <c r="DQ71" s="91" t="str">
        <f>IFERROR(#REF!/#REF!*1000,"")</f>
        <v/>
      </c>
      <c r="DR71" s="90"/>
      <c r="DS71" s="91" t="str">
        <f>IFERROR(#REF!/#REF!*1000,"")</f>
        <v/>
      </c>
      <c r="DT71" s="91" t="str">
        <f>IFERROR(#REF!/#REF!*1000,"")</f>
        <v/>
      </c>
      <c r="DU71" s="91"/>
      <c r="DV71" s="91"/>
      <c r="DW71" s="91"/>
      <c r="DX71" s="91"/>
      <c r="DY71" s="90"/>
      <c r="DZ71" s="91"/>
      <c r="EA71" s="75"/>
      <c r="EB71" s="91"/>
      <c r="EC71" s="91"/>
      <c r="ED71" s="90"/>
      <c r="EE71" s="91"/>
      <c r="EF71" s="91"/>
      <c r="EG71" s="91"/>
      <c r="EH71" s="91"/>
      <c r="EI71" s="91"/>
      <c r="EJ71" s="91"/>
      <c r="EK71" s="90"/>
      <c r="EL71" s="90"/>
      <c r="EM71" s="88"/>
      <c r="EN71" s="92"/>
      <c r="EO71" s="92"/>
      <c r="EP71" s="92"/>
      <c r="EQ71" s="92"/>
      <c r="ER71" s="92"/>
      <c r="ES71" s="92"/>
      <c r="ET71" s="92"/>
      <c r="EU71" s="92"/>
      <c r="EV71" s="92"/>
      <c r="EW71" s="92"/>
      <c r="EX71" s="92"/>
      <c r="EY71" s="92"/>
      <c r="EZ71" s="92"/>
      <c r="FA71" s="92"/>
      <c r="FB71" s="92"/>
      <c r="FC71" s="92"/>
      <c r="FD71" s="92"/>
      <c r="FE71" s="92"/>
      <c r="FF71" s="92"/>
      <c r="FG71" s="92"/>
      <c r="FH71" s="92"/>
      <c r="FI71" s="92"/>
      <c r="FJ71" s="92"/>
      <c r="FK71" s="92"/>
      <c r="FL71" s="92"/>
      <c r="FM71" s="92"/>
      <c r="FN71" s="92"/>
      <c r="FO71" s="92"/>
      <c r="FP71" s="92"/>
      <c r="FQ71" s="92"/>
      <c r="FR71" s="92"/>
      <c r="FS71" s="92"/>
      <c r="FT71" s="92"/>
      <c r="FU71" s="92"/>
      <c r="FV71" s="92"/>
      <c r="FW71" s="92"/>
      <c r="FX71" s="92"/>
      <c r="FY71" s="92"/>
      <c r="FZ71" s="92"/>
      <c r="GA71" s="92"/>
      <c r="GB71" s="92"/>
      <c r="GC71" s="92"/>
      <c r="GD71" s="92"/>
      <c r="GE71" s="92"/>
      <c r="GF71" s="92"/>
      <c r="GG71" s="92"/>
      <c r="GH71" s="92"/>
      <c r="GI71" s="92"/>
      <c r="GJ71" s="92"/>
      <c r="GK71" s="92"/>
      <c r="GL71" s="92"/>
      <c r="GM71" s="92"/>
      <c r="GN71" s="92"/>
      <c r="GO71" s="92"/>
      <c r="GP71" s="92"/>
      <c r="GQ71" s="92"/>
      <c r="GR71" s="92"/>
      <c r="GS71" s="92"/>
      <c r="GT71" s="92"/>
      <c r="GU71" s="92"/>
      <c r="GV71" s="92"/>
      <c r="GW71" s="92"/>
      <c r="GX71" s="92"/>
      <c r="GY71" s="92"/>
      <c r="GZ71" s="92"/>
      <c r="HA71" s="92"/>
      <c r="HB71" s="92"/>
      <c r="HC71" s="92"/>
      <c r="HD71" s="92"/>
      <c r="HE71" s="92"/>
      <c r="HF71" s="92"/>
      <c r="HG71" s="92"/>
      <c r="HH71" s="92"/>
      <c r="HI71" s="92"/>
      <c r="HJ71" s="92"/>
      <c r="HK71" s="92"/>
      <c r="HL71" s="92"/>
      <c r="HM71" s="92"/>
      <c r="HN71" s="92"/>
      <c r="HO71" s="92"/>
      <c r="HP71" s="92"/>
      <c r="HQ71" s="92"/>
      <c r="HR71" s="92"/>
      <c r="HS71" s="92"/>
      <c r="HT71" s="92"/>
      <c r="HU71" s="92"/>
      <c r="HV71" s="92"/>
      <c r="HW71" s="92"/>
      <c r="HX71" s="92"/>
      <c r="HY71" s="92"/>
      <c r="HZ71" s="92"/>
      <c r="IA71" s="92"/>
      <c r="IB71" s="92"/>
      <c r="IC71" s="92"/>
      <c r="ID71" s="92"/>
      <c r="IE71" s="92"/>
      <c r="IF71" s="92"/>
      <c r="IG71" s="92"/>
      <c r="IH71" s="92"/>
      <c r="II71" s="92"/>
      <c r="IJ71" s="92"/>
      <c r="IK71" s="92"/>
      <c r="IL71" s="92"/>
      <c r="IM71" s="92"/>
      <c r="IN71" s="92"/>
      <c r="IO71" s="92"/>
      <c r="IP71" s="92"/>
      <c r="IQ71" s="92"/>
      <c r="IR71" s="92"/>
      <c r="IS71" s="92"/>
      <c r="IT71" s="92"/>
      <c r="IU71" s="92"/>
      <c r="IV71" s="92"/>
      <c r="IW71" s="92"/>
      <c r="IX71" s="92"/>
      <c r="IY71" s="92"/>
      <c r="IZ71" s="92"/>
      <c r="JA71" s="92"/>
      <c r="JB71" s="92"/>
      <c r="JC71" s="92"/>
      <c r="JD71" s="92"/>
      <c r="JE71" s="92"/>
      <c r="JF71" s="92"/>
      <c r="JG71" s="92"/>
      <c r="JH71" s="92"/>
      <c r="JI71" s="92"/>
      <c r="JJ71" s="92"/>
      <c r="JK71" s="92"/>
      <c r="JL71" s="92"/>
      <c r="JM71" s="92"/>
      <c r="JN71" s="92"/>
      <c r="JO71" s="92"/>
      <c r="JP71" s="92"/>
      <c r="JQ71" s="92"/>
      <c r="JR71" s="92"/>
      <c r="JS71" s="92"/>
      <c r="JT71" s="92"/>
      <c r="JU71" s="92"/>
      <c r="JV71" s="92"/>
      <c r="JW71" s="92"/>
      <c r="JX71" s="92"/>
      <c r="JY71" s="92"/>
      <c r="JZ71" s="92"/>
      <c r="KA71" s="92"/>
      <c r="KB71" s="92"/>
      <c r="KC71" s="92"/>
      <c r="KD71" s="92"/>
      <c r="KE71" s="92"/>
      <c r="KF71" s="92"/>
      <c r="KG71" s="92"/>
      <c r="KH71" s="92"/>
      <c r="KI71" s="92"/>
      <c r="KJ71" s="92"/>
      <c r="KK71" s="92"/>
      <c r="KL71" s="92"/>
      <c r="KM71" s="92"/>
      <c r="KN71" s="92"/>
      <c r="KO71" s="92"/>
      <c r="KP71" s="92"/>
      <c r="KQ71" s="88"/>
      <c r="KR71" s="92"/>
      <c r="KS71" s="92"/>
      <c r="KT71" s="92"/>
      <c r="KU71" s="93"/>
      <c r="KV71" s="92"/>
      <c r="KW71" s="93"/>
      <c r="KX71" s="92"/>
      <c r="KY71" s="93"/>
      <c r="KZ71" s="92"/>
      <c r="LA71" s="93"/>
      <c r="LB71" s="92"/>
      <c r="LC71" s="93"/>
      <c r="LD71" s="92"/>
      <c r="LE71" s="93"/>
      <c r="LF71" s="92"/>
      <c r="LG71" s="92"/>
      <c r="LH71" s="92"/>
      <c r="LI71" s="92"/>
      <c r="LJ71" s="92"/>
      <c r="LK71" s="92"/>
      <c r="LL71" s="92"/>
      <c r="LM71" s="92"/>
      <c r="LN71" s="92"/>
      <c r="LO71" s="92"/>
      <c r="LP71" s="88"/>
      <c r="LQ71" s="93"/>
      <c r="LR71" s="88"/>
      <c r="LS71" s="93"/>
      <c r="LT71" s="93"/>
      <c r="LU71" s="93"/>
      <c r="LV71" s="93"/>
      <c r="LW71" s="93"/>
      <c r="LX71" s="93"/>
      <c r="LY71" s="93"/>
      <c r="LZ71" s="93"/>
      <c r="MA71" s="93"/>
      <c r="MB71" s="93"/>
      <c r="MC71" s="94"/>
      <c r="MD71" s="94"/>
      <c r="ME71" s="94"/>
      <c r="MF71" s="94"/>
      <c r="MG71" s="94"/>
      <c r="MH71" s="94"/>
      <c r="MI71" s="94"/>
      <c r="MJ71" s="94"/>
      <c r="MK71" s="94"/>
      <c r="ML71" s="94"/>
      <c r="MM71" s="94"/>
      <c r="MN71" s="94"/>
      <c r="MO71" s="95"/>
      <c r="MP71" s="95"/>
      <c r="MQ71" s="94"/>
      <c r="MR71" s="94"/>
      <c r="MS71" s="94"/>
      <c r="MT71" s="94"/>
      <c r="MU71" s="94"/>
      <c r="MV71" s="94"/>
      <c r="MW71" s="94"/>
      <c r="MX71" s="94"/>
      <c r="MY71" s="94"/>
      <c r="MZ71" s="94"/>
      <c r="NA71" s="94"/>
      <c r="NB71" s="94"/>
      <c r="NC71" s="94"/>
      <c r="ND71" s="94"/>
      <c r="NE71" s="94"/>
      <c r="NF71" s="94"/>
      <c r="NG71" s="94"/>
      <c r="NH71" s="94"/>
      <c r="NI71" s="94"/>
      <c r="NJ71" s="94"/>
    </row>
    <row r="72" spans="1:374" x14ac:dyDescent="0.25">
      <c r="A72" s="88"/>
      <c r="B72" s="88"/>
      <c r="C72" s="88"/>
      <c r="D72" s="88"/>
      <c r="E72" s="89"/>
      <c r="F72" s="88"/>
      <c r="G72" s="88"/>
      <c r="H72" s="88" t="str">
        <f t="shared" si="195"/>
        <v xml:space="preserve">  </v>
      </c>
      <c r="I72" s="88"/>
      <c r="J72" s="88"/>
      <c r="K72" s="88"/>
      <c r="L72" s="88"/>
      <c r="M72" s="88"/>
      <c r="N72" s="88"/>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1"/>
      <c r="AR72" s="75"/>
      <c r="AS72" s="91"/>
      <c r="AT72" s="91"/>
      <c r="AU72" s="90"/>
      <c r="AV72" s="91"/>
      <c r="AW72" s="91"/>
      <c r="AX72" s="91"/>
      <c r="AY72" s="91"/>
      <c r="AZ72" s="91"/>
      <c r="BA72" s="91"/>
      <c r="BB72" s="90"/>
      <c r="BC72" s="91"/>
      <c r="BD72" s="75"/>
      <c r="BE72" s="91"/>
      <c r="BF72" s="91"/>
      <c r="BG72" s="90"/>
      <c r="BH72" s="91"/>
      <c r="BI72" s="91"/>
      <c r="BJ72" s="91"/>
      <c r="BK72" s="91"/>
      <c r="BL72" s="91"/>
      <c r="BM72" s="91"/>
      <c r="BN72" s="90"/>
      <c r="BO72" s="91"/>
      <c r="BP72" s="75"/>
      <c r="BQ72" s="91"/>
      <c r="BR72" s="91"/>
      <c r="BS72" s="90"/>
      <c r="BT72" s="91"/>
      <c r="BU72" s="91"/>
      <c r="BV72" s="91"/>
      <c r="BW72" s="91"/>
      <c r="BX72" s="91"/>
      <c r="BY72" s="91"/>
      <c r="BZ72" s="90"/>
      <c r="CA72" s="91"/>
      <c r="CB72" s="75"/>
      <c r="CC72" s="91"/>
      <c r="CD72" s="91"/>
      <c r="CE72" s="90"/>
      <c r="CF72" s="91"/>
      <c r="CG72" s="91"/>
      <c r="CH72" s="91"/>
      <c r="CI72" s="91"/>
      <c r="CJ72" s="91"/>
      <c r="CK72" s="91"/>
      <c r="CL72" s="90"/>
      <c r="CM72" s="91"/>
      <c r="CN72" s="75"/>
      <c r="CO72" s="91"/>
      <c r="CP72" s="91"/>
      <c r="CQ72" s="90"/>
      <c r="CR72" s="91"/>
      <c r="CS72" s="91"/>
      <c r="CT72" s="91"/>
      <c r="CU72" s="91"/>
      <c r="CV72" s="91"/>
      <c r="CW72" s="91"/>
      <c r="CX72" s="90"/>
      <c r="CY72" s="91"/>
      <c r="CZ72" s="75"/>
      <c r="DA72" s="91"/>
      <c r="DB72" s="91"/>
      <c r="DC72" s="90"/>
      <c r="DD72" s="91"/>
      <c r="DE72" s="91"/>
      <c r="DF72" s="91"/>
      <c r="DG72" s="91"/>
      <c r="DH72" s="91"/>
      <c r="DI72" s="91"/>
      <c r="DJ72" s="90"/>
      <c r="DK72" s="91"/>
      <c r="DL72" s="75"/>
      <c r="DM72" s="75"/>
      <c r="DN72" s="75">
        <f t="shared" si="194"/>
        <v>0</v>
      </c>
      <c r="DO72" s="75" t="str">
        <f t="shared" si="196"/>
        <v/>
      </c>
      <c r="DP72" s="91" t="str">
        <f>IFERROR(#REF!/#REF!*1000,"")</f>
        <v/>
      </c>
      <c r="DQ72" s="91" t="str">
        <f>IFERROR(#REF!/#REF!*1000,"")</f>
        <v/>
      </c>
      <c r="DR72" s="90"/>
      <c r="DS72" s="91" t="str">
        <f>IFERROR(#REF!/#REF!*1000,"")</f>
        <v/>
      </c>
      <c r="DT72" s="91" t="str">
        <f>IFERROR(#REF!/#REF!*1000,"")</f>
        <v/>
      </c>
      <c r="DU72" s="91"/>
      <c r="DV72" s="91"/>
      <c r="DW72" s="91"/>
      <c r="DX72" s="91"/>
      <c r="DY72" s="90"/>
      <c r="DZ72" s="91"/>
      <c r="EA72" s="75"/>
      <c r="EB72" s="91"/>
      <c r="EC72" s="91"/>
      <c r="ED72" s="90"/>
      <c r="EE72" s="91"/>
      <c r="EF72" s="91"/>
      <c r="EG72" s="91"/>
      <c r="EH72" s="91"/>
      <c r="EI72" s="91"/>
      <c r="EJ72" s="91"/>
      <c r="EK72" s="90"/>
      <c r="EL72" s="90"/>
      <c r="EM72" s="88"/>
      <c r="EN72" s="92"/>
      <c r="EO72" s="92"/>
      <c r="EP72" s="92"/>
      <c r="EQ72" s="92"/>
      <c r="ER72" s="92"/>
      <c r="ES72" s="92"/>
      <c r="ET72" s="92"/>
      <c r="EU72" s="92"/>
      <c r="EV72" s="92"/>
      <c r="EW72" s="92"/>
      <c r="EX72" s="92"/>
      <c r="EY72" s="92"/>
      <c r="EZ72" s="92"/>
      <c r="FA72" s="92"/>
      <c r="FB72" s="92"/>
      <c r="FC72" s="92"/>
      <c r="FD72" s="92"/>
      <c r="FE72" s="92"/>
      <c r="FF72" s="92"/>
      <c r="FG72" s="92"/>
      <c r="FH72" s="92"/>
      <c r="FI72" s="92"/>
      <c r="FJ72" s="92"/>
      <c r="FK72" s="92"/>
      <c r="FL72" s="92"/>
      <c r="FM72" s="92"/>
      <c r="FN72" s="92"/>
      <c r="FO72" s="92"/>
      <c r="FP72" s="92"/>
      <c r="FQ72" s="92"/>
      <c r="FR72" s="92"/>
      <c r="FS72" s="92"/>
      <c r="FT72" s="92"/>
      <c r="FU72" s="92"/>
      <c r="FV72" s="92"/>
      <c r="FW72" s="92"/>
      <c r="FX72" s="92"/>
      <c r="FY72" s="92"/>
      <c r="FZ72" s="92"/>
      <c r="GA72" s="92"/>
      <c r="GB72" s="92"/>
      <c r="GC72" s="92"/>
      <c r="GD72" s="92"/>
      <c r="GE72" s="92"/>
      <c r="GF72" s="92"/>
      <c r="GG72" s="92"/>
      <c r="GH72" s="92"/>
      <c r="GI72" s="92"/>
      <c r="GJ72" s="92"/>
      <c r="GK72" s="92"/>
      <c r="GL72" s="92"/>
      <c r="GM72" s="92"/>
      <c r="GN72" s="92"/>
      <c r="GO72" s="92"/>
      <c r="GP72" s="92"/>
      <c r="GQ72" s="92"/>
      <c r="GR72" s="92"/>
      <c r="GS72" s="92"/>
      <c r="GT72" s="92"/>
      <c r="GU72" s="92"/>
      <c r="GV72" s="92"/>
      <c r="GW72" s="92"/>
      <c r="GX72" s="92"/>
      <c r="GY72" s="92"/>
      <c r="GZ72" s="92"/>
      <c r="HA72" s="92"/>
      <c r="HB72" s="92"/>
      <c r="HC72" s="92"/>
      <c r="HD72" s="92"/>
      <c r="HE72" s="92"/>
      <c r="HF72" s="92"/>
      <c r="HG72" s="92"/>
      <c r="HH72" s="92"/>
      <c r="HI72" s="92"/>
      <c r="HJ72" s="92"/>
      <c r="HK72" s="92"/>
      <c r="HL72" s="92"/>
      <c r="HM72" s="92"/>
      <c r="HN72" s="92"/>
      <c r="HO72" s="92"/>
      <c r="HP72" s="92"/>
      <c r="HQ72" s="92"/>
      <c r="HR72" s="92"/>
      <c r="HS72" s="92"/>
      <c r="HT72" s="92"/>
      <c r="HU72" s="92"/>
      <c r="HV72" s="92"/>
      <c r="HW72" s="92"/>
      <c r="HX72" s="92"/>
      <c r="HY72" s="92"/>
      <c r="HZ72" s="92"/>
      <c r="IA72" s="92"/>
      <c r="IB72" s="92"/>
      <c r="IC72" s="92"/>
      <c r="ID72" s="92"/>
      <c r="IE72" s="92"/>
      <c r="IF72" s="92"/>
      <c r="IG72" s="92"/>
      <c r="IH72" s="92"/>
      <c r="II72" s="92"/>
      <c r="IJ72" s="92"/>
      <c r="IK72" s="92"/>
      <c r="IL72" s="92"/>
      <c r="IM72" s="92"/>
      <c r="IN72" s="92"/>
      <c r="IO72" s="92"/>
      <c r="IP72" s="92"/>
      <c r="IQ72" s="92"/>
      <c r="IR72" s="92"/>
      <c r="IS72" s="92"/>
      <c r="IT72" s="92"/>
      <c r="IU72" s="92"/>
      <c r="IV72" s="92"/>
      <c r="IW72" s="92"/>
      <c r="IX72" s="92"/>
      <c r="IY72" s="92"/>
      <c r="IZ72" s="92"/>
      <c r="JA72" s="92"/>
      <c r="JB72" s="92"/>
      <c r="JC72" s="92"/>
      <c r="JD72" s="92"/>
      <c r="JE72" s="92"/>
      <c r="JF72" s="92"/>
      <c r="JG72" s="92"/>
      <c r="JH72" s="92"/>
      <c r="JI72" s="92"/>
      <c r="JJ72" s="92"/>
      <c r="JK72" s="92"/>
      <c r="JL72" s="92"/>
      <c r="JM72" s="92"/>
      <c r="JN72" s="92"/>
      <c r="JO72" s="92"/>
      <c r="JP72" s="92"/>
      <c r="JQ72" s="92"/>
      <c r="JR72" s="92"/>
      <c r="JS72" s="92"/>
      <c r="JT72" s="92"/>
      <c r="JU72" s="92"/>
      <c r="JV72" s="92"/>
      <c r="JW72" s="92"/>
      <c r="JX72" s="92"/>
      <c r="JY72" s="92"/>
      <c r="JZ72" s="92"/>
      <c r="KA72" s="92"/>
      <c r="KB72" s="92"/>
      <c r="KC72" s="92"/>
      <c r="KD72" s="92"/>
      <c r="KE72" s="92"/>
      <c r="KF72" s="92"/>
      <c r="KG72" s="92"/>
      <c r="KH72" s="92"/>
      <c r="KI72" s="92"/>
      <c r="KJ72" s="92"/>
      <c r="KK72" s="92"/>
      <c r="KL72" s="92"/>
      <c r="KM72" s="92"/>
      <c r="KN72" s="92"/>
      <c r="KO72" s="92"/>
      <c r="KP72" s="92"/>
      <c r="KQ72" s="88"/>
      <c r="KR72" s="92"/>
      <c r="KS72" s="92"/>
      <c r="KT72" s="92"/>
      <c r="KU72" s="93"/>
      <c r="KV72" s="92"/>
      <c r="KW72" s="93"/>
      <c r="KX72" s="92"/>
      <c r="KY72" s="93"/>
      <c r="KZ72" s="92"/>
      <c r="LA72" s="93"/>
      <c r="LB72" s="92"/>
      <c r="LC72" s="93"/>
      <c r="LD72" s="92"/>
      <c r="LE72" s="93"/>
      <c r="LF72" s="92"/>
      <c r="LG72" s="92"/>
      <c r="LH72" s="92"/>
      <c r="LI72" s="92"/>
      <c r="LJ72" s="92"/>
      <c r="LK72" s="92"/>
      <c r="LL72" s="92"/>
      <c r="LM72" s="92"/>
      <c r="LN72" s="92"/>
      <c r="LO72" s="92"/>
      <c r="LP72" s="88"/>
      <c r="LQ72" s="93"/>
      <c r="LR72" s="88"/>
      <c r="LS72" s="93"/>
      <c r="LT72" s="93"/>
      <c r="LU72" s="93"/>
      <c r="LV72" s="93"/>
      <c r="LW72" s="93"/>
      <c r="LX72" s="93"/>
      <c r="LY72" s="93"/>
      <c r="LZ72" s="93"/>
      <c r="MA72" s="93"/>
      <c r="MB72" s="93"/>
      <c r="MC72" s="94"/>
      <c r="MD72" s="94"/>
      <c r="ME72" s="94"/>
      <c r="MF72" s="94"/>
      <c r="MG72" s="94"/>
      <c r="MH72" s="94"/>
      <c r="MI72" s="94"/>
      <c r="MJ72" s="94"/>
      <c r="MK72" s="94"/>
      <c r="ML72" s="94"/>
      <c r="MM72" s="94"/>
      <c r="MN72" s="94"/>
      <c r="MO72" s="95"/>
      <c r="MP72" s="95"/>
      <c r="MQ72" s="94"/>
      <c r="MR72" s="94"/>
      <c r="MS72" s="94"/>
      <c r="MT72" s="94"/>
      <c r="MU72" s="94"/>
      <c r="MV72" s="94"/>
      <c r="MW72" s="94"/>
      <c r="MX72" s="94"/>
      <c r="MY72" s="94"/>
      <c r="MZ72" s="94"/>
      <c r="NA72" s="94"/>
      <c r="NB72" s="94"/>
      <c r="NC72" s="94"/>
      <c r="ND72" s="94"/>
      <c r="NE72" s="94"/>
      <c r="NF72" s="94"/>
      <c r="NG72" s="94"/>
      <c r="NH72" s="94"/>
      <c r="NI72" s="94"/>
      <c r="NJ72" s="94"/>
    </row>
    <row r="73" spans="1:374" x14ac:dyDescent="0.25">
      <c r="A73" s="88"/>
      <c r="B73" s="88"/>
      <c r="C73" s="88"/>
      <c r="D73" s="88"/>
      <c r="E73" s="89"/>
      <c r="F73" s="88"/>
      <c r="G73" s="88"/>
      <c r="H73" s="88" t="str">
        <f t="shared" si="195"/>
        <v xml:space="preserve">  </v>
      </c>
      <c r="I73" s="88"/>
      <c r="J73" s="88"/>
      <c r="K73" s="88"/>
      <c r="L73" s="88"/>
      <c r="M73" s="88"/>
      <c r="N73" s="88"/>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1"/>
      <c r="AR73" s="75"/>
      <c r="AS73" s="91"/>
      <c r="AT73" s="91"/>
      <c r="AU73" s="90"/>
      <c r="AV73" s="91"/>
      <c r="AW73" s="91"/>
      <c r="AX73" s="91"/>
      <c r="AY73" s="91"/>
      <c r="AZ73" s="91"/>
      <c r="BA73" s="91"/>
      <c r="BB73" s="90"/>
      <c r="BC73" s="91"/>
      <c r="BD73" s="75"/>
      <c r="BE73" s="91"/>
      <c r="BF73" s="91"/>
      <c r="BG73" s="90"/>
      <c r="BH73" s="91"/>
      <c r="BI73" s="91"/>
      <c r="BJ73" s="91"/>
      <c r="BK73" s="91"/>
      <c r="BL73" s="91"/>
      <c r="BM73" s="91"/>
      <c r="BN73" s="90"/>
      <c r="BO73" s="91"/>
      <c r="BP73" s="75"/>
      <c r="BQ73" s="91"/>
      <c r="BR73" s="91"/>
      <c r="BS73" s="90"/>
      <c r="BT73" s="91"/>
      <c r="BU73" s="91"/>
      <c r="BV73" s="91"/>
      <c r="BW73" s="91"/>
      <c r="BX73" s="91"/>
      <c r="BY73" s="91"/>
      <c r="BZ73" s="90"/>
      <c r="CA73" s="91"/>
      <c r="CB73" s="75"/>
      <c r="CC73" s="91"/>
      <c r="CD73" s="91"/>
      <c r="CE73" s="90"/>
      <c r="CF73" s="91"/>
      <c r="CG73" s="91"/>
      <c r="CH73" s="91"/>
      <c r="CI73" s="91"/>
      <c r="CJ73" s="91"/>
      <c r="CK73" s="91"/>
      <c r="CL73" s="90"/>
      <c r="CM73" s="91"/>
      <c r="CN73" s="75"/>
      <c r="CO73" s="91"/>
      <c r="CP73" s="91"/>
      <c r="CQ73" s="90"/>
      <c r="CR73" s="91"/>
      <c r="CS73" s="91"/>
      <c r="CT73" s="91"/>
      <c r="CU73" s="91"/>
      <c r="CV73" s="91"/>
      <c r="CW73" s="91"/>
      <c r="CX73" s="90"/>
      <c r="CY73" s="91"/>
      <c r="CZ73" s="75"/>
      <c r="DA73" s="91"/>
      <c r="DB73" s="91"/>
      <c r="DC73" s="90"/>
      <c r="DD73" s="91"/>
      <c r="DE73" s="91"/>
      <c r="DF73" s="91"/>
      <c r="DG73" s="91"/>
      <c r="DH73" s="91"/>
      <c r="DI73" s="91"/>
      <c r="DJ73" s="90"/>
      <c r="DK73" s="91"/>
      <c r="DL73" s="75"/>
      <c r="DM73" s="75"/>
      <c r="DN73" s="75">
        <f t="shared" si="194"/>
        <v>0</v>
      </c>
      <c r="DO73" s="75" t="str">
        <f t="shared" si="196"/>
        <v/>
      </c>
      <c r="DP73" s="91" t="str">
        <f>IFERROR(#REF!/#REF!*1000,"")</f>
        <v/>
      </c>
      <c r="DQ73" s="91" t="str">
        <f>IFERROR(#REF!/#REF!*1000,"")</f>
        <v/>
      </c>
      <c r="DR73" s="90"/>
      <c r="DS73" s="91" t="str">
        <f>IFERROR(#REF!/#REF!*1000,"")</f>
        <v/>
      </c>
      <c r="DT73" s="91" t="str">
        <f>IFERROR(#REF!/#REF!*1000,"")</f>
        <v/>
      </c>
      <c r="DU73" s="91"/>
      <c r="DV73" s="91"/>
      <c r="DW73" s="91"/>
      <c r="DX73" s="91"/>
      <c r="DY73" s="90"/>
      <c r="DZ73" s="91"/>
      <c r="EA73" s="75"/>
      <c r="EB73" s="91"/>
      <c r="EC73" s="91"/>
      <c r="ED73" s="90"/>
      <c r="EE73" s="91"/>
      <c r="EF73" s="91"/>
      <c r="EG73" s="91"/>
      <c r="EH73" s="91"/>
      <c r="EI73" s="91"/>
      <c r="EJ73" s="91"/>
      <c r="EK73" s="90"/>
      <c r="EL73" s="90"/>
      <c r="EM73" s="88"/>
      <c r="EN73" s="92"/>
      <c r="EO73" s="92"/>
      <c r="EP73" s="92"/>
      <c r="EQ73" s="92"/>
      <c r="ER73" s="92"/>
      <c r="ES73" s="92"/>
      <c r="ET73" s="92"/>
      <c r="EU73" s="92"/>
      <c r="EV73" s="92"/>
      <c r="EW73" s="92"/>
      <c r="EX73" s="92"/>
      <c r="EY73" s="92"/>
      <c r="EZ73" s="92"/>
      <c r="FA73" s="92"/>
      <c r="FB73" s="92"/>
      <c r="FC73" s="92"/>
      <c r="FD73" s="92"/>
      <c r="FE73" s="92"/>
      <c r="FF73" s="92"/>
      <c r="FG73" s="92"/>
      <c r="FH73" s="92"/>
      <c r="FI73" s="92"/>
      <c r="FJ73" s="92"/>
      <c r="FK73" s="92"/>
      <c r="FL73" s="92"/>
      <c r="FM73" s="92"/>
      <c r="FN73" s="92"/>
      <c r="FO73" s="92"/>
      <c r="FP73" s="92"/>
      <c r="FQ73" s="92"/>
      <c r="FR73" s="92"/>
      <c r="FS73" s="92"/>
      <c r="FT73" s="92"/>
      <c r="FU73" s="92"/>
      <c r="FV73" s="92"/>
      <c r="FW73" s="92"/>
      <c r="FX73" s="92"/>
      <c r="FY73" s="92"/>
      <c r="FZ73" s="92"/>
      <c r="GA73" s="92"/>
      <c r="GB73" s="92"/>
      <c r="GC73" s="92"/>
      <c r="GD73" s="92"/>
      <c r="GE73" s="92"/>
      <c r="GF73" s="92"/>
      <c r="GG73" s="92"/>
      <c r="GH73" s="92"/>
      <c r="GI73" s="92"/>
      <c r="GJ73" s="92"/>
      <c r="GK73" s="92"/>
      <c r="GL73" s="92"/>
      <c r="GM73" s="92"/>
      <c r="GN73" s="92"/>
      <c r="GO73" s="92"/>
      <c r="GP73" s="92"/>
      <c r="GQ73" s="92"/>
      <c r="GR73" s="92"/>
      <c r="GS73" s="92"/>
      <c r="GT73" s="92"/>
      <c r="GU73" s="92"/>
      <c r="GV73" s="92"/>
      <c r="GW73" s="92"/>
      <c r="GX73" s="92"/>
      <c r="GY73" s="92"/>
      <c r="GZ73" s="92"/>
      <c r="HA73" s="92"/>
      <c r="HB73" s="92"/>
      <c r="HC73" s="92"/>
      <c r="HD73" s="92"/>
      <c r="HE73" s="92"/>
      <c r="HF73" s="92"/>
      <c r="HG73" s="92"/>
      <c r="HH73" s="92"/>
      <c r="HI73" s="92"/>
      <c r="HJ73" s="92"/>
      <c r="HK73" s="92"/>
      <c r="HL73" s="92"/>
      <c r="HM73" s="92"/>
      <c r="HN73" s="92"/>
      <c r="HO73" s="92"/>
      <c r="HP73" s="92"/>
      <c r="HQ73" s="92"/>
      <c r="HR73" s="92"/>
      <c r="HS73" s="92"/>
      <c r="HT73" s="92"/>
      <c r="HU73" s="92"/>
      <c r="HV73" s="92"/>
      <c r="HW73" s="92"/>
      <c r="HX73" s="92"/>
      <c r="HY73" s="92"/>
      <c r="HZ73" s="92"/>
      <c r="IA73" s="92"/>
      <c r="IB73" s="92"/>
      <c r="IC73" s="92"/>
      <c r="ID73" s="92"/>
      <c r="IE73" s="92"/>
      <c r="IF73" s="92"/>
      <c r="IG73" s="92"/>
      <c r="IH73" s="92"/>
      <c r="II73" s="92"/>
      <c r="IJ73" s="92"/>
      <c r="IK73" s="92"/>
      <c r="IL73" s="92"/>
      <c r="IM73" s="92"/>
      <c r="IN73" s="92"/>
      <c r="IO73" s="92"/>
      <c r="IP73" s="92"/>
      <c r="IQ73" s="92"/>
      <c r="IR73" s="92"/>
      <c r="IS73" s="92"/>
      <c r="IT73" s="92"/>
      <c r="IU73" s="92"/>
      <c r="IV73" s="92"/>
      <c r="IW73" s="92"/>
      <c r="IX73" s="92"/>
      <c r="IY73" s="92"/>
      <c r="IZ73" s="92"/>
      <c r="JA73" s="92"/>
      <c r="JB73" s="92"/>
      <c r="JC73" s="92"/>
      <c r="JD73" s="92"/>
      <c r="JE73" s="92"/>
      <c r="JF73" s="92"/>
      <c r="JG73" s="92"/>
      <c r="JH73" s="92"/>
      <c r="JI73" s="92"/>
      <c r="JJ73" s="92"/>
      <c r="JK73" s="92"/>
      <c r="JL73" s="92"/>
      <c r="JM73" s="92"/>
      <c r="JN73" s="92"/>
      <c r="JO73" s="92"/>
      <c r="JP73" s="92"/>
      <c r="JQ73" s="92"/>
      <c r="JR73" s="92"/>
      <c r="JS73" s="92"/>
      <c r="JT73" s="92"/>
      <c r="JU73" s="92"/>
      <c r="JV73" s="92"/>
      <c r="JW73" s="92"/>
      <c r="JX73" s="92"/>
      <c r="JY73" s="92"/>
      <c r="JZ73" s="92"/>
      <c r="KA73" s="92"/>
      <c r="KB73" s="92"/>
      <c r="KC73" s="92"/>
      <c r="KD73" s="92"/>
      <c r="KE73" s="92"/>
      <c r="KF73" s="92"/>
      <c r="KG73" s="92"/>
      <c r="KH73" s="92"/>
      <c r="KI73" s="92"/>
      <c r="KJ73" s="92"/>
      <c r="KK73" s="92"/>
      <c r="KL73" s="92"/>
      <c r="KM73" s="92"/>
      <c r="KN73" s="92"/>
      <c r="KO73" s="92"/>
      <c r="KP73" s="92"/>
      <c r="KQ73" s="88"/>
      <c r="KR73" s="92"/>
      <c r="KS73" s="92"/>
      <c r="KT73" s="92"/>
      <c r="KU73" s="93"/>
      <c r="KV73" s="92"/>
      <c r="KW73" s="93"/>
      <c r="KX73" s="92"/>
      <c r="KY73" s="93"/>
      <c r="KZ73" s="92"/>
      <c r="LA73" s="93"/>
      <c r="LB73" s="92"/>
      <c r="LC73" s="93"/>
      <c r="LD73" s="92"/>
      <c r="LE73" s="93"/>
      <c r="LF73" s="92"/>
      <c r="LG73" s="92"/>
      <c r="LH73" s="92"/>
      <c r="LI73" s="92"/>
      <c r="LJ73" s="92"/>
      <c r="LK73" s="92"/>
      <c r="LL73" s="92"/>
      <c r="LM73" s="92"/>
      <c r="LN73" s="92"/>
      <c r="LO73" s="92"/>
      <c r="LP73" s="88"/>
      <c r="LQ73" s="93"/>
      <c r="LR73" s="88"/>
      <c r="LS73" s="93"/>
      <c r="LT73" s="93"/>
      <c r="LU73" s="93"/>
      <c r="LV73" s="93"/>
      <c r="LW73" s="93"/>
      <c r="LX73" s="93"/>
      <c r="LY73" s="93"/>
      <c r="LZ73" s="93"/>
      <c r="MA73" s="93"/>
      <c r="MB73" s="93"/>
      <c r="MC73" s="94"/>
      <c r="MD73" s="94"/>
      <c r="ME73" s="94"/>
      <c r="MF73" s="94"/>
      <c r="MG73" s="94"/>
      <c r="MH73" s="94"/>
      <c r="MI73" s="94"/>
      <c r="MJ73" s="94"/>
      <c r="MK73" s="94"/>
      <c r="ML73" s="94"/>
      <c r="MM73" s="94"/>
      <c r="MN73" s="94"/>
      <c r="MO73" s="95"/>
      <c r="MP73" s="95"/>
      <c r="MQ73" s="94"/>
      <c r="MR73" s="94"/>
      <c r="MS73" s="94"/>
      <c r="MT73" s="94"/>
      <c r="MU73" s="94"/>
      <c r="MV73" s="94"/>
      <c r="MW73" s="94"/>
      <c r="MX73" s="94"/>
      <c r="MY73" s="94"/>
      <c r="MZ73" s="94"/>
      <c r="NA73" s="94"/>
      <c r="NB73" s="94"/>
      <c r="NC73" s="94"/>
      <c r="ND73" s="94"/>
      <c r="NE73" s="94"/>
      <c r="NF73" s="94"/>
      <c r="NG73" s="94"/>
      <c r="NH73" s="94"/>
      <c r="NI73" s="94"/>
      <c r="NJ73" s="94"/>
    </row>
    <row r="74" spans="1:374" x14ac:dyDescent="0.25">
      <c r="A74" s="88"/>
      <c r="B74" s="88"/>
      <c r="C74" s="88"/>
      <c r="D74" s="88"/>
      <c r="E74" s="89"/>
      <c r="F74" s="88"/>
      <c r="G74" s="88"/>
      <c r="H74" s="88" t="str">
        <f t="shared" si="195"/>
        <v xml:space="preserve">  </v>
      </c>
      <c r="I74" s="88"/>
      <c r="J74" s="88"/>
      <c r="K74" s="88"/>
      <c r="L74" s="88"/>
      <c r="M74" s="88"/>
      <c r="N74" s="88"/>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1"/>
      <c r="AR74" s="75"/>
      <c r="AS74" s="91"/>
      <c r="AT74" s="91"/>
      <c r="AU74" s="90"/>
      <c r="AV74" s="91"/>
      <c r="AW74" s="91"/>
      <c r="AX74" s="91"/>
      <c r="AY74" s="91"/>
      <c r="AZ74" s="91"/>
      <c r="BA74" s="91"/>
      <c r="BB74" s="90"/>
      <c r="BC74" s="91"/>
      <c r="BD74" s="75"/>
      <c r="BE74" s="91"/>
      <c r="BF74" s="91"/>
      <c r="BG74" s="90"/>
      <c r="BH74" s="91"/>
      <c r="BI74" s="91"/>
      <c r="BJ74" s="91"/>
      <c r="BK74" s="91"/>
      <c r="BL74" s="91"/>
      <c r="BM74" s="91"/>
      <c r="BN74" s="90"/>
      <c r="BO74" s="91"/>
      <c r="BP74" s="75"/>
      <c r="BQ74" s="91"/>
      <c r="BR74" s="91"/>
      <c r="BS74" s="90"/>
      <c r="BT74" s="91"/>
      <c r="BU74" s="91"/>
      <c r="BV74" s="91"/>
      <c r="BW74" s="91"/>
      <c r="BX74" s="91"/>
      <c r="BY74" s="91"/>
      <c r="BZ74" s="90"/>
      <c r="CA74" s="91"/>
      <c r="CB74" s="75"/>
      <c r="CC74" s="91"/>
      <c r="CD74" s="91"/>
      <c r="CE74" s="90"/>
      <c r="CF74" s="91"/>
      <c r="CG74" s="91"/>
      <c r="CH74" s="91"/>
      <c r="CI74" s="91"/>
      <c r="CJ74" s="91"/>
      <c r="CK74" s="91"/>
      <c r="CL74" s="90"/>
      <c r="CM74" s="91"/>
      <c r="CN74" s="75"/>
      <c r="CO74" s="91"/>
      <c r="CP74" s="91"/>
      <c r="CQ74" s="90"/>
      <c r="CR74" s="91"/>
      <c r="CS74" s="91"/>
      <c r="CT74" s="91"/>
      <c r="CU74" s="91"/>
      <c r="CV74" s="91"/>
      <c r="CW74" s="91"/>
      <c r="CX74" s="90"/>
      <c r="CY74" s="91"/>
      <c r="CZ74" s="75"/>
      <c r="DA74" s="91"/>
      <c r="DB74" s="91"/>
      <c r="DC74" s="90"/>
      <c r="DD74" s="91"/>
      <c r="DE74" s="91"/>
      <c r="DF74" s="91"/>
      <c r="DG74" s="91"/>
      <c r="DH74" s="91"/>
      <c r="DI74" s="91"/>
      <c r="DJ74" s="90"/>
      <c r="DK74" s="91"/>
      <c r="DL74" s="75"/>
      <c r="DM74" s="75"/>
      <c r="DN74" s="75">
        <f t="shared" si="194"/>
        <v>0</v>
      </c>
      <c r="DO74" s="75" t="str">
        <f t="shared" si="196"/>
        <v/>
      </c>
      <c r="DP74" s="91" t="str">
        <f>IFERROR(#REF!/#REF!*1000,"")</f>
        <v/>
      </c>
      <c r="DQ74" s="91" t="str">
        <f>IFERROR(#REF!/#REF!*1000,"")</f>
        <v/>
      </c>
      <c r="DR74" s="90"/>
      <c r="DS74" s="91" t="str">
        <f>IFERROR(#REF!/#REF!*1000,"")</f>
        <v/>
      </c>
      <c r="DT74" s="91" t="str">
        <f>IFERROR(#REF!/#REF!*1000,"")</f>
        <v/>
      </c>
      <c r="DU74" s="91"/>
      <c r="DV74" s="91"/>
      <c r="DW74" s="91"/>
      <c r="DX74" s="91"/>
      <c r="DY74" s="90"/>
      <c r="DZ74" s="91"/>
      <c r="EA74" s="75"/>
      <c r="EB74" s="91"/>
      <c r="EC74" s="91"/>
      <c r="ED74" s="90"/>
      <c r="EE74" s="91"/>
      <c r="EF74" s="91"/>
      <c r="EG74" s="91"/>
      <c r="EH74" s="91"/>
      <c r="EI74" s="91"/>
      <c r="EJ74" s="91"/>
      <c r="EK74" s="90"/>
      <c r="EL74" s="90"/>
      <c r="EM74" s="88"/>
      <c r="EN74" s="92"/>
      <c r="EO74" s="92"/>
      <c r="EP74" s="92"/>
      <c r="EQ74" s="92"/>
      <c r="ER74" s="92"/>
      <c r="ES74" s="92"/>
      <c r="ET74" s="92"/>
      <c r="EU74" s="92"/>
      <c r="EV74" s="92"/>
      <c r="EW74" s="92"/>
      <c r="EX74" s="92"/>
      <c r="EY74" s="92"/>
      <c r="EZ74" s="92"/>
      <c r="FA74" s="92"/>
      <c r="FB74" s="92"/>
      <c r="FC74" s="92"/>
      <c r="FD74" s="92"/>
      <c r="FE74" s="92"/>
      <c r="FF74" s="92"/>
      <c r="FG74" s="92"/>
      <c r="FH74" s="92"/>
      <c r="FI74" s="92"/>
      <c r="FJ74" s="92"/>
      <c r="FK74" s="92"/>
      <c r="FL74" s="92"/>
      <c r="FM74" s="92"/>
      <c r="FN74" s="92"/>
      <c r="FO74" s="92"/>
      <c r="FP74" s="92"/>
      <c r="FQ74" s="92"/>
      <c r="FR74" s="92"/>
      <c r="FS74" s="92"/>
      <c r="FT74" s="92"/>
      <c r="FU74" s="92"/>
      <c r="FV74" s="92"/>
      <c r="FW74" s="92"/>
      <c r="FX74" s="92"/>
      <c r="FY74" s="92"/>
      <c r="FZ74" s="92"/>
      <c r="GA74" s="92"/>
      <c r="GB74" s="92"/>
      <c r="GC74" s="92"/>
      <c r="GD74" s="92"/>
      <c r="GE74" s="92"/>
      <c r="GF74" s="92"/>
      <c r="GG74" s="92"/>
      <c r="GH74" s="92"/>
      <c r="GI74" s="92"/>
      <c r="GJ74" s="92"/>
      <c r="GK74" s="92"/>
      <c r="GL74" s="92"/>
      <c r="GM74" s="92"/>
      <c r="GN74" s="92"/>
      <c r="GO74" s="92"/>
      <c r="GP74" s="92"/>
      <c r="GQ74" s="92"/>
      <c r="GR74" s="92"/>
      <c r="GS74" s="92"/>
      <c r="GT74" s="92"/>
      <c r="GU74" s="92"/>
      <c r="GV74" s="92"/>
      <c r="GW74" s="92"/>
      <c r="GX74" s="92"/>
      <c r="GY74" s="92"/>
      <c r="GZ74" s="92"/>
      <c r="HA74" s="92"/>
      <c r="HB74" s="92"/>
      <c r="HC74" s="92"/>
      <c r="HD74" s="92"/>
      <c r="HE74" s="92"/>
      <c r="HF74" s="92"/>
      <c r="HG74" s="92"/>
      <c r="HH74" s="92"/>
      <c r="HI74" s="92"/>
      <c r="HJ74" s="92"/>
      <c r="HK74" s="92"/>
      <c r="HL74" s="92"/>
      <c r="HM74" s="92"/>
      <c r="HN74" s="92"/>
      <c r="HO74" s="92"/>
      <c r="HP74" s="92"/>
      <c r="HQ74" s="92"/>
      <c r="HR74" s="92"/>
      <c r="HS74" s="92"/>
      <c r="HT74" s="92"/>
      <c r="HU74" s="92"/>
      <c r="HV74" s="92"/>
      <c r="HW74" s="92"/>
      <c r="HX74" s="92"/>
      <c r="HY74" s="92"/>
      <c r="HZ74" s="92"/>
      <c r="IA74" s="92"/>
      <c r="IB74" s="92"/>
      <c r="IC74" s="92"/>
      <c r="ID74" s="92"/>
      <c r="IE74" s="92"/>
      <c r="IF74" s="92"/>
      <c r="IG74" s="92"/>
      <c r="IH74" s="92"/>
      <c r="II74" s="92"/>
      <c r="IJ74" s="92"/>
      <c r="IK74" s="92"/>
      <c r="IL74" s="92"/>
      <c r="IM74" s="92"/>
      <c r="IN74" s="92"/>
      <c r="IO74" s="92"/>
      <c r="IP74" s="92"/>
      <c r="IQ74" s="92"/>
      <c r="IR74" s="92"/>
      <c r="IS74" s="92"/>
      <c r="IT74" s="92"/>
      <c r="IU74" s="92"/>
      <c r="IV74" s="92"/>
      <c r="IW74" s="92"/>
      <c r="IX74" s="92"/>
      <c r="IY74" s="92"/>
      <c r="IZ74" s="92"/>
      <c r="JA74" s="92"/>
      <c r="JB74" s="92"/>
      <c r="JC74" s="92"/>
      <c r="JD74" s="92"/>
      <c r="JE74" s="92"/>
      <c r="JF74" s="92"/>
      <c r="JG74" s="92"/>
      <c r="JH74" s="92"/>
      <c r="JI74" s="92"/>
      <c r="JJ74" s="92"/>
      <c r="JK74" s="92"/>
      <c r="JL74" s="92"/>
      <c r="JM74" s="92"/>
      <c r="JN74" s="92"/>
      <c r="JO74" s="92"/>
      <c r="JP74" s="92"/>
      <c r="JQ74" s="92"/>
      <c r="JR74" s="92"/>
      <c r="JS74" s="92"/>
      <c r="JT74" s="92"/>
      <c r="JU74" s="92"/>
      <c r="JV74" s="92"/>
      <c r="JW74" s="92"/>
      <c r="JX74" s="92"/>
      <c r="JY74" s="92"/>
      <c r="JZ74" s="92"/>
      <c r="KA74" s="92"/>
      <c r="KB74" s="92"/>
      <c r="KC74" s="92"/>
      <c r="KD74" s="92"/>
      <c r="KE74" s="92"/>
      <c r="KF74" s="92"/>
      <c r="KG74" s="92"/>
      <c r="KH74" s="92"/>
      <c r="KI74" s="92"/>
      <c r="KJ74" s="92"/>
      <c r="KK74" s="92"/>
      <c r="KL74" s="92"/>
      <c r="KM74" s="92"/>
      <c r="KN74" s="92"/>
      <c r="KO74" s="92"/>
      <c r="KP74" s="92"/>
      <c r="KQ74" s="88"/>
      <c r="KR74" s="92"/>
      <c r="KS74" s="92"/>
      <c r="KT74" s="92"/>
      <c r="KU74" s="93"/>
      <c r="KV74" s="92"/>
      <c r="KW74" s="93"/>
      <c r="KX74" s="92"/>
      <c r="KY74" s="93"/>
      <c r="KZ74" s="92"/>
      <c r="LA74" s="93"/>
      <c r="LB74" s="92"/>
      <c r="LC74" s="93"/>
      <c r="LD74" s="92"/>
      <c r="LE74" s="93"/>
      <c r="LF74" s="92"/>
      <c r="LG74" s="92"/>
      <c r="LH74" s="92"/>
      <c r="LI74" s="92"/>
      <c r="LJ74" s="92"/>
      <c r="LK74" s="92"/>
      <c r="LL74" s="92"/>
      <c r="LM74" s="92"/>
      <c r="LN74" s="92"/>
      <c r="LO74" s="92"/>
      <c r="LP74" s="88"/>
      <c r="LQ74" s="93"/>
      <c r="LR74" s="88"/>
      <c r="LS74" s="93"/>
      <c r="LT74" s="93"/>
      <c r="LU74" s="93"/>
      <c r="LV74" s="93"/>
      <c r="LW74" s="93"/>
      <c r="LX74" s="93"/>
      <c r="LY74" s="93"/>
      <c r="LZ74" s="93"/>
      <c r="MA74" s="93"/>
      <c r="MB74" s="93"/>
      <c r="MC74" s="94"/>
      <c r="MD74" s="94"/>
      <c r="ME74" s="94"/>
      <c r="MF74" s="94"/>
      <c r="MG74" s="94"/>
      <c r="MH74" s="94"/>
      <c r="MI74" s="94"/>
      <c r="MJ74" s="94"/>
      <c r="MK74" s="94"/>
      <c r="ML74" s="94"/>
      <c r="MM74" s="94"/>
      <c r="MN74" s="94"/>
      <c r="MO74" s="95"/>
      <c r="MP74" s="95"/>
      <c r="MQ74" s="94"/>
      <c r="MR74" s="94"/>
      <c r="MS74" s="94"/>
      <c r="MT74" s="94"/>
      <c r="MU74" s="94"/>
      <c r="MV74" s="94"/>
      <c r="MW74" s="94"/>
      <c r="MX74" s="94"/>
      <c r="MY74" s="94"/>
      <c r="MZ74" s="94"/>
      <c r="NA74" s="94"/>
      <c r="NB74" s="94"/>
      <c r="NC74" s="94"/>
      <c r="ND74" s="94"/>
      <c r="NE74" s="94"/>
      <c r="NF74" s="94"/>
      <c r="NG74" s="94"/>
      <c r="NH74" s="94"/>
      <c r="NI74" s="94"/>
      <c r="NJ74" s="94"/>
    </row>
    <row r="75" spans="1:374" x14ac:dyDescent="0.25">
      <c r="A75" s="88"/>
      <c r="B75" s="88"/>
      <c r="C75" s="88"/>
      <c r="D75" s="88"/>
      <c r="E75" s="89"/>
      <c r="F75" s="88"/>
      <c r="G75" s="88"/>
      <c r="H75" s="88" t="str">
        <f t="shared" si="195"/>
        <v xml:space="preserve">  </v>
      </c>
      <c r="I75" s="88"/>
      <c r="J75" s="88"/>
      <c r="K75" s="88"/>
      <c r="L75" s="88"/>
      <c r="M75" s="88"/>
      <c r="N75" s="88"/>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1"/>
      <c r="AR75" s="75"/>
      <c r="AS75" s="91"/>
      <c r="AT75" s="91"/>
      <c r="AU75" s="90"/>
      <c r="AV75" s="91"/>
      <c r="AW75" s="91"/>
      <c r="AX75" s="91"/>
      <c r="AY75" s="91"/>
      <c r="AZ75" s="91"/>
      <c r="BA75" s="91"/>
      <c r="BB75" s="90"/>
      <c r="BC75" s="91"/>
      <c r="BD75" s="75"/>
      <c r="BE75" s="91"/>
      <c r="BF75" s="91"/>
      <c r="BG75" s="90"/>
      <c r="BH75" s="91"/>
      <c r="BI75" s="91"/>
      <c r="BJ75" s="91"/>
      <c r="BK75" s="91"/>
      <c r="BL75" s="91"/>
      <c r="BM75" s="91"/>
      <c r="BN75" s="90"/>
      <c r="BO75" s="91"/>
      <c r="BP75" s="75"/>
      <c r="BQ75" s="91"/>
      <c r="BR75" s="91"/>
      <c r="BS75" s="90"/>
      <c r="BT75" s="91"/>
      <c r="BU75" s="91"/>
      <c r="BV75" s="91"/>
      <c r="BW75" s="91"/>
      <c r="BX75" s="91"/>
      <c r="BY75" s="91"/>
      <c r="BZ75" s="90"/>
      <c r="CA75" s="91"/>
      <c r="CB75" s="75"/>
      <c r="CC75" s="91"/>
      <c r="CD75" s="91"/>
      <c r="CE75" s="90"/>
      <c r="CF75" s="91"/>
      <c r="CG75" s="91"/>
      <c r="CH75" s="91"/>
      <c r="CI75" s="91"/>
      <c r="CJ75" s="91"/>
      <c r="CK75" s="91"/>
      <c r="CL75" s="90"/>
      <c r="CM75" s="91"/>
      <c r="CN75" s="75"/>
      <c r="CO75" s="91"/>
      <c r="CP75" s="91"/>
      <c r="CQ75" s="90"/>
      <c r="CR75" s="91"/>
      <c r="CS75" s="91"/>
      <c r="CT75" s="91"/>
      <c r="CU75" s="91"/>
      <c r="CV75" s="91"/>
      <c r="CW75" s="91"/>
      <c r="CX75" s="90"/>
      <c r="CY75" s="91"/>
      <c r="CZ75" s="75"/>
      <c r="DA75" s="91"/>
      <c r="DB75" s="91"/>
      <c r="DC75" s="90"/>
      <c r="DD75" s="91"/>
      <c r="DE75" s="91"/>
      <c r="DF75" s="91"/>
      <c r="DG75" s="91"/>
      <c r="DH75" s="91"/>
      <c r="DI75" s="91"/>
      <c r="DJ75" s="90"/>
      <c r="DK75" s="91"/>
      <c r="DL75" s="75"/>
      <c r="DM75" s="75"/>
      <c r="DN75" s="75">
        <f t="shared" si="194"/>
        <v>0</v>
      </c>
      <c r="DO75" s="75" t="str">
        <f t="shared" si="196"/>
        <v/>
      </c>
      <c r="DP75" s="91" t="str">
        <f>IFERROR(#REF!/#REF!*1000,"")</f>
        <v/>
      </c>
      <c r="DQ75" s="91" t="str">
        <f>IFERROR(#REF!/#REF!*1000,"")</f>
        <v/>
      </c>
      <c r="DR75" s="90"/>
      <c r="DS75" s="91" t="str">
        <f>IFERROR(#REF!/#REF!*1000,"")</f>
        <v/>
      </c>
      <c r="DT75" s="91" t="str">
        <f>IFERROR(#REF!/#REF!*1000,"")</f>
        <v/>
      </c>
      <c r="DU75" s="91"/>
      <c r="DV75" s="91"/>
      <c r="DW75" s="91"/>
      <c r="DX75" s="91"/>
      <c r="DY75" s="90"/>
      <c r="DZ75" s="91"/>
      <c r="EA75" s="75"/>
      <c r="EB75" s="91"/>
      <c r="EC75" s="91"/>
      <c r="ED75" s="90"/>
      <c r="EE75" s="91"/>
      <c r="EF75" s="91"/>
      <c r="EG75" s="91"/>
      <c r="EH75" s="91"/>
      <c r="EI75" s="91"/>
      <c r="EJ75" s="91"/>
      <c r="EK75" s="90"/>
      <c r="EL75" s="90"/>
      <c r="EM75" s="88"/>
      <c r="EN75" s="92"/>
      <c r="EO75" s="92"/>
      <c r="EP75" s="92"/>
      <c r="EQ75" s="92"/>
      <c r="ER75" s="92"/>
      <c r="ES75" s="92"/>
      <c r="ET75" s="92"/>
      <c r="EU75" s="92"/>
      <c r="EV75" s="92"/>
      <c r="EW75" s="92"/>
      <c r="EX75" s="92"/>
      <c r="EY75" s="92"/>
      <c r="EZ75" s="92"/>
      <c r="FA75" s="92"/>
      <c r="FB75" s="92"/>
      <c r="FC75" s="92"/>
      <c r="FD75" s="92"/>
      <c r="FE75" s="92"/>
      <c r="FF75" s="92"/>
      <c r="FG75" s="92"/>
      <c r="FH75" s="92"/>
      <c r="FI75" s="92"/>
      <c r="FJ75" s="92"/>
      <c r="FK75" s="92"/>
      <c r="FL75" s="92"/>
      <c r="FM75" s="92"/>
      <c r="FN75" s="92"/>
      <c r="FO75" s="92"/>
      <c r="FP75" s="92"/>
      <c r="FQ75" s="92"/>
      <c r="FR75" s="92"/>
      <c r="FS75" s="92"/>
      <c r="FT75" s="92"/>
      <c r="FU75" s="92"/>
      <c r="FV75" s="92"/>
      <c r="FW75" s="92"/>
      <c r="FX75" s="92"/>
      <c r="FY75" s="92"/>
      <c r="FZ75" s="92"/>
      <c r="GA75" s="92"/>
      <c r="GB75" s="92"/>
      <c r="GC75" s="92"/>
      <c r="GD75" s="92"/>
      <c r="GE75" s="92"/>
      <c r="GF75" s="92"/>
      <c r="GG75" s="92"/>
      <c r="GH75" s="92"/>
      <c r="GI75" s="92"/>
      <c r="GJ75" s="92"/>
      <c r="GK75" s="92"/>
      <c r="GL75" s="92"/>
      <c r="GM75" s="92"/>
      <c r="GN75" s="92"/>
      <c r="GO75" s="92"/>
      <c r="GP75" s="92"/>
      <c r="GQ75" s="92"/>
      <c r="GR75" s="92"/>
      <c r="GS75" s="92"/>
      <c r="GT75" s="92"/>
      <c r="GU75" s="92"/>
      <c r="GV75" s="92"/>
      <c r="GW75" s="92"/>
      <c r="GX75" s="92"/>
      <c r="GY75" s="92"/>
      <c r="GZ75" s="92"/>
      <c r="HA75" s="92"/>
      <c r="HB75" s="92"/>
      <c r="HC75" s="92"/>
      <c r="HD75" s="92"/>
      <c r="HE75" s="92"/>
      <c r="HF75" s="92"/>
      <c r="HG75" s="92"/>
      <c r="HH75" s="92"/>
      <c r="HI75" s="92"/>
      <c r="HJ75" s="92"/>
      <c r="HK75" s="92"/>
      <c r="HL75" s="92"/>
      <c r="HM75" s="92"/>
      <c r="HN75" s="92"/>
      <c r="HO75" s="92"/>
      <c r="HP75" s="92"/>
      <c r="HQ75" s="92"/>
      <c r="HR75" s="92"/>
      <c r="HS75" s="92"/>
      <c r="HT75" s="92"/>
      <c r="HU75" s="92"/>
      <c r="HV75" s="92"/>
      <c r="HW75" s="92"/>
      <c r="HX75" s="92"/>
      <c r="HY75" s="92"/>
      <c r="HZ75" s="92"/>
      <c r="IA75" s="92"/>
      <c r="IB75" s="92"/>
      <c r="IC75" s="92"/>
      <c r="ID75" s="92"/>
      <c r="IE75" s="92"/>
      <c r="IF75" s="92"/>
      <c r="IG75" s="92"/>
      <c r="IH75" s="92"/>
      <c r="II75" s="92"/>
      <c r="IJ75" s="92"/>
      <c r="IK75" s="92"/>
      <c r="IL75" s="92"/>
      <c r="IM75" s="92"/>
      <c r="IN75" s="92"/>
      <c r="IO75" s="92"/>
      <c r="IP75" s="92"/>
      <c r="IQ75" s="92"/>
      <c r="IR75" s="92"/>
      <c r="IS75" s="92"/>
      <c r="IT75" s="92"/>
      <c r="IU75" s="92"/>
      <c r="IV75" s="92"/>
      <c r="IW75" s="92"/>
      <c r="IX75" s="92"/>
      <c r="IY75" s="92"/>
      <c r="IZ75" s="92"/>
      <c r="JA75" s="92"/>
      <c r="JB75" s="92"/>
      <c r="JC75" s="92"/>
      <c r="JD75" s="92"/>
      <c r="JE75" s="92"/>
      <c r="JF75" s="92"/>
      <c r="JG75" s="92"/>
      <c r="JH75" s="92"/>
      <c r="JI75" s="92"/>
      <c r="JJ75" s="92"/>
      <c r="JK75" s="92"/>
      <c r="JL75" s="92"/>
      <c r="JM75" s="92"/>
      <c r="JN75" s="92"/>
      <c r="JO75" s="92"/>
      <c r="JP75" s="92"/>
      <c r="JQ75" s="92"/>
      <c r="JR75" s="92"/>
      <c r="JS75" s="92"/>
      <c r="JT75" s="92"/>
      <c r="JU75" s="92"/>
      <c r="JV75" s="92"/>
      <c r="JW75" s="92"/>
      <c r="JX75" s="92"/>
      <c r="JY75" s="92"/>
      <c r="JZ75" s="92"/>
      <c r="KA75" s="92"/>
      <c r="KB75" s="92"/>
      <c r="KC75" s="92"/>
      <c r="KD75" s="92"/>
      <c r="KE75" s="92"/>
      <c r="KF75" s="92"/>
      <c r="KG75" s="92"/>
      <c r="KH75" s="92"/>
      <c r="KI75" s="92"/>
      <c r="KJ75" s="92"/>
      <c r="KK75" s="92"/>
      <c r="KL75" s="92"/>
      <c r="KM75" s="92"/>
      <c r="KN75" s="92"/>
      <c r="KO75" s="92"/>
      <c r="KP75" s="92"/>
      <c r="KQ75" s="88"/>
      <c r="KR75" s="92"/>
      <c r="KS75" s="92"/>
      <c r="KT75" s="92"/>
      <c r="KU75" s="93"/>
      <c r="KV75" s="92"/>
      <c r="KW75" s="93"/>
      <c r="KX75" s="92"/>
      <c r="KY75" s="93"/>
      <c r="KZ75" s="92"/>
      <c r="LA75" s="93"/>
      <c r="LB75" s="92"/>
      <c r="LC75" s="93"/>
      <c r="LD75" s="92"/>
      <c r="LE75" s="93"/>
      <c r="LF75" s="92"/>
      <c r="LG75" s="92"/>
      <c r="LH75" s="92"/>
      <c r="LI75" s="92"/>
      <c r="LJ75" s="92"/>
      <c r="LK75" s="92"/>
      <c r="LL75" s="92"/>
      <c r="LM75" s="92"/>
      <c r="LN75" s="92"/>
      <c r="LO75" s="92"/>
      <c r="LP75" s="88"/>
      <c r="LQ75" s="93"/>
      <c r="LR75" s="88"/>
      <c r="LS75" s="93"/>
      <c r="LT75" s="93"/>
      <c r="LU75" s="93"/>
      <c r="LV75" s="93"/>
      <c r="LW75" s="93"/>
      <c r="LX75" s="93"/>
      <c r="LY75" s="93"/>
      <c r="LZ75" s="93"/>
      <c r="MA75" s="93"/>
      <c r="MB75" s="93"/>
      <c r="MC75" s="94"/>
      <c r="MD75" s="94"/>
      <c r="ME75" s="94"/>
      <c r="MF75" s="94"/>
      <c r="MG75" s="94"/>
      <c r="MH75" s="94"/>
      <c r="MI75" s="94"/>
      <c r="MJ75" s="94"/>
      <c r="MK75" s="94"/>
      <c r="ML75" s="94"/>
      <c r="MM75" s="94"/>
      <c r="MN75" s="94"/>
      <c r="MO75" s="95"/>
      <c r="MP75" s="95"/>
      <c r="MQ75" s="94"/>
      <c r="MR75" s="94"/>
      <c r="MS75" s="94"/>
      <c r="MT75" s="94"/>
      <c r="MU75" s="94"/>
      <c r="MV75" s="94"/>
      <c r="MW75" s="94"/>
      <c r="MX75" s="94"/>
      <c r="MY75" s="94"/>
      <c r="MZ75" s="94"/>
      <c r="NA75" s="94"/>
      <c r="NB75" s="94"/>
      <c r="NC75" s="94"/>
      <c r="ND75" s="94"/>
      <c r="NE75" s="94"/>
      <c r="NF75" s="94"/>
      <c r="NG75" s="94"/>
      <c r="NH75" s="94"/>
      <c r="NI75" s="94"/>
      <c r="NJ75" s="94"/>
    </row>
    <row r="76" spans="1:374" x14ac:dyDescent="0.25">
      <c r="A76" s="88"/>
      <c r="B76" s="88"/>
      <c r="C76" s="88"/>
      <c r="D76" s="88"/>
      <c r="E76" s="89"/>
      <c r="F76" s="88"/>
      <c r="G76" s="88"/>
      <c r="H76" s="88" t="str">
        <f t="shared" si="195"/>
        <v xml:space="preserve">  </v>
      </c>
      <c r="I76" s="88"/>
      <c r="J76" s="88"/>
      <c r="K76" s="88"/>
      <c r="L76" s="88"/>
      <c r="M76" s="88"/>
      <c r="N76" s="88"/>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1"/>
      <c r="AR76" s="75"/>
      <c r="AS76" s="91"/>
      <c r="AT76" s="91"/>
      <c r="AU76" s="90"/>
      <c r="AV76" s="91"/>
      <c r="AW76" s="91"/>
      <c r="AX76" s="91"/>
      <c r="AY76" s="91"/>
      <c r="AZ76" s="91"/>
      <c r="BA76" s="91"/>
      <c r="BB76" s="90"/>
      <c r="BC76" s="91"/>
      <c r="BD76" s="75"/>
      <c r="BE76" s="91"/>
      <c r="BF76" s="91"/>
      <c r="BG76" s="90"/>
      <c r="BH76" s="91"/>
      <c r="BI76" s="91"/>
      <c r="BJ76" s="91"/>
      <c r="BK76" s="91"/>
      <c r="BL76" s="91"/>
      <c r="BM76" s="91"/>
      <c r="BN76" s="90"/>
      <c r="BO76" s="91"/>
      <c r="BP76" s="75"/>
      <c r="BQ76" s="91"/>
      <c r="BR76" s="91"/>
      <c r="BS76" s="90"/>
      <c r="BT76" s="91"/>
      <c r="BU76" s="91"/>
      <c r="BV76" s="91"/>
      <c r="BW76" s="91"/>
      <c r="BX76" s="91"/>
      <c r="BY76" s="91"/>
      <c r="BZ76" s="90"/>
      <c r="CA76" s="91"/>
      <c r="CB76" s="75"/>
      <c r="CC76" s="91"/>
      <c r="CD76" s="91"/>
      <c r="CE76" s="90"/>
      <c r="CF76" s="91"/>
      <c r="CG76" s="91"/>
      <c r="CH76" s="91"/>
      <c r="CI76" s="91"/>
      <c r="CJ76" s="91"/>
      <c r="CK76" s="91"/>
      <c r="CL76" s="90"/>
      <c r="CM76" s="91"/>
      <c r="CN76" s="75"/>
      <c r="CO76" s="91"/>
      <c r="CP76" s="91"/>
      <c r="CQ76" s="90"/>
      <c r="CR76" s="91"/>
      <c r="CS76" s="91"/>
      <c r="CT76" s="91"/>
      <c r="CU76" s="91"/>
      <c r="CV76" s="91"/>
      <c r="CW76" s="91"/>
      <c r="CX76" s="90"/>
      <c r="CY76" s="91"/>
      <c r="CZ76" s="75"/>
      <c r="DA76" s="91"/>
      <c r="DB76" s="91"/>
      <c r="DC76" s="90"/>
      <c r="DD76" s="91"/>
      <c r="DE76" s="91"/>
      <c r="DF76" s="91"/>
      <c r="DG76" s="91"/>
      <c r="DH76" s="91"/>
      <c r="DI76" s="91"/>
      <c r="DJ76" s="90"/>
      <c r="DK76" s="91"/>
      <c r="DL76" s="75"/>
      <c r="DM76" s="75"/>
      <c r="DN76" s="75">
        <f t="shared" si="194"/>
        <v>0</v>
      </c>
      <c r="DO76" s="75" t="str">
        <f t="shared" si="196"/>
        <v/>
      </c>
      <c r="DP76" s="91" t="str">
        <f>IFERROR(#REF!/#REF!*1000,"")</f>
        <v/>
      </c>
      <c r="DQ76" s="91" t="str">
        <f>IFERROR(#REF!/#REF!*1000,"")</f>
        <v/>
      </c>
      <c r="DR76" s="90"/>
      <c r="DS76" s="91" t="str">
        <f>IFERROR(#REF!/#REF!*1000,"")</f>
        <v/>
      </c>
      <c r="DT76" s="91" t="str">
        <f>IFERROR(#REF!/#REF!*1000,"")</f>
        <v/>
      </c>
      <c r="DU76" s="91"/>
      <c r="DV76" s="91"/>
      <c r="DW76" s="91"/>
      <c r="DX76" s="91"/>
      <c r="DY76" s="90"/>
      <c r="DZ76" s="91"/>
      <c r="EA76" s="75"/>
      <c r="EB76" s="91"/>
      <c r="EC76" s="91"/>
      <c r="ED76" s="90"/>
      <c r="EE76" s="91"/>
      <c r="EF76" s="91"/>
      <c r="EG76" s="91"/>
      <c r="EH76" s="91"/>
      <c r="EI76" s="91"/>
      <c r="EJ76" s="91"/>
      <c r="EK76" s="90"/>
      <c r="EL76" s="90"/>
      <c r="EM76" s="88"/>
      <c r="EN76" s="92"/>
      <c r="EO76" s="92"/>
      <c r="EP76" s="92"/>
      <c r="EQ76" s="92"/>
      <c r="ER76" s="92"/>
      <c r="ES76" s="92"/>
      <c r="ET76" s="92"/>
      <c r="EU76" s="92"/>
      <c r="EV76" s="92"/>
      <c r="EW76" s="92"/>
      <c r="EX76" s="92"/>
      <c r="EY76" s="92"/>
      <c r="EZ76" s="92"/>
      <c r="FA76" s="92"/>
      <c r="FB76" s="92"/>
      <c r="FC76" s="92"/>
      <c r="FD76" s="92"/>
      <c r="FE76" s="92"/>
      <c r="FF76" s="92"/>
      <c r="FG76" s="92"/>
      <c r="FH76" s="92"/>
      <c r="FI76" s="92"/>
      <c r="FJ76" s="92"/>
      <c r="FK76" s="92"/>
      <c r="FL76" s="92"/>
      <c r="FM76" s="92"/>
      <c r="FN76" s="92"/>
      <c r="FO76" s="92"/>
      <c r="FP76" s="92"/>
      <c r="FQ76" s="92"/>
      <c r="FR76" s="92"/>
      <c r="FS76" s="92"/>
      <c r="FT76" s="92"/>
      <c r="FU76" s="92"/>
      <c r="FV76" s="92"/>
      <c r="FW76" s="92"/>
      <c r="FX76" s="92"/>
      <c r="FY76" s="92"/>
      <c r="FZ76" s="92"/>
      <c r="GA76" s="92"/>
      <c r="GB76" s="92"/>
      <c r="GC76" s="92"/>
      <c r="GD76" s="92"/>
      <c r="GE76" s="92"/>
      <c r="GF76" s="92"/>
      <c r="GG76" s="92"/>
      <c r="GH76" s="92"/>
      <c r="GI76" s="92"/>
      <c r="GJ76" s="92"/>
      <c r="GK76" s="92"/>
      <c r="GL76" s="92"/>
      <c r="GM76" s="92"/>
      <c r="GN76" s="92"/>
      <c r="GO76" s="92"/>
      <c r="GP76" s="92"/>
      <c r="GQ76" s="92"/>
      <c r="GR76" s="92"/>
      <c r="GS76" s="92"/>
      <c r="GT76" s="92"/>
      <c r="GU76" s="92"/>
      <c r="GV76" s="92"/>
      <c r="GW76" s="92"/>
      <c r="GX76" s="92"/>
      <c r="GY76" s="92"/>
      <c r="GZ76" s="92"/>
      <c r="HA76" s="92"/>
      <c r="HB76" s="92"/>
      <c r="HC76" s="92"/>
      <c r="HD76" s="92"/>
      <c r="HE76" s="92"/>
      <c r="HF76" s="92"/>
      <c r="HG76" s="92"/>
      <c r="HH76" s="92"/>
      <c r="HI76" s="92"/>
      <c r="HJ76" s="92"/>
      <c r="HK76" s="92"/>
      <c r="HL76" s="92"/>
      <c r="HM76" s="92"/>
      <c r="HN76" s="92"/>
      <c r="HO76" s="92"/>
      <c r="HP76" s="92"/>
      <c r="HQ76" s="92"/>
      <c r="HR76" s="92"/>
      <c r="HS76" s="92"/>
      <c r="HT76" s="92"/>
      <c r="HU76" s="92"/>
      <c r="HV76" s="92"/>
      <c r="HW76" s="92"/>
      <c r="HX76" s="92"/>
      <c r="HY76" s="92"/>
      <c r="HZ76" s="92"/>
      <c r="IA76" s="92"/>
      <c r="IB76" s="92"/>
      <c r="IC76" s="92"/>
      <c r="ID76" s="92"/>
      <c r="IE76" s="92"/>
      <c r="IF76" s="92"/>
      <c r="IG76" s="92"/>
      <c r="IH76" s="92"/>
      <c r="II76" s="92"/>
      <c r="IJ76" s="92"/>
      <c r="IK76" s="92"/>
      <c r="IL76" s="92"/>
      <c r="IM76" s="92"/>
      <c r="IN76" s="92"/>
      <c r="IO76" s="92"/>
      <c r="IP76" s="92"/>
      <c r="IQ76" s="92"/>
      <c r="IR76" s="92"/>
      <c r="IS76" s="92"/>
      <c r="IT76" s="92"/>
      <c r="IU76" s="92"/>
      <c r="IV76" s="92"/>
      <c r="IW76" s="92"/>
      <c r="IX76" s="92"/>
      <c r="IY76" s="92"/>
      <c r="IZ76" s="92"/>
      <c r="JA76" s="92"/>
      <c r="JB76" s="92"/>
      <c r="JC76" s="92"/>
      <c r="JD76" s="92"/>
      <c r="JE76" s="92"/>
      <c r="JF76" s="92"/>
      <c r="JG76" s="92"/>
      <c r="JH76" s="92"/>
      <c r="JI76" s="92"/>
      <c r="JJ76" s="92"/>
      <c r="JK76" s="92"/>
      <c r="JL76" s="92"/>
      <c r="JM76" s="92"/>
      <c r="JN76" s="92"/>
      <c r="JO76" s="92"/>
      <c r="JP76" s="92"/>
      <c r="JQ76" s="92"/>
      <c r="JR76" s="92"/>
      <c r="JS76" s="92"/>
      <c r="JT76" s="92"/>
      <c r="JU76" s="92"/>
      <c r="JV76" s="92"/>
      <c r="JW76" s="92"/>
      <c r="JX76" s="92"/>
      <c r="JY76" s="92"/>
      <c r="JZ76" s="92"/>
      <c r="KA76" s="92"/>
      <c r="KB76" s="92"/>
      <c r="KC76" s="92"/>
      <c r="KD76" s="92"/>
      <c r="KE76" s="92"/>
      <c r="KF76" s="92"/>
      <c r="KG76" s="92"/>
      <c r="KH76" s="92"/>
      <c r="KI76" s="92"/>
      <c r="KJ76" s="92"/>
      <c r="KK76" s="92"/>
      <c r="KL76" s="92"/>
      <c r="KM76" s="92"/>
      <c r="KN76" s="92"/>
      <c r="KO76" s="92"/>
      <c r="KP76" s="92"/>
      <c r="KQ76" s="88"/>
      <c r="KR76" s="92"/>
      <c r="KS76" s="92"/>
      <c r="KT76" s="92"/>
      <c r="KU76" s="93"/>
      <c r="KV76" s="92"/>
      <c r="KW76" s="93"/>
      <c r="KX76" s="92"/>
      <c r="KY76" s="93"/>
      <c r="KZ76" s="92"/>
      <c r="LA76" s="93"/>
      <c r="LB76" s="92"/>
      <c r="LC76" s="93"/>
      <c r="LD76" s="92"/>
      <c r="LE76" s="93"/>
      <c r="LF76" s="92"/>
      <c r="LG76" s="92"/>
      <c r="LH76" s="92"/>
      <c r="LI76" s="92"/>
      <c r="LJ76" s="92"/>
      <c r="LK76" s="92"/>
      <c r="LL76" s="92"/>
      <c r="LM76" s="92"/>
      <c r="LN76" s="92"/>
      <c r="LO76" s="92"/>
      <c r="LP76" s="88"/>
      <c r="LQ76" s="93"/>
      <c r="LR76" s="88"/>
      <c r="LS76" s="93"/>
      <c r="LT76" s="93"/>
      <c r="LU76" s="93"/>
      <c r="LV76" s="93"/>
      <c r="LW76" s="93"/>
      <c r="LX76" s="93"/>
      <c r="LY76" s="93"/>
      <c r="LZ76" s="93"/>
      <c r="MA76" s="93"/>
      <c r="MB76" s="93"/>
      <c r="MC76" s="94"/>
      <c r="MD76" s="94"/>
      <c r="ME76" s="94"/>
      <c r="MF76" s="94"/>
      <c r="MG76" s="94"/>
      <c r="MH76" s="94"/>
      <c r="MI76" s="94"/>
      <c r="MJ76" s="94"/>
      <c r="MK76" s="94"/>
      <c r="ML76" s="94"/>
      <c r="MM76" s="94"/>
      <c r="MN76" s="94"/>
      <c r="MO76" s="95"/>
      <c r="MP76" s="95"/>
      <c r="MQ76" s="94"/>
      <c r="MR76" s="94"/>
      <c r="MS76" s="94"/>
      <c r="MT76" s="94"/>
      <c r="MU76" s="94"/>
      <c r="MV76" s="94"/>
      <c r="MW76" s="94"/>
      <c r="MX76" s="94"/>
      <c r="MY76" s="94"/>
      <c r="MZ76" s="94"/>
      <c r="NA76" s="94"/>
      <c r="NB76" s="94"/>
      <c r="NC76" s="94"/>
      <c r="ND76" s="94"/>
      <c r="NE76" s="94"/>
      <c r="NF76" s="94"/>
      <c r="NG76" s="94"/>
      <c r="NH76" s="94"/>
      <c r="NI76" s="94"/>
      <c r="NJ76" s="94"/>
    </row>
    <row r="77" spans="1:374" x14ac:dyDescent="0.25">
      <c r="A77" s="88"/>
      <c r="B77" s="88"/>
      <c r="C77" s="88"/>
      <c r="D77" s="88"/>
      <c r="E77" s="89"/>
      <c r="F77" s="88"/>
      <c r="G77" s="88"/>
      <c r="H77" s="88" t="str">
        <f t="shared" si="195"/>
        <v xml:space="preserve">  </v>
      </c>
      <c r="I77" s="88"/>
      <c r="J77" s="88"/>
      <c r="K77" s="88"/>
      <c r="L77" s="88"/>
      <c r="M77" s="88"/>
      <c r="N77" s="88"/>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1"/>
      <c r="AR77" s="75"/>
      <c r="AS77" s="91"/>
      <c r="AT77" s="91"/>
      <c r="AU77" s="90"/>
      <c r="AV77" s="91"/>
      <c r="AW77" s="91"/>
      <c r="AX77" s="91"/>
      <c r="AY77" s="91"/>
      <c r="AZ77" s="91"/>
      <c r="BA77" s="91"/>
      <c r="BB77" s="90"/>
      <c r="BC77" s="91"/>
      <c r="BD77" s="75"/>
      <c r="BE77" s="91"/>
      <c r="BF77" s="91"/>
      <c r="BG77" s="90"/>
      <c r="BH77" s="91"/>
      <c r="BI77" s="91"/>
      <c r="BJ77" s="91"/>
      <c r="BK77" s="91"/>
      <c r="BL77" s="91"/>
      <c r="BM77" s="91"/>
      <c r="BN77" s="90"/>
      <c r="BO77" s="91"/>
      <c r="BP77" s="75"/>
      <c r="BQ77" s="91"/>
      <c r="BR77" s="91"/>
      <c r="BS77" s="90"/>
      <c r="BT77" s="91"/>
      <c r="BU77" s="91"/>
      <c r="BV77" s="91"/>
      <c r="BW77" s="91"/>
      <c r="BX77" s="91"/>
      <c r="BY77" s="91"/>
      <c r="BZ77" s="90"/>
      <c r="CA77" s="91"/>
      <c r="CB77" s="75"/>
      <c r="CC77" s="91"/>
      <c r="CD77" s="91"/>
      <c r="CE77" s="90"/>
      <c r="CF77" s="91"/>
      <c r="CG77" s="91"/>
      <c r="CH77" s="91"/>
      <c r="CI77" s="91"/>
      <c r="CJ77" s="91"/>
      <c r="CK77" s="91"/>
      <c r="CL77" s="90"/>
      <c r="CM77" s="91"/>
      <c r="CN77" s="75"/>
      <c r="CO77" s="91"/>
      <c r="CP77" s="91"/>
      <c r="CQ77" s="90"/>
      <c r="CR77" s="91"/>
      <c r="CS77" s="91"/>
      <c r="CT77" s="91"/>
      <c r="CU77" s="91"/>
      <c r="CV77" s="91"/>
      <c r="CW77" s="91"/>
      <c r="CX77" s="90"/>
      <c r="CY77" s="91"/>
      <c r="CZ77" s="75"/>
      <c r="DA77" s="91"/>
      <c r="DB77" s="91"/>
      <c r="DC77" s="90"/>
      <c r="DD77" s="91"/>
      <c r="DE77" s="91"/>
      <c r="DF77" s="91"/>
      <c r="DG77" s="91"/>
      <c r="DH77" s="91"/>
      <c r="DI77" s="91"/>
      <c r="DJ77" s="90"/>
      <c r="DK77" s="91"/>
      <c r="DL77" s="75"/>
      <c r="DM77" s="75"/>
      <c r="DN77" s="75">
        <f t="shared" si="194"/>
        <v>0</v>
      </c>
      <c r="DO77" s="75" t="str">
        <f t="shared" si="196"/>
        <v/>
      </c>
      <c r="DP77" s="91" t="str">
        <f>IFERROR(#REF!/#REF!*1000,"")</f>
        <v/>
      </c>
      <c r="DQ77" s="91" t="str">
        <f>IFERROR(#REF!/#REF!*1000,"")</f>
        <v/>
      </c>
      <c r="DR77" s="90"/>
      <c r="DS77" s="91" t="str">
        <f>IFERROR(#REF!/#REF!*1000,"")</f>
        <v/>
      </c>
      <c r="DT77" s="91" t="str">
        <f>IFERROR(#REF!/#REF!*1000,"")</f>
        <v/>
      </c>
      <c r="DU77" s="91"/>
      <c r="DV77" s="91"/>
      <c r="DW77" s="91"/>
      <c r="DX77" s="91"/>
      <c r="DY77" s="90"/>
      <c r="DZ77" s="91"/>
      <c r="EA77" s="75"/>
      <c r="EB77" s="91"/>
      <c r="EC77" s="91"/>
      <c r="ED77" s="90"/>
      <c r="EE77" s="91"/>
      <c r="EF77" s="91"/>
      <c r="EG77" s="91"/>
      <c r="EH77" s="91"/>
      <c r="EI77" s="91"/>
      <c r="EJ77" s="91"/>
      <c r="EK77" s="90"/>
      <c r="EL77" s="90"/>
      <c r="EM77" s="88"/>
      <c r="EN77" s="92"/>
      <c r="EO77" s="92"/>
      <c r="EP77" s="92"/>
      <c r="EQ77" s="92"/>
      <c r="ER77" s="92"/>
      <c r="ES77" s="92"/>
      <c r="ET77" s="92"/>
      <c r="EU77" s="92"/>
      <c r="EV77" s="92"/>
      <c r="EW77" s="92"/>
      <c r="EX77" s="92"/>
      <c r="EY77" s="92"/>
      <c r="EZ77" s="92"/>
      <c r="FA77" s="92"/>
      <c r="FB77" s="92"/>
      <c r="FC77" s="92"/>
      <c r="FD77" s="92"/>
      <c r="FE77" s="92"/>
      <c r="FF77" s="92"/>
      <c r="FG77" s="92"/>
      <c r="FH77" s="92"/>
      <c r="FI77" s="92"/>
      <c r="FJ77" s="92"/>
      <c r="FK77" s="92"/>
      <c r="FL77" s="92"/>
      <c r="FM77" s="92"/>
      <c r="FN77" s="92"/>
      <c r="FO77" s="92"/>
      <c r="FP77" s="92"/>
      <c r="FQ77" s="92"/>
      <c r="FR77" s="92"/>
      <c r="FS77" s="92"/>
      <c r="FT77" s="92"/>
      <c r="FU77" s="92"/>
      <c r="FV77" s="92"/>
      <c r="FW77" s="92"/>
      <c r="FX77" s="92"/>
      <c r="FY77" s="92"/>
      <c r="FZ77" s="92"/>
      <c r="GA77" s="92"/>
      <c r="GB77" s="92"/>
      <c r="GC77" s="92"/>
      <c r="GD77" s="92"/>
      <c r="GE77" s="92"/>
      <c r="GF77" s="92"/>
      <c r="GG77" s="92"/>
      <c r="GH77" s="92"/>
      <c r="GI77" s="92"/>
      <c r="GJ77" s="92"/>
      <c r="GK77" s="92"/>
      <c r="GL77" s="92"/>
      <c r="GM77" s="92"/>
      <c r="GN77" s="92"/>
      <c r="GO77" s="92"/>
      <c r="GP77" s="92"/>
      <c r="GQ77" s="92"/>
      <c r="GR77" s="92"/>
      <c r="GS77" s="92"/>
      <c r="GT77" s="92"/>
      <c r="GU77" s="92"/>
      <c r="GV77" s="92"/>
      <c r="GW77" s="92"/>
      <c r="GX77" s="92"/>
      <c r="GY77" s="92"/>
      <c r="GZ77" s="92"/>
      <c r="HA77" s="92"/>
      <c r="HB77" s="92"/>
      <c r="HC77" s="92"/>
      <c r="HD77" s="92"/>
      <c r="HE77" s="92"/>
      <c r="HF77" s="92"/>
      <c r="HG77" s="92"/>
      <c r="HH77" s="92"/>
      <c r="HI77" s="92"/>
      <c r="HJ77" s="92"/>
      <c r="HK77" s="92"/>
      <c r="HL77" s="92"/>
      <c r="HM77" s="92"/>
      <c r="HN77" s="92"/>
      <c r="HO77" s="92"/>
      <c r="HP77" s="92"/>
      <c r="HQ77" s="92"/>
      <c r="HR77" s="92"/>
      <c r="HS77" s="92"/>
      <c r="HT77" s="92"/>
      <c r="HU77" s="92"/>
      <c r="HV77" s="92"/>
      <c r="HW77" s="92"/>
      <c r="HX77" s="92"/>
      <c r="HY77" s="92"/>
      <c r="HZ77" s="92"/>
      <c r="IA77" s="92"/>
      <c r="IB77" s="92"/>
      <c r="IC77" s="92"/>
      <c r="ID77" s="92"/>
      <c r="IE77" s="92"/>
      <c r="IF77" s="92"/>
      <c r="IG77" s="92"/>
      <c r="IH77" s="92"/>
      <c r="II77" s="92"/>
      <c r="IJ77" s="92"/>
      <c r="IK77" s="92"/>
      <c r="IL77" s="92"/>
      <c r="IM77" s="92"/>
      <c r="IN77" s="92"/>
      <c r="IO77" s="92"/>
      <c r="IP77" s="92"/>
      <c r="IQ77" s="92"/>
      <c r="IR77" s="92"/>
      <c r="IS77" s="92"/>
      <c r="IT77" s="92"/>
      <c r="IU77" s="92"/>
      <c r="IV77" s="92"/>
      <c r="IW77" s="92"/>
      <c r="IX77" s="92"/>
      <c r="IY77" s="92"/>
      <c r="IZ77" s="92"/>
      <c r="JA77" s="92"/>
      <c r="JB77" s="92"/>
      <c r="JC77" s="92"/>
      <c r="JD77" s="92"/>
      <c r="JE77" s="92"/>
      <c r="JF77" s="92"/>
      <c r="JG77" s="92"/>
      <c r="JH77" s="92"/>
      <c r="JI77" s="92"/>
      <c r="JJ77" s="92"/>
      <c r="JK77" s="92"/>
      <c r="JL77" s="92"/>
      <c r="JM77" s="92"/>
      <c r="JN77" s="92"/>
      <c r="JO77" s="92"/>
      <c r="JP77" s="92"/>
      <c r="JQ77" s="92"/>
      <c r="JR77" s="92"/>
      <c r="JS77" s="92"/>
      <c r="JT77" s="92"/>
      <c r="JU77" s="92"/>
      <c r="JV77" s="92"/>
      <c r="JW77" s="92"/>
      <c r="JX77" s="92"/>
      <c r="JY77" s="92"/>
      <c r="JZ77" s="92"/>
      <c r="KA77" s="92"/>
      <c r="KB77" s="92"/>
      <c r="KC77" s="92"/>
      <c r="KD77" s="92"/>
      <c r="KE77" s="92"/>
      <c r="KF77" s="92"/>
      <c r="KG77" s="92"/>
      <c r="KH77" s="92"/>
      <c r="KI77" s="92"/>
      <c r="KJ77" s="92"/>
      <c r="KK77" s="92"/>
      <c r="KL77" s="92"/>
      <c r="KM77" s="92"/>
      <c r="KN77" s="92"/>
      <c r="KO77" s="92"/>
      <c r="KP77" s="92"/>
      <c r="KQ77" s="88"/>
      <c r="KR77" s="92"/>
      <c r="KS77" s="92"/>
      <c r="KT77" s="92"/>
      <c r="KU77" s="93"/>
      <c r="KV77" s="92"/>
      <c r="KW77" s="93"/>
      <c r="KX77" s="92"/>
      <c r="KY77" s="93"/>
      <c r="KZ77" s="92"/>
      <c r="LA77" s="93"/>
      <c r="LB77" s="92"/>
      <c r="LC77" s="93"/>
      <c r="LD77" s="92"/>
      <c r="LE77" s="93"/>
      <c r="LF77" s="92"/>
      <c r="LG77" s="92"/>
      <c r="LH77" s="92"/>
      <c r="LI77" s="92"/>
      <c r="LJ77" s="92"/>
      <c r="LK77" s="92"/>
      <c r="LL77" s="92"/>
      <c r="LM77" s="92"/>
      <c r="LN77" s="92"/>
      <c r="LO77" s="92"/>
      <c r="LP77" s="88"/>
      <c r="LQ77" s="93"/>
      <c r="LR77" s="88"/>
      <c r="LS77" s="93"/>
      <c r="LT77" s="93"/>
      <c r="LU77" s="93"/>
      <c r="LV77" s="93"/>
      <c r="LW77" s="93"/>
      <c r="LX77" s="93"/>
      <c r="LY77" s="93"/>
      <c r="LZ77" s="93"/>
      <c r="MA77" s="93"/>
      <c r="MB77" s="93"/>
      <c r="MC77" s="94"/>
      <c r="MD77" s="94"/>
      <c r="ME77" s="94"/>
      <c r="MF77" s="94"/>
      <c r="MG77" s="94"/>
      <c r="MH77" s="94"/>
      <c r="MI77" s="94"/>
      <c r="MJ77" s="94"/>
      <c r="MK77" s="94"/>
      <c r="ML77" s="94"/>
      <c r="MM77" s="94"/>
      <c r="MN77" s="94"/>
      <c r="MO77" s="95"/>
      <c r="MP77" s="95"/>
      <c r="MQ77" s="94"/>
      <c r="MR77" s="94"/>
      <c r="MS77" s="94"/>
      <c r="MT77" s="94"/>
      <c r="MU77" s="94"/>
      <c r="MV77" s="94"/>
      <c r="MW77" s="94"/>
      <c r="MX77" s="94"/>
      <c r="MY77" s="94"/>
      <c r="MZ77" s="94"/>
      <c r="NA77" s="94"/>
      <c r="NB77" s="94"/>
      <c r="NC77" s="94"/>
      <c r="ND77" s="94"/>
      <c r="NE77" s="94"/>
      <c r="NF77" s="94"/>
      <c r="NG77" s="94"/>
      <c r="NH77" s="94"/>
      <c r="NI77" s="94"/>
      <c r="NJ77" s="94"/>
    </row>
    <row r="78" spans="1:374" x14ac:dyDescent="0.25">
      <c r="A78" s="88"/>
      <c r="B78" s="88"/>
      <c r="C78" s="88"/>
      <c r="D78" s="88"/>
      <c r="E78" s="89"/>
      <c r="F78" s="88"/>
      <c r="G78" s="88"/>
      <c r="H78" s="88" t="str">
        <f t="shared" si="195"/>
        <v xml:space="preserve">  </v>
      </c>
      <c r="I78" s="88"/>
      <c r="J78" s="88"/>
      <c r="K78" s="88"/>
      <c r="L78" s="88"/>
      <c r="M78" s="88"/>
      <c r="N78" s="88"/>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1"/>
      <c r="AR78" s="75"/>
      <c r="AS78" s="91"/>
      <c r="AT78" s="91"/>
      <c r="AU78" s="90"/>
      <c r="AV78" s="91"/>
      <c r="AW78" s="91"/>
      <c r="AX78" s="91"/>
      <c r="AY78" s="91"/>
      <c r="AZ78" s="91"/>
      <c r="BA78" s="91"/>
      <c r="BB78" s="90"/>
      <c r="BC78" s="91"/>
      <c r="BD78" s="75"/>
      <c r="BE78" s="91"/>
      <c r="BF78" s="91"/>
      <c r="BG78" s="90"/>
      <c r="BH78" s="91"/>
      <c r="BI78" s="91"/>
      <c r="BJ78" s="91"/>
      <c r="BK78" s="91"/>
      <c r="BL78" s="91"/>
      <c r="BM78" s="91"/>
      <c r="BN78" s="90"/>
      <c r="BO78" s="91"/>
      <c r="BP78" s="75"/>
      <c r="BQ78" s="91"/>
      <c r="BR78" s="91"/>
      <c r="BS78" s="90"/>
      <c r="BT78" s="91"/>
      <c r="BU78" s="91"/>
      <c r="BV78" s="91"/>
      <c r="BW78" s="91"/>
      <c r="BX78" s="91"/>
      <c r="BY78" s="91"/>
      <c r="BZ78" s="90"/>
      <c r="CA78" s="91"/>
      <c r="CB78" s="75"/>
      <c r="CC78" s="91"/>
      <c r="CD78" s="91"/>
      <c r="CE78" s="90"/>
      <c r="CF78" s="91"/>
      <c r="CG78" s="91"/>
      <c r="CH78" s="91"/>
      <c r="CI78" s="91"/>
      <c r="CJ78" s="91"/>
      <c r="CK78" s="91"/>
      <c r="CL78" s="90"/>
      <c r="CM78" s="91"/>
      <c r="CN78" s="75"/>
      <c r="CO78" s="91"/>
      <c r="CP78" s="91"/>
      <c r="CQ78" s="90"/>
      <c r="CR78" s="91"/>
      <c r="CS78" s="91"/>
      <c r="CT78" s="91"/>
      <c r="CU78" s="91"/>
      <c r="CV78" s="91"/>
      <c r="CW78" s="91"/>
      <c r="CX78" s="90"/>
      <c r="CY78" s="91"/>
      <c r="CZ78" s="75"/>
      <c r="DA78" s="91"/>
      <c r="DB78" s="91"/>
      <c r="DC78" s="90"/>
      <c r="DD78" s="91"/>
      <c r="DE78" s="91"/>
      <c r="DF78" s="91"/>
      <c r="DG78" s="91"/>
      <c r="DH78" s="91"/>
      <c r="DI78" s="91"/>
      <c r="DJ78" s="90"/>
      <c r="DK78" s="91"/>
      <c r="DL78" s="75"/>
      <c r="DM78" s="75"/>
      <c r="DN78" s="75">
        <f t="shared" si="194"/>
        <v>0</v>
      </c>
      <c r="DO78" s="75" t="str">
        <f t="shared" si="196"/>
        <v/>
      </c>
      <c r="DP78" s="91" t="str">
        <f>IFERROR(#REF!/#REF!*1000,"")</f>
        <v/>
      </c>
      <c r="DQ78" s="91" t="str">
        <f>IFERROR(#REF!/#REF!*1000,"")</f>
        <v/>
      </c>
      <c r="DR78" s="90"/>
      <c r="DS78" s="91" t="str">
        <f>IFERROR(#REF!/#REF!*1000,"")</f>
        <v/>
      </c>
      <c r="DT78" s="91" t="str">
        <f>IFERROR(#REF!/#REF!*1000,"")</f>
        <v/>
      </c>
      <c r="DU78" s="91"/>
      <c r="DV78" s="91"/>
      <c r="DW78" s="91"/>
      <c r="DX78" s="91"/>
      <c r="DY78" s="90"/>
      <c r="DZ78" s="91"/>
      <c r="EA78" s="75"/>
      <c r="EB78" s="91"/>
      <c r="EC78" s="91"/>
      <c r="ED78" s="90"/>
      <c r="EE78" s="91"/>
      <c r="EF78" s="91"/>
      <c r="EG78" s="91"/>
      <c r="EH78" s="91"/>
      <c r="EI78" s="91"/>
      <c r="EJ78" s="91"/>
      <c r="EK78" s="90"/>
      <c r="EL78" s="90"/>
      <c r="EM78" s="88"/>
      <c r="EN78" s="92"/>
      <c r="EO78" s="92"/>
      <c r="EP78" s="92"/>
      <c r="EQ78" s="92"/>
      <c r="ER78" s="92"/>
      <c r="ES78" s="92"/>
      <c r="ET78" s="92"/>
      <c r="EU78" s="92"/>
      <c r="EV78" s="92"/>
      <c r="EW78" s="92"/>
      <c r="EX78" s="92"/>
      <c r="EY78" s="92"/>
      <c r="EZ78" s="92"/>
      <c r="FA78" s="92"/>
      <c r="FB78" s="92"/>
      <c r="FC78" s="92"/>
      <c r="FD78" s="92"/>
      <c r="FE78" s="92"/>
      <c r="FF78" s="92"/>
      <c r="FG78" s="92"/>
      <c r="FH78" s="92"/>
      <c r="FI78" s="92"/>
      <c r="FJ78" s="92"/>
      <c r="FK78" s="92"/>
      <c r="FL78" s="92"/>
      <c r="FM78" s="92"/>
      <c r="FN78" s="92"/>
      <c r="FO78" s="92"/>
      <c r="FP78" s="92"/>
      <c r="FQ78" s="92"/>
      <c r="FR78" s="92"/>
      <c r="FS78" s="92"/>
      <c r="FT78" s="92"/>
      <c r="FU78" s="92"/>
      <c r="FV78" s="92"/>
      <c r="FW78" s="92"/>
      <c r="FX78" s="92"/>
      <c r="FY78" s="92"/>
      <c r="FZ78" s="92"/>
      <c r="GA78" s="92"/>
      <c r="GB78" s="92"/>
      <c r="GC78" s="92"/>
      <c r="GD78" s="92"/>
      <c r="GE78" s="92"/>
      <c r="GF78" s="92"/>
      <c r="GG78" s="92"/>
      <c r="GH78" s="92"/>
      <c r="GI78" s="92"/>
      <c r="GJ78" s="92"/>
      <c r="GK78" s="92"/>
      <c r="GL78" s="92"/>
      <c r="GM78" s="92"/>
      <c r="GN78" s="92"/>
      <c r="GO78" s="92"/>
      <c r="GP78" s="92"/>
      <c r="GQ78" s="92"/>
      <c r="GR78" s="92"/>
      <c r="GS78" s="92"/>
      <c r="GT78" s="92"/>
      <c r="GU78" s="92"/>
      <c r="GV78" s="92"/>
      <c r="GW78" s="92"/>
      <c r="GX78" s="92"/>
      <c r="GY78" s="92"/>
      <c r="GZ78" s="92"/>
      <c r="HA78" s="92"/>
      <c r="HB78" s="92"/>
      <c r="HC78" s="92"/>
      <c r="HD78" s="92"/>
      <c r="HE78" s="92"/>
      <c r="HF78" s="92"/>
      <c r="HG78" s="92"/>
      <c r="HH78" s="92"/>
      <c r="HI78" s="92"/>
      <c r="HJ78" s="92"/>
      <c r="HK78" s="92"/>
      <c r="HL78" s="92"/>
      <c r="HM78" s="92"/>
      <c r="HN78" s="92"/>
      <c r="HO78" s="92"/>
      <c r="HP78" s="92"/>
      <c r="HQ78" s="92"/>
      <c r="HR78" s="92"/>
      <c r="HS78" s="92"/>
      <c r="HT78" s="92"/>
      <c r="HU78" s="92"/>
      <c r="HV78" s="92"/>
      <c r="HW78" s="92"/>
      <c r="HX78" s="92"/>
      <c r="HY78" s="92"/>
      <c r="HZ78" s="92"/>
      <c r="IA78" s="92"/>
      <c r="IB78" s="92"/>
      <c r="IC78" s="92"/>
      <c r="ID78" s="92"/>
      <c r="IE78" s="92"/>
      <c r="IF78" s="92"/>
      <c r="IG78" s="92"/>
      <c r="IH78" s="92"/>
      <c r="II78" s="92"/>
      <c r="IJ78" s="92"/>
      <c r="IK78" s="92"/>
      <c r="IL78" s="92"/>
      <c r="IM78" s="92"/>
      <c r="IN78" s="92"/>
      <c r="IO78" s="92"/>
      <c r="IP78" s="92"/>
      <c r="IQ78" s="92"/>
      <c r="IR78" s="92"/>
      <c r="IS78" s="92"/>
      <c r="IT78" s="92"/>
      <c r="IU78" s="92"/>
      <c r="IV78" s="92"/>
      <c r="IW78" s="92"/>
      <c r="IX78" s="92"/>
      <c r="IY78" s="92"/>
      <c r="IZ78" s="92"/>
      <c r="JA78" s="92"/>
      <c r="JB78" s="92"/>
      <c r="JC78" s="92"/>
      <c r="JD78" s="92"/>
      <c r="JE78" s="92"/>
      <c r="JF78" s="92"/>
      <c r="JG78" s="92"/>
      <c r="JH78" s="92"/>
      <c r="JI78" s="92"/>
      <c r="JJ78" s="92"/>
      <c r="JK78" s="92"/>
      <c r="JL78" s="92"/>
      <c r="JM78" s="92"/>
      <c r="JN78" s="92"/>
      <c r="JO78" s="92"/>
      <c r="JP78" s="92"/>
      <c r="JQ78" s="92"/>
      <c r="JR78" s="92"/>
      <c r="JS78" s="92"/>
      <c r="JT78" s="92"/>
      <c r="JU78" s="92"/>
      <c r="JV78" s="92"/>
      <c r="JW78" s="92"/>
      <c r="JX78" s="92"/>
      <c r="JY78" s="92"/>
      <c r="JZ78" s="92"/>
      <c r="KA78" s="92"/>
      <c r="KB78" s="92"/>
      <c r="KC78" s="92"/>
      <c r="KD78" s="92"/>
      <c r="KE78" s="92"/>
      <c r="KF78" s="92"/>
      <c r="KG78" s="92"/>
      <c r="KH78" s="92"/>
      <c r="KI78" s="92"/>
      <c r="KJ78" s="92"/>
      <c r="KK78" s="92"/>
      <c r="KL78" s="92"/>
      <c r="KM78" s="92"/>
      <c r="KN78" s="92"/>
      <c r="KO78" s="92"/>
      <c r="KP78" s="92"/>
      <c r="KQ78" s="88"/>
      <c r="KR78" s="92"/>
      <c r="KS78" s="92"/>
      <c r="KT78" s="92"/>
      <c r="KU78" s="93"/>
      <c r="KV78" s="92"/>
      <c r="KW78" s="93"/>
      <c r="KX78" s="92"/>
      <c r="KY78" s="93"/>
      <c r="KZ78" s="92"/>
      <c r="LA78" s="93"/>
      <c r="LB78" s="92"/>
      <c r="LC78" s="93"/>
      <c r="LD78" s="92"/>
      <c r="LE78" s="93"/>
      <c r="LF78" s="92"/>
      <c r="LG78" s="92"/>
      <c r="LH78" s="92"/>
      <c r="LI78" s="92"/>
      <c r="LJ78" s="92"/>
      <c r="LK78" s="92"/>
      <c r="LL78" s="92"/>
      <c r="LM78" s="92"/>
      <c r="LN78" s="92"/>
      <c r="LO78" s="92"/>
      <c r="LP78" s="88"/>
      <c r="LQ78" s="93"/>
      <c r="LR78" s="88"/>
      <c r="LS78" s="93"/>
      <c r="LT78" s="93"/>
      <c r="LU78" s="93"/>
      <c r="LV78" s="93"/>
      <c r="LW78" s="93"/>
      <c r="LX78" s="93"/>
      <c r="LY78" s="93"/>
      <c r="LZ78" s="93"/>
      <c r="MA78" s="93"/>
      <c r="MB78" s="93"/>
      <c r="MC78" s="94"/>
      <c r="MD78" s="94"/>
      <c r="ME78" s="94"/>
      <c r="MF78" s="94"/>
      <c r="MG78" s="94"/>
      <c r="MH78" s="94"/>
      <c r="MI78" s="94"/>
      <c r="MJ78" s="94"/>
      <c r="MK78" s="94"/>
      <c r="ML78" s="94"/>
      <c r="MM78" s="94"/>
      <c r="MN78" s="94"/>
      <c r="MO78" s="95"/>
      <c r="MP78" s="95"/>
      <c r="MQ78" s="94"/>
      <c r="MR78" s="94"/>
      <c r="MS78" s="94"/>
      <c r="MT78" s="94"/>
      <c r="MU78" s="94"/>
      <c r="MV78" s="94"/>
      <c r="MW78" s="94"/>
      <c r="MX78" s="94"/>
      <c r="MY78" s="94"/>
      <c r="MZ78" s="94"/>
      <c r="NA78" s="94"/>
      <c r="NB78" s="94"/>
      <c r="NC78" s="94"/>
      <c r="ND78" s="94"/>
      <c r="NE78" s="94"/>
      <c r="NF78" s="94"/>
      <c r="NG78" s="94"/>
      <c r="NH78" s="94"/>
      <c r="NI78" s="94"/>
      <c r="NJ78" s="94"/>
    </row>
    <row r="79" spans="1:374" x14ac:dyDescent="0.25">
      <c r="A79" s="88"/>
      <c r="B79" s="88"/>
      <c r="C79" s="88"/>
      <c r="D79" s="88"/>
      <c r="E79" s="89"/>
      <c r="F79" s="88"/>
      <c r="G79" s="88"/>
      <c r="H79" s="88" t="str">
        <f t="shared" si="195"/>
        <v xml:space="preserve">  </v>
      </c>
      <c r="I79" s="88"/>
      <c r="J79" s="88"/>
      <c r="K79" s="88"/>
      <c r="L79" s="88"/>
      <c r="M79" s="88"/>
      <c r="N79" s="88"/>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1"/>
      <c r="AR79" s="75"/>
      <c r="AS79" s="91"/>
      <c r="AT79" s="91"/>
      <c r="AU79" s="90"/>
      <c r="AV79" s="91"/>
      <c r="AW79" s="91"/>
      <c r="AX79" s="91"/>
      <c r="AY79" s="91"/>
      <c r="AZ79" s="91"/>
      <c r="BA79" s="91"/>
      <c r="BB79" s="90"/>
      <c r="BC79" s="91"/>
      <c r="BD79" s="75"/>
      <c r="BE79" s="91"/>
      <c r="BF79" s="91"/>
      <c r="BG79" s="90"/>
      <c r="BH79" s="91"/>
      <c r="BI79" s="91"/>
      <c r="BJ79" s="91"/>
      <c r="BK79" s="91"/>
      <c r="BL79" s="91"/>
      <c r="BM79" s="91"/>
      <c r="BN79" s="90"/>
      <c r="BO79" s="91"/>
      <c r="BP79" s="75"/>
      <c r="BQ79" s="91"/>
      <c r="BR79" s="91"/>
      <c r="BS79" s="90"/>
      <c r="BT79" s="91"/>
      <c r="BU79" s="91"/>
      <c r="BV79" s="91"/>
      <c r="BW79" s="91"/>
      <c r="BX79" s="91"/>
      <c r="BY79" s="91"/>
      <c r="BZ79" s="90"/>
      <c r="CA79" s="91"/>
      <c r="CB79" s="75"/>
      <c r="CC79" s="91"/>
      <c r="CD79" s="91"/>
      <c r="CE79" s="90"/>
      <c r="CF79" s="91"/>
      <c r="CG79" s="91"/>
      <c r="CH79" s="91"/>
      <c r="CI79" s="91"/>
      <c r="CJ79" s="91"/>
      <c r="CK79" s="91"/>
      <c r="CL79" s="90"/>
      <c r="CM79" s="91"/>
      <c r="CN79" s="75"/>
      <c r="CO79" s="91"/>
      <c r="CP79" s="91"/>
      <c r="CQ79" s="90"/>
      <c r="CR79" s="91"/>
      <c r="CS79" s="91"/>
      <c r="CT79" s="91"/>
      <c r="CU79" s="91"/>
      <c r="CV79" s="91"/>
      <c r="CW79" s="91"/>
      <c r="CX79" s="90"/>
      <c r="CY79" s="91"/>
      <c r="CZ79" s="75"/>
      <c r="DA79" s="91"/>
      <c r="DB79" s="91"/>
      <c r="DC79" s="90"/>
      <c r="DD79" s="91"/>
      <c r="DE79" s="91"/>
      <c r="DF79" s="91"/>
      <c r="DG79" s="91"/>
      <c r="DH79" s="91"/>
      <c r="DI79" s="91"/>
      <c r="DJ79" s="90"/>
      <c r="DK79" s="91"/>
      <c r="DL79" s="75"/>
      <c r="DM79" s="75"/>
      <c r="DN79" s="75">
        <f t="shared" si="194"/>
        <v>0</v>
      </c>
      <c r="DO79" s="75" t="str">
        <f t="shared" si="196"/>
        <v/>
      </c>
      <c r="DP79" s="91" t="str">
        <f>IFERROR(#REF!/#REF!*1000,"")</f>
        <v/>
      </c>
      <c r="DQ79" s="91" t="str">
        <f>IFERROR(#REF!/#REF!*1000,"")</f>
        <v/>
      </c>
      <c r="DR79" s="90"/>
      <c r="DS79" s="91" t="str">
        <f>IFERROR(#REF!/#REF!*1000,"")</f>
        <v/>
      </c>
      <c r="DT79" s="91" t="str">
        <f>IFERROR(#REF!/#REF!*1000,"")</f>
        <v/>
      </c>
      <c r="DU79" s="91"/>
      <c r="DV79" s="91"/>
      <c r="DW79" s="91"/>
      <c r="DX79" s="91"/>
      <c r="DY79" s="90"/>
      <c r="DZ79" s="91"/>
      <c r="EA79" s="75"/>
      <c r="EB79" s="91"/>
      <c r="EC79" s="91"/>
      <c r="ED79" s="90"/>
      <c r="EE79" s="91"/>
      <c r="EF79" s="91"/>
      <c r="EG79" s="91"/>
      <c r="EH79" s="91"/>
      <c r="EI79" s="91"/>
      <c r="EJ79" s="91"/>
      <c r="EK79" s="90"/>
      <c r="EL79" s="90"/>
      <c r="EM79" s="88"/>
      <c r="EN79" s="92"/>
      <c r="EO79" s="92"/>
      <c r="EP79" s="92"/>
      <c r="EQ79" s="92"/>
      <c r="ER79" s="92"/>
      <c r="ES79" s="92"/>
      <c r="ET79" s="92"/>
      <c r="EU79" s="92"/>
      <c r="EV79" s="92"/>
      <c r="EW79" s="92"/>
      <c r="EX79" s="92"/>
      <c r="EY79" s="92"/>
      <c r="EZ79" s="92"/>
      <c r="FA79" s="92"/>
      <c r="FB79" s="92"/>
      <c r="FC79" s="92"/>
      <c r="FD79" s="92"/>
      <c r="FE79" s="92"/>
      <c r="FF79" s="92"/>
      <c r="FG79" s="92"/>
      <c r="FH79" s="92"/>
      <c r="FI79" s="92"/>
      <c r="FJ79" s="92"/>
      <c r="FK79" s="92"/>
      <c r="FL79" s="92"/>
      <c r="FM79" s="92"/>
      <c r="FN79" s="92"/>
      <c r="FO79" s="92"/>
      <c r="FP79" s="92"/>
      <c r="FQ79" s="92"/>
      <c r="FR79" s="92"/>
      <c r="FS79" s="92"/>
      <c r="FT79" s="92"/>
      <c r="FU79" s="92"/>
      <c r="FV79" s="92"/>
      <c r="FW79" s="92"/>
      <c r="FX79" s="92"/>
      <c r="FY79" s="92"/>
      <c r="FZ79" s="92"/>
      <c r="GA79" s="92"/>
      <c r="GB79" s="92"/>
      <c r="GC79" s="92"/>
      <c r="GD79" s="92"/>
      <c r="GE79" s="92"/>
      <c r="GF79" s="92"/>
      <c r="GG79" s="92"/>
      <c r="GH79" s="92"/>
      <c r="GI79" s="92"/>
      <c r="GJ79" s="92"/>
      <c r="GK79" s="92"/>
      <c r="GL79" s="92"/>
      <c r="GM79" s="92"/>
      <c r="GN79" s="92"/>
      <c r="GO79" s="92"/>
      <c r="GP79" s="92"/>
      <c r="GQ79" s="92"/>
      <c r="GR79" s="92"/>
      <c r="GS79" s="92"/>
      <c r="GT79" s="92"/>
      <c r="GU79" s="92"/>
      <c r="GV79" s="92"/>
      <c r="GW79" s="92"/>
      <c r="GX79" s="92"/>
      <c r="GY79" s="92"/>
      <c r="GZ79" s="92"/>
      <c r="HA79" s="92"/>
      <c r="HB79" s="92"/>
      <c r="HC79" s="92"/>
      <c r="HD79" s="92"/>
      <c r="HE79" s="92"/>
      <c r="HF79" s="92"/>
      <c r="HG79" s="92"/>
      <c r="HH79" s="92"/>
      <c r="HI79" s="92"/>
      <c r="HJ79" s="92"/>
      <c r="HK79" s="92"/>
      <c r="HL79" s="92"/>
      <c r="HM79" s="92"/>
      <c r="HN79" s="92"/>
      <c r="HO79" s="92"/>
      <c r="HP79" s="92"/>
      <c r="HQ79" s="92"/>
      <c r="HR79" s="92"/>
      <c r="HS79" s="92"/>
      <c r="HT79" s="92"/>
      <c r="HU79" s="92"/>
      <c r="HV79" s="92"/>
      <c r="HW79" s="92"/>
      <c r="HX79" s="92"/>
      <c r="HY79" s="92"/>
      <c r="HZ79" s="92"/>
      <c r="IA79" s="92"/>
      <c r="IB79" s="92"/>
      <c r="IC79" s="92"/>
      <c r="ID79" s="92"/>
      <c r="IE79" s="92"/>
      <c r="IF79" s="92"/>
      <c r="IG79" s="92"/>
      <c r="IH79" s="92"/>
      <c r="II79" s="92"/>
      <c r="IJ79" s="92"/>
      <c r="IK79" s="92"/>
      <c r="IL79" s="92"/>
      <c r="IM79" s="92"/>
      <c r="IN79" s="92"/>
      <c r="IO79" s="92"/>
      <c r="IP79" s="92"/>
      <c r="IQ79" s="92"/>
      <c r="IR79" s="92"/>
      <c r="IS79" s="92"/>
      <c r="IT79" s="92"/>
      <c r="IU79" s="92"/>
      <c r="IV79" s="92"/>
      <c r="IW79" s="92"/>
      <c r="IX79" s="92"/>
      <c r="IY79" s="92"/>
      <c r="IZ79" s="92"/>
      <c r="JA79" s="92"/>
      <c r="JB79" s="92"/>
      <c r="JC79" s="92"/>
      <c r="JD79" s="92"/>
      <c r="JE79" s="92"/>
      <c r="JF79" s="92"/>
      <c r="JG79" s="92"/>
      <c r="JH79" s="92"/>
      <c r="JI79" s="92"/>
      <c r="JJ79" s="92"/>
      <c r="JK79" s="92"/>
      <c r="JL79" s="92"/>
      <c r="JM79" s="92"/>
      <c r="JN79" s="92"/>
      <c r="JO79" s="92"/>
      <c r="JP79" s="92"/>
      <c r="JQ79" s="92"/>
      <c r="JR79" s="92"/>
      <c r="JS79" s="92"/>
      <c r="JT79" s="92"/>
      <c r="JU79" s="92"/>
      <c r="JV79" s="92"/>
      <c r="JW79" s="92"/>
      <c r="JX79" s="92"/>
      <c r="JY79" s="92"/>
      <c r="JZ79" s="92"/>
      <c r="KA79" s="92"/>
      <c r="KB79" s="92"/>
      <c r="KC79" s="92"/>
      <c r="KD79" s="92"/>
      <c r="KE79" s="92"/>
      <c r="KF79" s="92"/>
      <c r="KG79" s="92"/>
      <c r="KH79" s="92"/>
      <c r="KI79" s="92"/>
      <c r="KJ79" s="92"/>
      <c r="KK79" s="92"/>
      <c r="KL79" s="92"/>
      <c r="KM79" s="92"/>
      <c r="KN79" s="92"/>
      <c r="KO79" s="92"/>
      <c r="KP79" s="92"/>
      <c r="KQ79" s="88"/>
      <c r="KR79" s="92"/>
      <c r="KS79" s="92"/>
      <c r="KT79" s="92"/>
      <c r="KU79" s="93"/>
      <c r="KV79" s="92"/>
      <c r="KW79" s="93"/>
      <c r="KX79" s="92"/>
      <c r="KY79" s="93"/>
      <c r="KZ79" s="92"/>
      <c r="LA79" s="93"/>
      <c r="LB79" s="92"/>
      <c r="LC79" s="93"/>
      <c r="LD79" s="92"/>
      <c r="LE79" s="93"/>
      <c r="LF79" s="92"/>
      <c r="LG79" s="92"/>
      <c r="LH79" s="92"/>
      <c r="LI79" s="92"/>
      <c r="LJ79" s="92"/>
      <c r="LK79" s="92"/>
      <c r="LL79" s="92"/>
      <c r="LM79" s="92"/>
      <c r="LN79" s="92"/>
      <c r="LO79" s="92"/>
      <c r="LP79" s="88"/>
      <c r="LQ79" s="93"/>
      <c r="LR79" s="88"/>
      <c r="LS79" s="93"/>
      <c r="LT79" s="93"/>
      <c r="LU79" s="93"/>
      <c r="LV79" s="93"/>
      <c r="LW79" s="93"/>
      <c r="LX79" s="93"/>
      <c r="LY79" s="93"/>
      <c r="LZ79" s="93"/>
      <c r="MA79" s="93"/>
      <c r="MB79" s="93"/>
      <c r="MC79" s="94"/>
      <c r="MD79" s="94"/>
      <c r="ME79" s="94"/>
      <c r="MF79" s="94"/>
      <c r="MG79" s="94"/>
      <c r="MH79" s="94"/>
      <c r="MI79" s="94"/>
      <c r="MJ79" s="94"/>
      <c r="MK79" s="94"/>
      <c r="ML79" s="94"/>
      <c r="MM79" s="94"/>
      <c r="MN79" s="94"/>
      <c r="MO79" s="95"/>
      <c r="MP79" s="95"/>
      <c r="MQ79" s="94"/>
      <c r="MR79" s="94"/>
      <c r="MS79" s="94"/>
      <c r="MT79" s="94"/>
      <c r="MU79" s="94"/>
      <c r="MV79" s="94"/>
      <c r="MW79" s="94"/>
      <c r="MX79" s="94"/>
      <c r="MY79" s="94"/>
      <c r="MZ79" s="94"/>
      <c r="NA79" s="94"/>
      <c r="NB79" s="94"/>
      <c r="NC79" s="94"/>
      <c r="ND79" s="94"/>
      <c r="NE79" s="94"/>
      <c r="NF79" s="94"/>
      <c r="NG79" s="94"/>
      <c r="NH79" s="94"/>
      <c r="NI79" s="94"/>
      <c r="NJ79" s="94"/>
    </row>
    <row r="80" spans="1:374" x14ac:dyDescent="0.25">
      <c r="A80" s="88"/>
      <c r="B80" s="88"/>
      <c r="C80" s="88"/>
      <c r="D80" s="88"/>
      <c r="E80" s="89"/>
      <c r="F80" s="88"/>
      <c r="G80" s="88"/>
      <c r="H80" s="88" t="str">
        <f t="shared" si="195"/>
        <v xml:space="preserve">  </v>
      </c>
      <c r="I80" s="88"/>
      <c r="J80" s="88"/>
      <c r="K80" s="88"/>
      <c r="L80" s="88"/>
      <c r="M80" s="88"/>
      <c r="N80" s="88"/>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1"/>
      <c r="AR80" s="75"/>
      <c r="AS80" s="91"/>
      <c r="AT80" s="91"/>
      <c r="AU80" s="90"/>
      <c r="AV80" s="91"/>
      <c r="AW80" s="91"/>
      <c r="AX80" s="91"/>
      <c r="AY80" s="91"/>
      <c r="AZ80" s="91"/>
      <c r="BA80" s="91"/>
      <c r="BB80" s="90"/>
      <c r="BC80" s="91"/>
      <c r="BD80" s="75"/>
      <c r="BE80" s="91"/>
      <c r="BF80" s="91"/>
      <c r="BG80" s="90"/>
      <c r="BH80" s="91"/>
      <c r="BI80" s="91"/>
      <c r="BJ80" s="91"/>
      <c r="BK80" s="91"/>
      <c r="BL80" s="91"/>
      <c r="BM80" s="91"/>
      <c r="BN80" s="90"/>
      <c r="BO80" s="91"/>
      <c r="BP80" s="75"/>
      <c r="BQ80" s="91"/>
      <c r="BR80" s="91"/>
      <c r="BS80" s="90"/>
      <c r="BT80" s="91"/>
      <c r="BU80" s="91"/>
      <c r="BV80" s="91"/>
      <c r="BW80" s="91"/>
      <c r="BX80" s="91"/>
      <c r="BY80" s="91"/>
      <c r="BZ80" s="90"/>
      <c r="CA80" s="91"/>
      <c r="CB80" s="75"/>
      <c r="CC80" s="91"/>
      <c r="CD80" s="91"/>
      <c r="CE80" s="90"/>
      <c r="CF80" s="91"/>
      <c r="CG80" s="91"/>
      <c r="CH80" s="91"/>
      <c r="CI80" s="91"/>
      <c r="CJ80" s="91"/>
      <c r="CK80" s="91"/>
      <c r="CL80" s="90"/>
      <c r="CM80" s="91"/>
      <c r="CN80" s="75"/>
      <c r="CO80" s="91"/>
      <c r="CP80" s="91"/>
      <c r="CQ80" s="90"/>
      <c r="CR80" s="91"/>
      <c r="CS80" s="91"/>
      <c r="CT80" s="91"/>
      <c r="CU80" s="91"/>
      <c r="CV80" s="91"/>
      <c r="CW80" s="91"/>
      <c r="CX80" s="90"/>
      <c r="CY80" s="91"/>
      <c r="CZ80" s="75"/>
      <c r="DA80" s="91"/>
      <c r="DB80" s="91"/>
      <c r="DC80" s="90"/>
      <c r="DD80" s="91"/>
      <c r="DE80" s="91"/>
      <c r="DF80" s="91"/>
      <c r="DG80" s="91"/>
      <c r="DH80" s="91"/>
      <c r="DI80" s="91"/>
      <c r="DJ80" s="90"/>
      <c r="DK80" s="91"/>
      <c r="DL80" s="75"/>
      <c r="DM80" s="75"/>
      <c r="DN80" s="75">
        <f t="shared" si="194"/>
        <v>0</v>
      </c>
      <c r="DO80" s="75" t="str">
        <f t="shared" si="196"/>
        <v/>
      </c>
      <c r="DP80" s="91" t="str">
        <f>IFERROR(#REF!/#REF!*1000,"")</f>
        <v/>
      </c>
      <c r="DQ80" s="91" t="str">
        <f>IFERROR(#REF!/#REF!*1000,"")</f>
        <v/>
      </c>
      <c r="DR80" s="90"/>
      <c r="DS80" s="91" t="str">
        <f>IFERROR(#REF!/#REF!*1000,"")</f>
        <v/>
      </c>
      <c r="DT80" s="91" t="str">
        <f>IFERROR(#REF!/#REF!*1000,"")</f>
        <v/>
      </c>
      <c r="DU80" s="91"/>
      <c r="DV80" s="91"/>
      <c r="DW80" s="91"/>
      <c r="DX80" s="91"/>
      <c r="DY80" s="90"/>
      <c r="DZ80" s="91"/>
      <c r="EA80" s="75"/>
      <c r="EB80" s="91"/>
      <c r="EC80" s="91"/>
      <c r="ED80" s="90"/>
      <c r="EE80" s="91"/>
      <c r="EF80" s="91"/>
      <c r="EG80" s="91"/>
      <c r="EH80" s="91"/>
      <c r="EI80" s="91"/>
      <c r="EJ80" s="91"/>
      <c r="EK80" s="90"/>
      <c r="EL80" s="90"/>
      <c r="EM80" s="88"/>
      <c r="EN80" s="92"/>
      <c r="EO80" s="92"/>
      <c r="EP80" s="92"/>
      <c r="EQ80" s="92"/>
      <c r="ER80" s="92"/>
      <c r="ES80" s="92"/>
      <c r="ET80" s="92"/>
      <c r="EU80" s="92"/>
      <c r="EV80" s="92"/>
      <c r="EW80" s="92"/>
      <c r="EX80" s="92"/>
      <c r="EY80" s="92"/>
      <c r="EZ80" s="92"/>
      <c r="FA80" s="92"/>
      <c r="FB80" s="92"/>
      <c r="FC80" s="92"/>
      <c r="FD80" s="92"/>
      <c r="FE80" s="92"/>
      <c r="FF80" s="92"/>
      <c r="FG80" s="92"/>
      <c r="FH80" s="92"/>
      <c r="FI80" s="92"/>
      <c r="FJ80" s="92"/>
      <c r="FK80" s="92"/>
      <c r="FL80" s="92"/>
      <c r="FM80" s="92"/>
      <c r="FN80" s="92"/>
      <c r="FO80" s="92"/>
      <c r="FP80" s="92"/>
      <c r="FQ80" s="92"/>
      <c r="FR80" s="92"/>
      <c r="FS80" s="92"/>
      <c r="FT80" s="92"/>
      <c r="FU80" s="92"/>
      <c r="FV80" s="92"/>
      <c r="FW80" s="92"/>
      <c r="FX80" s="92"/>
      <c r="FY80" s="92"/>
      <c r="FZ80" s="92"/>
      <c r="GA80" s="92"/>
      <c r="GB80" s="92"/>
      <c r="GC80" s="92"/>
      <c r="GD80" s="92"/>
      <c r="GE80" s="92"/>
      <c r="GF80" s="92"/>
      <c r="GG80" s="92"/>
      <c r="GH80" s="92"/>
      <c r="GI80" s="92"/>
      <c r="GJ80" s="92"/>
      <c r="GK80" s="92"/>
      <c r="GL80" s="92"/>
      <c r="GM80" s="92"/>
      <c r="GN80" s="92"/>
      <c r="GO80" s="92"/>
      <c r="GP80" s="92"/>
      <c r="GQ80" s="92"/>
      <c r="GR80" s="92"/>
      <c r="GS80" s="92"/>
      <c r="GT80" s="92"/>
      <c r="GU80" s="92"/>
      <c r="GV80" s="92"/>
      <c r="GW80" s="92"/>
      <c r="GX80" s="92"/>
      <c r="GY80" s="92"/>
      <c r="GZ80" s="92"/>
      <c r="HA80" s="92"/>
      <c r="HB80" s="92"/>
      <c r="HC80" s="92"/>
      <c r="HD80" s="92"/>
      <c r="HE80" s="92"/>
      <c r="HF80" s="92"/>
      <c r="HG80" s="92"/>
      <c r="HH80" s="92"/>
      <c r="HI80" s="92"/>
      <c r="HJ80" s="92"/>
      <c r="HK80" s="92"/>
      <c r="HL80" s="92"/>
      <c r="HM80" s="92"/>
      <c r="HN80" s="92"/>
      <c r="HO80" s="92"/>
      <c r="HP80" s="92"/>
      <c r="HQ80" s="92"/>
      <c r="HR80" s="92"/>
      <c r="HS80" s="92"/>
      <c r="HT80" s="92"/>
      <c r="HU80" s="92"/>
      <c r="HV80" s="92"/>
      <c r="HW80" s="92"/>
      <c r="HX80" s="92"/>
      <c r="HY80" s="92"/>
      <c r="HZ80" s="92"/>
      <c r="IA80" s="92"/>
      <c r="IB80" s="92"/>
      <c r="IC80" s="92"/>
      <c r="ID80" s="92"/>
      <c r="IE80" s="92"/>
      <c r="IF80" s="92"/>
      <c r="IG80" s="92"/>
      <c r="IH80" s="92"/>
      <c r="II80" s="92"/>
      <c r="IJ80" s="92"/>
      <c r="IK80" s="92"/>
      <c r="IL80" s="92"/>
      <c r="IM80" s="92"/>
      <c r="IN80" s="92"/>
      <c r="IO80" s="92"/>
      <c r="IP80" s="92"/>
      <c r="IQ80" s="92"/>
      <c r="IR80" s="92"/>
      <c r="IS80" s="92"/>
      <c r="IT80" s="92"/>
      <c r="IU80" s="92"/>
      <c r="IV80" s="92"/>
      <c r="IW80" s="92"/>
      <c r="IX80" s="92"/>
      <c r="IY80" s="92"/>
      <c r="IZ80" s="92"/>
      <c r="JA80" s="92"/>
      <c r="JB80" s="92"/>
      <c r="JC80" s="92"/>
      <c r="JD80" s="92"/>
      <c r="JE80" s="92"/>
      <c r="JF80" s="92"/>
      <c r="JG80" s="92"/>
      <c r="JH80" s="92"/>
      <c r="JI80" s="92"/>
      <c r="JJ80" s="92"/>
      <c r="JK80" s="92"/>
      <c r="JL80" s="92"/>
      <c r="JM80" s="92"/>
      <c r="JN80" s="92"/>
      <c r="JO80" s="92"/>
      <c r="JP80" s="92"/>
      <c r="JQ80" s="92"/>
      <c r="JR80" s="92"/>
      <c r="JS80" s="92"/>
      <c r="JT80" s="92"/>
      <c r="JU80" s="92"/>
      <c r="JV80" s="92"/>
      <c r="JW80" s="92"/>
      <c r="JX80" s="92"/>
      <c r="JY80" s="92"/>
      <c r="JZ80" s="92"/>
      <c r="KA80" s="92"/>
      <c r="KB80" s="92"/>
      <c r="KC80" s="92"/>
      <c r="KD80" s="92"/>
      <c r="KE80" s="92"/>
      <c r="KF80" s="92"/>
      <c r="KG80" s="92"/>
      <c r="KH80" s="92"/>
      <c r="KI80" s="92"/>
      <c r="KJ80" s="92"/>
      <c r="KK80" s="92"/>
      <c r="KL80" s="92"/>
      <c r="KM80" s="92"/>
      <c r="KN80" s="92"/>
      <c r="KO80" s="92"/>
      <c r="KP80" s="92"/>
      <c r="KQ80" s="88"/>
      <c r="KR80" s="92"/>
      <c r="KS80" s="92"/>
      <c r="KT80" s="92"/>
      <c r="KU80" s="93"/>
      <c r="KV80" s="92"/>
      <c r="KW80" s="93"/>
      <c r="KX80" s="92"/>
      <c r="KY80" s="93"/>
      <c r="KZ80" s="92"/>
      <c r="LA80" s="93"/>
      <c r="LB80" s="92"/>
      <c r="LC80" s="93"/>
      <c r="LD80" s="92"/>
      <c r="LE80" s="93"/>
      <c r="LF80" s="92"/>
      <c r="LG80" s="92"/>
      <c r="LH80" s="92"/>
      <c r="LI80" s="92"/>
      <c r="LJ80" s="92"/>
      <c r="LK80" s="92"/>
      <c r="LL80" s="92"/>
      <c r="LM80" s="92"/>
      <c r="LN80" s="92"/>
      <c r="LO80" s="92"/>
      <c r="LP80" s="88"/>
      <c r="LQ80" s="93"/>
      <c r="LR80" s="88"/>
      <c r="LS80" s="93"/>
      <c r="LT80" s="93"/>
      <c r="LU80" s="93"/>
      <c r="LV80" s="93"/>
      <c r="LW80" s="93"/>
      <c r="LX80" s="93"/>
      <c r="LY80" s="93"/>
      <c r="LZ80" s="93"/>
      <c r="MA80" s="93"/>
      <c r="MB80" s="93"/>
      <c r="MC80" s="94"/>
      <c r="MD80" s="94"/>
      <c r="ME80" s="94"/>
      <c r="MF80" s="94"/>
      <c r="MG80" s="94"/>
      <c r="MH80" s="94"/>
      <c r="MI80" s="94"/>
      <c r="MJ80" s="94"/>
      <c r="MK80" s="94"/>
      <c r="ML80" s="94"/>
      <c r="MM80" s="94"/>
      <c r="MN80" s="94"/>
      <c r="MO80" s="95"/>
      <c r="MP80" s="95"/>
      <c r="MQ80" s="94"/>
      <c r="MR80" s="94"/>
      <c r="MS80" s="94"/>
      <c r="MT80" s="94"/>
      <c r="MU80" s="94"/>
      <c r="MV80" s="94"/>
      <c r="MW80" s="94"/>
      <c r="MX80" s="94"/>
      <c r="MY80" s="94"/>
      <c r="MZ80" s="94"/>
      <c r="NA80" s="94"/>
      <c r="NB80" s="94"/>
      <c r="NC80" s="94"/>
      <c r="ND80" s="94"/>
      <c r="NE80" s="94"/>
      <c r="NF80" s="94"/>
      <c r="NG80" s="94"/>
      <c r="NH80" s="94"/>
      <c r="NI80" s="94"/>
      <c r="NJ80" s="94"/>
    </row>
    <row r="81" spans="1:374" x14ac:dyDescent="0.25">
      <c r="A81" s="88"/>
      <c r="B81" s="88"/>
      <c r="C81" s="88"/>
      <c r="D81" s="88"/>
      <c r="E81" s="89"/>
      <c r="F81" s="88"/>
      <c r="G81" s="88"/>
      <c r="H81" s="88" t="str">
        <f t="shared" si="195"/>
        <v xml:space="preserve">  </v>
      </c>
      <c r="I81" s="88"/>
      <c r="J81" s="88"/>
      <c r="K81" s="88"/>
      <c r="L81" s="88"/>
      <c r="M81" s="88"/>
      <c r="N81" s="88"/>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1"/>
      <c r="AR81" s="75"/>
      <c r="AS81" s="91"/>
      <c r="AT81" s="91"/>
      <c r="AU81" s="90"/>
      <c r="AV81" s="91"/>
      <c r="AW81" s="91"/>
      <c r="AX81" s="91"/>
      <c r="AY81" s="91"/>
      <c r="AZ81" s="91"/>
      <c r="BA81" s="91"/>
      <c r="BB81" s="90"/>
      <c r="BC81" s="91"/>
      <c r="BD81" s="75"/>
      <c r="BE81" s="91"/>
      <c r="BF81" s="91"/>
      <c r="BG81" s="90"/>
      <c r="BH81" s="91"/>
      <c r="BI81" s="91"/>
      <c r="BJ81" s="91"/>
      <c r="BK81" s="91"/>
      <c r="BL81" s="91"/>
      <c r="BM81" s="91"/>
      <c r="BN81" s="90"/>
      <c r="BO81" s="91"/>
      <c r="BP81" s="75"/>
      <c r="BQ81" s="91"/>
      <c r="BR81" s="91"/>
      <c r="BS81" s="90"/>
      <c r="BT81" s="91"/>
      <c r="BU81" s="91"/>
      <c r="BV81" s="91"/>
      <c r="BW81" s="91"/>
      <c r="BX81" s="91"/>
      <c r="BY81" s="91"/>
      <c r="BZ81" s="90"/>
      <c r="CA81" s="91"/>
      <c r="CB81" s="75"/>
      <c r="CC81" s="91"/>
      <c r="CD81" s="91"/>
      <c r="CE81" s="90"/>
      <c r="CF81" s="91"/>
      <c r="CG81" s="91"/>
      <c r="CH81" s="91"/>
      <c r="CI81" s="91"/>
      <c r="CJ81" s="91"/>
      <c r="CK81" s="91"/>
      <c r="CL81" s="90"/>
      <c r="CM81" s="91"/>
      <c r="CN81" s="75"/>
      <c r="CO81" s="91"/>
      <c r="CP81" s="91"/>
      <c r="CQ81" s="90"/>
      <c r="CR81" s="91"/>
      <c r="CS81" s="91"/>
      <c r="CT81" s="91"/>
      <c r="CU81" s="91"/>
      <c r="CV81" s="91"/>
      <c r="CW81" s="91"/>
      <c r="CX81" s="90"/>
      <c r="CY81" s="91"/>
      <c r="CZ81" s="75"/>
      <c r="DA81" s="91"/>
      <c r="DB81" s="91"/>
      <c r="DC81" s="90"/>
      <c r="DD81" s="91"/>
      <c r="DE81" s="91"/>
      <c r="DF81" s="91"/>
      <c r="DG81" s="91"/>
      <c r="DH81" s="91"/>
      <c r="DI81" s="91"/>
      <c r="DJ81" s="90"/>
      <c r="DK81" s="91"/>
      <c r="DL81" s="75"/>
      <c r="DM81" s="75"/>
      <c r="DN81" s="75">
        <f t="shared" si="194"/>
        <v>0</v>
      </c>
      <c r="DO81" s="75" t="str">
        <f t="shared" si="196"/>
        <v/>
      </c>
      <c r="DP81" s="91" t="str">
        <f>IFERROR(#REF!/#REF!*1000,"")</f>
        <v/>
      </c>
      <c r="DQ81" s="91" t="str">
        <f>IFERROR(#REF!/#REF!*1000,"")</f>
        <v/>
      </c>
      <c r="DR81" s="90"/>
      <c r="DS81" s="91" t="str">
        <f>IFERROR(#REF!/#REF!*1000,"")</f>
        <v/>
      </c>
      <c r="DT81" s="91" t="str">
        <f>IFERROR(#REF!/#REF!*1000,"")</f>
        <v/>
      </c>
      <c r="DU81" s="91"/>
      <c r="DV81" s="91"/>
      <c r="DW81" s="91"/>
      <c r="DX81" s="91"/>
      <c r="DY81" s="90"/>
      <c r="DZ81" s="91"/>
      <c r="EA81" s="75"/>
      <c r="EB81" s="91"/>
      <c r="EC81" s="91"/>
      <c r="ED81" s="90"/>
      <c r="EE81" s="91"/>
      <c r="EF81" s="91"/>
      <c r="EG81" s="91"/>
      <c r="EH81" s="91"/>
      <c r="EI81" s="91"/>
      <c r="EJ81" s="91"/>
      <c r="EK81" s="90"/>
      <c r="EL81" s="90"/>
      <c r="EM81" s="88"/>
      <c r="EN81" s="92"/>
      <c r="EO81" s="92"/>
      <c r="EP81" s="92"/>
      <c r="EQ81" s="92"/>
      <c r="ER81" s="92"/>
      <c r="ES81" s="92"/>
      <c r="ET81" s="92"/>
      <c r="EU81" s="92"/>
      <c r="EV81" s="92"/>
      <c r="EW81" s="92"/>
      <c r="EX81" s="92"/>
      <c r="EY81" s="92"/>
      <c r="EZ81" s="92"/>
      <c r="FA81" s="92"/>
      <c r="FB81" s="92"/>
      <c r="FC81" s="92"/>
      <c r="FD81" s="92"/>
      <c r="FE81" s="92"/>
      <c r="FF81" s="92"/>
      <c r="FG81" s="92"/>
      <c r="FH81" s="92"/>
      <c r="FI81" s="92"/>
      <c r="FJ81" s="92"/>
      <c r="FK81" s="92"/>
      <c r="FL81" s="92"/>
      <c r="FM81" s="92"/>
      <c r="FN81" s="92"/>
      <c r="FO81" s="92"/>
      <c r="FP81" s="92"/>
      <c r="FQ81" s="92"/>
      <c r="FR81" s="92"/>
      <c r="FS81" s="92"/>
      <c r="FT81" s="92"/>
      <c r="FU81" s="92"/>
      <c r="FV81" s="92"/>
      <c r="FW81" s="92"/>
      <c r="FX81" s="92"/>
      <c r="FY81" s="92"/>
      <c r="FZ81" s="92"/>
      <c r="GA81" s="92"/>
      <c r="GB81" s="92"/>
      <c r="GC81" s="92"/>
      <c r="GD81" s="92"/>
      <c r="GE81" s="92"/>
      <c r="GF81" s="92"/>
      <c r="GG81" s="92"/>
      <c r="GH81" s="92"/>
      <c r="GI81" s="92"/>
      <c r="GJ81" s="92"/>
      <c r="GK81" s="92"/>
      <c r="GL81" s="92"/>
      <c r="GM81" s="92"/>
      <c r="GN81" s="92"/>
      <c r="GO81" s="92"/>
      <c r="GP81" s="92"/>
      <c r="GQ81" s="92"/>
      <c r="GR81" s="92"/>
      <c r="GS81" s="92"/>
      <c r="GT81" s="92"/>
      <c r="GU81" s="92"/>
      <c r="GV81" s="92"/>
      <c r="GW81" s="92"/>
      <c r="GX81" s="92"/>
      <c r="GY81" s="92"/>
      <c r="GZ81" s="92"/>
      <c r="HA81" s="92"/>
      <c r="HB81" s="92"/>
      <c r="HC81" s="92"/>
      <c r="HD81" s="92"/>
      <c r="HE81" s="92"/>
      <c r="HF81" s="92"/>
      <c r="HG81" s="92"/>
      <c r="HH81" s="92"/>
      <c r="HI81" s="92"/>
      <c r="HJ81" s="92"/>
      <c r="HK81" s="92"/>
      <c r="HL81" s="92"/>
      <c r="HM81" s="92"/>
      <c r="HN81" s="92"/>
      <c r="HO81" s="92"/>
      <c r="HP81" s="92"/>
      <c r="HQ81" s="92"/>
      <c r="HR81" s="92"/>
      <c r="HS81" s="92"/>
      <c r="HT81" s="92"/>
      <c r="HU81" s="92"/>
      <c r="HV81" s="92"/>
      <c r="HW81" s="92"/>
      <c r="HX81" s="92"/>
      <c r="HY81" s="92"/>
      <c r="HZ81" s="92"/>
      <c r="IA81" s="92"/>
      <c r="IB81" s="92"/>
      <c r="IC81" s="92"/>
      <c r="ID81" s="92"/>
      <c r="IE81" s="92"/>
      <c r="IF81" s="92"/>
      <c r="IG81" s="92"/>
      <c r="IH81" s="92"/>
      <c r="II81" s="92"/>
      <c r="IJ81" s="92"/>
      <c r="IK81" s="92"/>
      <c r="IL81" s="92"/>
      <c r="IM81" s="92"/>
      <c r="IN81" s="92"/>
      <c r="IO81" s="92"/>
      <c r="IP81" s="92"/>
      <c r="IQ81" s="92"/>
      <c r="IR81" s="92"/>
      <c r="IS81" s="92"/>
      <c r="IT81" s="92"/>
      <c r="IU81" s="92"/>
      <c r="IV81" s="92"/>
      <c r="IW81" s="92"/>
      <c r="IX81" s="92"/>
      <c r="IY81" s="92"/>
      <c r="IZ81" s="92"/>
      <c r="JA81" s="92"/>
      <c r="JB81" s="92"/>
      <c r="JC81" s="92"/>
      <c r="JD81" s="92"/>
      <c r="JE81" s="92"/>
      <c r="JF81" s="92"/>
      <c r="JG81" s="92"/>
      <c r="JH81" s="92"/>
      <c r="JI81" s="92"/>
      <c r="JJ81" s="92"/>
      <c r="JK81" s="92"/>
      <c r="JL81" s="92"/>
      <c r="JM81" s="92"/>
      <c r="JN81" s="92"/>
      <c r="JO81" s="92"/>
      <c r="JP81" s="92"/>
      <c r="JQ81" s="92"/>
      <c r="JR81" s="92"/>
      <c r="JS81" s="92"/>
      <c r="JT81" s="92"/>
      <c r="JU81" s="92"/>
      <c r="JV81" s="92"/>
      <c r="JW81" s="92"/>
      <c r="JX81" s="92"/>
      <c r="JY81" s="92"/>
      <c r="JZ81" s="92"/>
      <c r="KA81" s="92"/>
      <c r="KB81" s="92"/>
      <c r="KC81" s="92"/>
      <c r="KD81" s="92"/>
      <c r="KE81" s="92"/>
      <c r="KF81" s="92"/>
      <c r="KG81" s="92"/>
      <c r="KH81" s="92"/>
      <c r="KI81" s="92"/>
      <c r="KJ81" s="92"/>
      <c r="KK81" s="92"/>
      <c r="KL81" s="92"/>
      <c r="KM81" s="92"/>
      <c r="KN81" s="92"/>
      <c r="KO81" s="92"/>
      <c r="KP81" s="92"/>
      <c r="KQ81" s="88"/>
      <c r="KR81" s="92"/>
      <c r="KS81" s="92"/>
      <c r="KT81" s="92"/>
      <c r="KU81" s="93"/>
      <c r="KV81" s="92"/>
      <c r="KW81" s="93"/>
      <c r="KX81" s="92"/>
      <c r="KY81" s="93"/>
      <c r="KZ81" s="92"/>
      <c r="LA81" s="93"/>
      <c r="LB81" s="92"/>
      <c r="LC81" s="93"/>
      <c r="LD81" s="92"/>
      <c r="LE81" s="93"/>
      <c r="LF81" s="92"/>
      <c r="LG81" s="92"/>
      <c r="LH81" s="92"/>
      <c r="LI81" s="92"/>
      <c r="LJ81" s="92"/>
      <c r="LK81" s="92"/>
      <c r="LL81" s="92"/>
      <c r="LM81" s="92"/>
      <c r="LN81" s="92"/>
      <c r="LO81" s="92"/>
      <c r="LP81" s="88"/>
      <c r="LQ81" s="93"/>
      <c r="LR81" s="88"/>
      <c r="LS81" s="93"/>
      <c r="LT81" s="93"/>
      <c r="LU81" s="93"/>
      <c r="LV81" s="93"/>
      <c r="LW81" s="93"/>
      <c r="LX81" s="93"/>
      <c r="LY81" s="93"/>
      <c r="LZ81" s="93"/>
      <c r="MA81" s="93"/>
      <c r="MB81" s="93"/>
      <c r="MC81" s="94"/>
      <c r="MD81" s="94"/>
      <c r="ME81" s="94"/>
      <c r="MF81" s="94"/>
      <c r="MG81" s="94"/>
      <c r="MH81" s="94"/>
      <c r="MI81" s="94"/>
      <c r="MJ81" s="94"/>
      <c r="MK81" s="94"/>
      <c r="ML81" s="94"/>
      <c r="MM81" s="94"/>
      <c r="MN81" s="94"/>
      <c r="MO81" s="95"/>
      <c r="MP81" s="95"/>
      <c r="MQ81" s="94"/>
      <c r="MR81" s="94"/>
      <c r="MS81" s="94"/>
      <c r="MT81" s="94"/>
      <c r="MU81" s="94"/>
      <c r="MV81" s="94"/>
      <c r="MW81" s="94"/>
      <c r="MX81" s="94"/>
      <c r="MY81" s="94"/>
      <c r="MZ81" s="94"/>
      <c r="NA81" s="94"/>
      <c r="NB81" s="94"/>
      <c r="NC81" s="94"/>
      <c r="ND81" s="94"/>
      <c r="NE81" s="94"/>
      <c r="NF81" s="94"/>
      <c r="NG81" s="94"/>
      <c r="NH81" s="94"/>
      <c r="NI81" s="94"/>
      <c r="NJ81" s="94"/>
    </row>
    <row r="82" spans="1:374" x14ac:dyDescent="0.25">
      <c r="A82" s="88"/>
      <c r="B82" s="88"/>
      <c r="C82" s="88"/>
      <c r="D82" s="88"/>
      <c r="E82" s="89"/>
      <c r="F82" s="88"/>
      <c r="G82" s="88"/>
      <c r="H82" s="88" t="str">
        <f t="shared" si="195"/>
        <v xml:space="preserve">  </v>
      </c>
      <c r="I82" s="88"/>
      <c r="J82" s="88"/>
      <c r="K82" s="88"/>
      <c r="L82" s="88"/>
      <c r="M82" s="88"/>
      <c r="N82" s="88"/>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1"/>
      <c r="AR82" s="75"/>
      <c r="AS82" s="91"/>
      <c r="AT82" s="91"/>
      <c r="AU82" s="90"/>
      <c r="AV82" s="91"/>
      <c r="AW82" s="91"/>
      <c r="AX82" s="91"/>
      <c r="AY82" s="91"/>
      <c r="AZ82" s="91"/>
      <c r="BA82" s="91"/>
      <c r="BB82" s="90"/>
      <c r="BC82" s="91"/>
      <c r="BD82" s="75"/>
      <c r="BE82" s="91"/>
      <c r="BF82" s="91"/>
      <c r="BG82" s="90"/>
      <c r="BH82" s="91"/>
      <c r="BI82" s="91"/>
      <c r="BJ82" s="91"/>
      <c r="BK82" s="91"/>
      <c r="BL82" s="91"/>
      <c r="BM82" s="91"/>
      <c r="BN82" s="90"/>
      <c r="BO82" s="91"/>
      <c r="BP82" s="75"/>
      <c r="BQ82" s="91"/>
      <c r="BR82" s="91"/>
      <c r="BS82" s="90"/>
      <c r="BT82" s="91"/>
      <c r="BU82" s="91"/>
      <c r="BV82" s="91"/>
      <c r="BW82" s="91"/>
      <c r="BX82" s="91"/>
      <c r="BY82" s="91"/>
      <c r="BZ82" s="90"/>
      <c r="CA82" s="91"/>
      <c r="CB82" s="75"/>
      <c r="CC82" s="91"/>
      <c r="CD82" s="91"/>
      <c r="CE82" s="90"/>
      <c r="CF82" s="91"/>
      <c r="CG82" s="91"/>
      <c r="CH82" s="91"/>
      <c r="CI82" s="91"/>
      <c r="CJ82" s="91"/>
      <c r="CK82" s="91"/>
      <c r="CL82" s="90"/>
      <c r="CM82" s="91"/>
      <c r="CN82" s="75"/>
      <c r="CO82" s="91"/>
      <c r="CP82" s="91"/>
      <c r="CQ82" s="90"/>
      <c r="CR82" s="91"/>
      <c r="CS82" s="91"/>
      <c r="CT82" s="91"/>
      <c r="CU82" s="91"/>
      <c r="CV82" s="91"/>
      <c r="CW82" s="91"/>
      <c r="CX82" s="90"/>
      <c r="CY82" s="91"/>
      <c r="CZ82" s="75"/>
      <c r="DA82" s="91"/>
      <c r="DB82" s="91"/>
      <c r="DC82" s="90"/>
      <c r="DD82" s="91"/>
      <c r="DE82" s="91"/>
      <c r="DF82" s="91"/>
      <c r="DG82" s="91"/>
      <c r="DH82" s="91"/>
      <c r="DI82" s="91"/>
      <c r="DJ82" s="90"/>
      <c r="DK82" s="91"/>
      <c r="DL82" s="75"/>
      <c r="DM82" s="75"/>
      <c r="DN82" s="75">
        <f t="shared" si="194"/>
        <v>0</v>
      </c>
      <c r="DO82" s="75" t="str">
        <f t="shared" si="196"/>
        <v/>
      </c>
      <c r="DP82" s="91" t="str">
        <f>IFERROR(#REF!/#REF!*1000,"")</f>
        <v/>
      </c>
      <c r="DQ82" s="91" t="str">
        <f>IFERROR(#REF!/#REF!*1000,"")</f>
        <v/>
      </c>
      <c r="DR82" s="90"/>
      <c r="DS82" s="91" t="str">
        <f>IFERROR(#REF!/#REF!*1000,"")</f>
        <v/>
      </c>
      <c r="DT82" s="91" t="str">
        <f>IFERROR(#REF!/#REF!*1000,"")</f>
        <v/>
      </c>
      <c r="DU82" s="91"/>
      <c r="DV82" s="91"/>
      <c r="DW82" s="91"/>
      <c r="DX82" s="91"/>
      <c r="DY82" s="90"/>
      <c r="DZ82" s="91"/>
      <c r="EA82" s="75"/>
      <c r="EB82" s="91"/>
      <c r="EC82" s="91"/>
      <c r="ED82" s="90"/>
      <c r="EE82" s="91"/>
      <c r="EF82" s="91"/>
      <c r="EG82" s="91"/>
      <c r="EH82" s="91"/>
      <c r="EI82" s="91"/>
      <c r="EJ82" s="91"/>
      <c r="EK82" s="90"/>
      <c r="EL82" s="90"/>
      <c r="EM82" s="88"/>
      <c r="EN82" s="92"/>
      <c r="EO82" s="92"/>
      <c r="EP82" s="92"/>
      <c r="EQ82" s="92"/>
      <c r="ER82" s="92"/>
      <c r="ES82" s="92"/>
      <c r="ET82" s="92"/>
      <c r="EU82" s="92"/>
      <c r="EV82" s="92"/>
      <c r="EW82" s="92"/>
      <c r="EX82" s="92"/>
      <c r="EY82" s="92"/>
      <c r="EZ82" s="92"/>
      <c r="FA82" s="92"/>
      <c r="FB82" s="92"/>
      <c r="FC82" s="92"/>
      <c r="FD82" s="92"/>
      <c r="FE82" s="92"/>
      <c r="FF82" s="92"/>
      <c r="FG82" s="92"/>
      <c r="FH82" s="92"/>
      <c r="FI82" s="92"/>
      <c r="FJ82" s="92"/>
      <c r="FK82" s="92"/>
      <c r="FL82" s="92"/>
      <c r="FM82" s="92"/>
      <c r="FN82" s="92"/>
      <c r="FO82" s="92"/>
      <c r="FP82" s="92"/>
      <c r="FQ82" s="92"/>
      <c r="FR82" s="92"/>
      <c r="FS82" s="92"/>
      <c r="FT82" s="92"/>
      <c r="FU82" s="92"/>
      <c r="FV82" s="92"/>
      <c r="FW82" s="92"/>
      <c r="FX82" s="92"/>
      <c r="FY82" s="92"/>
      <c r="FZ82" s="92"/>
      <c r="GA82" s="92"/>
      <c r="GB82" s="92"/>
      <c r="GC82" s="92"/>
      <c r="GD82" s="92"/>
      <c r="GE82" s="92"/>
      <c r="GF82" s="92"/>
      <c r="GG82" s="92"/>
      <c r="GH82" s="92"/>
      <c r="GI82" s="92"/>
      <c r="GJ82" s="92"/>
      <c r="GK82" s="92"/>
      <c r="GL82" s="92"/>
      <c r="GM82" s="92"/>
      <c r="GN82" s="92"/>
      <c r="GO82" s="92"/>
      <c r="GP82" s="92"/>
      <c r="GQ82" s="92"/>
      <c r="GR82" s="92"/>
      <c r="GS82" s="92"/>
      <c r="GT82" s="92"/>
      <c r="GU82" s="92"/>
      <c r="GV82" s="92"/>
      <c r="GW82" s="92"/>
      <c r="GX82" s="92"/>
      <c r="GY82" s="92"/>
      <c r="GZ82" s="92"/>
      <c r="HA82" s="92"/>
      <c r="HB82" s="92"/>
      <c r="HC82" s="92"/>
      <c r="HD82" s="92"/>
      <c r="HE82" s="92"/>
      <c r="HF82" s="92"/>
      <c r="HG82" s="92"/>
      <c r="HH82" s="92"/>
      <c r="HI82" s="92"/>
      <c r="HJ82" s="92"/>
      <c r="HK82" s="92"/>
      <c r="HL82" s="92"/>
      <c r="HM82" s="92"/>
      <c r="HN82" s="92"/>
      <c r="HO82" s="92"/>
      <c r="HP82" s="92"/>
      <c r="HQ82" s="92"/>
      <c r="HR82" s="92"/>
      <c r="HS82" s="92"/>
      <c r="HT82" s="92"/>
      <c r="HU82" s="92"/>
      <c r="HV82" s="92"/>
      <c r="HW82" s="92"/>
      <c r="HX82" s="92"/>
      <c r="HY82" s="92"/>
      <c r="HZ82" s="92"/>
      <c r="IA82" s="92"/>
      <c r="IB82" s="92"/>
      <c r="IC82" s="92"/>
      <c r="ID82" s="92"/>
      <c r="IE82" s="92"/>
      <c r="IF82" s="92"/>
      <c r="IG82" s="92"/>
      <c r="IH82" s="92"/>
      <c r="II82" s="92"/>
      <c r="IJ82" s="92"/>
      <c r="IK82" s="92"/>
      <c r="IL82" s="92"/>
      <c r="IM82" s="92"/>
      <c r="IN82" s="92"/>
      <c r="IO82" s="92"/>
      <c r="IP82" s="92"/>
      <c r="IQ82" s="92"/>
      <c r="IR82" s="92"/>
      <c r="IS82" s="92"/>
      <c r="IT82" s="92"/>
      <c r="IU82" s="92"/>
      <c r="IV82" s="92"/>
      <c r="IW82" s="92"/>
      <c r="IX82" s="92"/>
      <c r="IY82" s="92"/>
      <c r="IZ82" s="92"/>
      <c r="JA82" s="92"/>
      <c r="JB82" s="92"/>
      <c r="JC82" s="92"/>
      <c r="JD82" s="92"/>
      <c r="JE82" s="92"/>
      <c r="JF82" s="92"/>
      <c r="JG82" s="92"/>
      <c r="JH82" s="92"/>
      <c r="JI82" s="92"/>
      <c r="JJ82" s="92"/>
      <c r="JK82" s="92"/>
      <c r="JL82" s="92"/>
      <c r="JM82" s="92"/>
      <c r="JN82" s="92"/>
      <c r="JO82" s="92"/>
      <c r="JP82" s="92"/>
      <c r="JQ82" s="92"/>
      <c r="JR82" s="92"/>
      <c r="JS82" s="92"/>
      <c r="JT82" s="92"/>
      <c r="JU82" s="92"/>
      <c r="JV82" s="92"/>
      <c r="JW82" s="92"/>
      <c r="JX82" s="92"/>
      <c r="JY82" s="92"/>
      <c r="JZ82" s="92"/>
      <c r="KA82" s="92"/>
      <c r="KB82" s="92"/>
      <c r="KC82" s="92"/>
      <c r="KD82" s="92"/>
      <c r="KE82" s="92"/>
      <c r="KF82" s="92"/>
      <c r="KG82" s="92"/>
      <c r="KH82" s="92"/>
      <c r="KI82" s="92"/>
      <c r="KJ82" s="92"/>
      <c r="KK82" s="92"/>
      <c r="KL82" s="92"/>
      <c r="KM82" s="92"/>
      <c r="KN82" s="92"/>
      <c r="KO82" s="92"/>
      <c r="KP82" s="92"/>
      <c r="KQ82" s="88"/>
      <c r="KR82" s="92"/>
      <c r="KS82" s="92"/>
      <c r="KT82" s="92"/>
      <c r="KU82" s="93"/>
      <c r="KV82" s="92"/>
      <c r="KW82" s="93"/>
      <c r="KX82" s="92"/>
      <c r="KY82" s="93"/>
      <c r="KZ82" s="92"/>
      <c r="LA82" s="93"/>
      <c r="LB82" s="92"/>
      <c r="LC82" s="93"/>
      <c r="LD82" s="92"/>
      <c r="LE82" s="93"/>
      <c r="LF82" s="92"/>
      <c r="LG82" s="92"/>
      <c r="LH82" s="92"/>
      <c r="LI82" s="92"/>
      <c r="LJ82" s="92"/>
      <c r="LK82" s="92"/>
      <c r="LL82" s="92"/>
      <c r="LM82" s="92"/>
      <c r="LN82" s="92"/>
      <c r="LO82" s="92"/>
      <c r="LP82" s="88"/>
      <c r="LQ82" s="93"/>
      <c r="LR82" s="88"/>
      <c r="LS82" s="93"/>
      <c r="LT82" s="93"/>
      <c r="LU82" s="93"/>
      <c r="LV82" s="93"/>
      <c r="LW82" s="93"/>
      <c r="LX82" s="93"/>
      <c r="LY82" s="93"/>
      <c r="LZ82" s="93"/>
      <c r="MA82" s="93"/>
      <c r="MB82" s="93"/>
      <c r="MC82" s="94"/>
      <c r="MD82" s="94"/>
      <c r="ME82" s="94"/>
      <c r="MF82" s="94"/>
      <c r="MG82" s="94"/>
      <c r="MH82" s="94"/>
      <c r="MI82" s="94"/>
      <c r="MJ82" s="94"/>
      <c r="MK82" s="94"/>
      <c r="ML82" s="94"/>
      <c r="MM82" s="94"/>
      <c r="MN82" s="94"/>
      <c r="MO82" s="95"/>
      <c r="MP82" s="95"/>
      <c r="MQ82" s="94"/>
      <c r="MR82" s="94"/>
      <c r="MS82" s="94"/>
      <c r="MT82" s="94"/>
      <c r="MU82" s="94"/>
      <c r="MV82" s="94"/>
      <c r="MW82" s="94"/>
      <c r="MX82" s="94"/>
      <c r="MY82" s="94"/>
      <c r="MZ82" s="94"/>
      <c r="NA82" s="94"/>
      <c r="NB82" s="94"/>
      <c r="NC82" s="94"/>
      <c r="ND82" s="94"/>
      <c r="NE82" s="94"/>
      <c r="NF82" s="94"/>
      <c r="NG82" s="94"/>
      <c r="NH82" s="94"/>
      <c r="NI82" s="94"/>
      <c r="NJ82" s="94"/>
    </row>
    <row r="83" spans="1:374" x14ac:dyDescent="0.25">
      <c r="A83" s="88"/>
      <c r="B83" s="88"/>
      <c r="C83" s="88"/>
      <c r="D83" s="88"/>
      <c r="E83" s="89"/>
      <c r="F83" s="88"/>
      <c r="G83" s="88"/>
      <c r="H83" s="88" t="str">
        <f t="shared" si="195"/>
        <v xml:space="preserve">  </v>
      </c>
      <c r="I83" s="88"/>
      <c r="J83" s="88"/>
      <c r="K83" s="88"/>
      <c r="L83" s="88"/>
      <c r="M83" s="88"/>
      <c r="N83" s="88"/>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1"/>
      <c r="AR83" s="75"/>
      <c r="AS83" s="91"/>
      <c r="AT83" s="91"/>
      <c r="AU83" s="90"/>
      <c r="AV83" s="91"/>
      <c r="AW83" s="91"/>
      <c r="AX83" s="91"/>
      <c r="AY83" s="91"/>
      <c r="AZ83" s="91"/>
      <c r="BA83" s="91"/>
      <c r="BB83" s="90"/>
      <c r="BC83" s="91"/>
      <c r="BD83" s="75"/>
      <c r="BE83" s="91"/>
      <c r="BF83" s="91"/>
      <c r="BG83" s="90"/>
      <c r="BH83" s="91"/>
      <c r="BI83" s="91"/>
      <c r="BJ83" s="91"/>
      <c r="BK83" s="91"/>
      <c r="BL83" s="91"/>
      <c r="BM83" s="91"/>
      <c r="BN83" s="90"/>
      <c r="BO83" s="91"/>
      <c r="BP83" s="75"/>
      <c r="BQ83" s="91"/>
      <c r="BR83" s="91"/>
      <c r="BS83" s="90"/>
      <c r="BT83" s="91"/>
      <c r="BU83" s="91"/>
      <c r="BV83" s="91"/>
      <c r="BW83" s="91"/>
      <c r="BX83" s="91"/>
      <c r="BY83" s="91"/>
      <c r="BZ83" s="90"/>
      <c r="CA83" s="91"/>
      <c r="CB83" s="75"/>
      <c r="CC83" s="91"/>
      <c r="CD83" s="91"/>
      <c r="CE83" s="90"/>
      <c r="CF83" s="91"/>
      <c r="CG83" s="91"/>
      <c r="CH83" s="91"/>
      <c r="CI83" s="91"/>
      <c r="CJ83" s="91"/>
      <c r="CK83" s="91"/>
      <c r="CL83" s="90"/>
      <c r="CM83" s="91"/>
      <c r="CN83" s="75"/>
      <c r="CO83" s="91"/>
      <c r="CP83" s="91"/>
      <c r="CQ83" s="90"/>
      <c r="CR83" s="91"/>
      <c r="CS83" s="91"/>
      <c r="CT83" s="91"/>
      <c r="CU83" s="91"/>
      <c r="CV83" s="91"/>
      <c r="CW83" s="91"/>
      <c r="CX83" s="90"/>
      <c r="CY83" s="91"/>
      <c r="CZ83" s="75"/>
      <c r="DA83" s="91"/>
      <c r="DB83" s="91"/>
      <c r="DC83" s="90"/>
      <c r="DD83" s="91"/>
      <c r="DE83" s="91"/>
      <c r="DF83" s="91"/>
      <c r="DG83" s="91"/>
      <c r="DH83" s="91"/>
      <c r="DI83" s="91"/>
      <c r="DJ83" s="90"/>
      <c r="DK83" s="91"/>
      <c r="DL83" s="75"/>
      <c r="DM83" s="75"/>
      <c r="DN83" s="75">
        <f t="shared" si="194"/>
        <v>0</v>
      </c>
      <c r="DO83" s="75" t="str">
        <f t="shared" si="196"/>
        <v/>
      </c>
      <c r="DP83" s="91" t="str">
        <f>IFERROR(#REF!/#REF!*1000,"")</f>
        <v/>
      </c>
      <c r="DQ83" s="91" t="str">
        <f>IFERROR(#REF!/#REF!*1000,"")</f>
        <v/>
      </c>
      <c r="DR83" s="90"/>
      <c r="DS83" s="91" t="str">
        <f>IFERROR(#REF!/#REF!*1000,"")</f>
        <v/>
      </c>
      <c r="DT83" s="91" t="str">
        <f>IFERROR(#REF!/#REF!*1000,"")</f>
        <v/>
      </c>
      <c r="DU83" s="91"/>
      <c r="DV83" s="91"/>
      <c r="DW83" s="91"/>
      <c r="DX83" s="91"/>
      <c r="DY83" s="90"/>
      <c r="DZ83" s="91"/>
      <c r="EA83" s="75"/>
      <c r="EB83" s="91"/>
      <c r="EC83" s="91"/>
      <c r="ED83" s="90"/>
      <c r="EE83" s="91"/>
      <c r="EF83" s="91"/>
      <c r="EG83" s="91"/>
      <c r="EH83" s="91"/>
      <c r="EI83" s="91"/>
      <c r="EJ83" s="91"/>
      <c r="EK83" s="90"/>
      <c r="EL83" s="90"/>
      <c r="EM83" s="88"/>
      <c r="EN83" s="92"/>
      <c r="EO83" s="92"/>
      <c r="EP83" s="92"/>
      <c r="EQ83" s="92"/>
      <c r="ER83" s="92"/>
      <c r="ES83" s="92"/>
      <c r="ET83" s="92"/>
      <c r="EU83" s="92"/>
      <c r="EV83" s="92"/>
      <c r="EW83" s="92"/>
      <c r="EX83" s="92"/>
      <c r="EY83" s="92"/>
      <c r="EZ83" s="92"/>
      <c r="FA83" s="92"/>
      <c r="FB83" s="92"/>
      <c r="FC83" s="92"/>
      <c r="FD83" s="92"/>
      <c r="FE83" s="92"/>
      <c r="FF83" s="92"/>
      <c r="FG83" s="92"/>
      <c r="FH83" s="92"/>
      <c r="FI83" s="92"/>
      <c r="FJ83" s="92"/>
      <c r="FK83" s="92"/>
      <c r="FL83" s="92"/>
      <c r="FM83" s="92"/>
      <c r="FN83" s="92"/>
      <c r="FO83" s="92"/>
      <c r="FP83" s="92"/>
      <c r="FQ83" s="92"/>
      <c r="FR83" s="92"/>
      <c r="FS83" s="92"/>
      <c r="FT83" s="92"/>
      <c r="FU83" s="92"/>
      <c r="FV83" s="92"/>
      <c r="FW83" s="92"/>
      <c r="FX83" s="92"/>
      <c r="FY83" s="92"/>
      <c r="FZ83" s="92"/>
      <c r="GA83" s="92"/>
      <c r="GB83" s="92"/>
      <c r="GC83" s="92"/>
      <c r="GD83" s="92"/>
      <c r="GE83" s="92"/>
      <c r="GF83" s="92"/>
      <c r="GG83" s="92"/>
      <c r="GH83" s="92"/>
      <c r="GI83" s="92"/>
      <c r="GJ83" s="92"/>
      <c r="GK83" s="92"/>
      <c r="GL83" s="92"/>
      <c r="GM83" s="92"/>
      <c r="GN83" s="92"/>
      <c r="GO83" s="92"/>
      <c r="GP83" s="92"/>
      <c r="GQ83" s="92"/>
      <c r="GR83" s="92"/>
      <c r="GS83" s="92"/>
      <c r="GT83" s="92"/>
      <c r="GU83" s="92"/>
      <c r="GV83" s="92"/>
      <c r="GW83" s="92"/>
      <c r="GX83" s="92"/>
      <c r="GY83" s="92"/>
      <c r="GZ83" s="92"/>
      <c r="HA83" s="92"/>
      <c r="HB83" s="92"/>
      <c r="HC83" s="92"/>
      <c r="HD83" s="92"/>
      <c r="HE83" s="92"/>
      <c r="HF83" s="92"/>
      <c r="HG83" s="92"/>
      <c r="HH83" s="92"/>
      <c r="HI83" s="92"/>
      <c r="HJ83" s="92"/>
      <c r="HK83" s="92"/>
      <c r="HL83" s="92"/>
      <c r="HM83" s="92"/>
      <c r="HN83" s="92"/>
      <c r="HO83" s="92"/>
      <c r="HP83" s="92"/>
      <c r="HQ83" s="92"/>
      <c r="HR83" s="92"/>
      <c r="HS83" s="92"/>
      <c r="HT83" s="92"/>
      <c r="HU83" s="92"/>
      <c r="HV83" s="92"/>
      <c r="HW83" s="92"/>
      <c r="HX83" s="92"/>
      <c r="HY83" s="92"/>
      <c r="HZ83" s="92"/>
      <c r="IA83" s="92"/>
      <c r="IB83" s="92"/>
      <c r="IC83" s="92"/>
      <c r="ID83" s="92"/>
      <c r="IE83" s="92"/>
      <c r="IF83" s="92"/>
      <c r="IG83" s="92"/>
      <c r="IH83" s="92"/>
      <c r="II83" s="92"/>
      <c r="IJ83" s="92"/>
      <c r="IK83" s="92"/>
      <c r="IL83" s="92"/>
      <c r="IM83" s="92"/>
      <c r="IN83" s="92"/>
      <c r="IO83" s="92"/>
      <c r="IP83" s="92"/>
      <c r="IQ83" s="92"/>
      <c r="IR83" s="92"/>
      <c r="IS83" s="92"/>
      <c r="IT83" s="92"/>
      <c r="IU83" s="92"/>
      <c r="IV83" s="92"/>
      <c r="IW83" s="92"/>
      <c r="IX83" s="92"/>
      <c r="IY83" s="92"/>
      <c r="IZ83" s="92"/>
      <c r="JA83" s="92"/>
      <c r="JB83" s="92"/>
      <c r="JC83" s="92"/>
      <c r="JD83" s="92"/>
      <c r="JE83" s="92"/>
      <c r="JF83" s="92"/>
      <c r="JG83" s="92"/>
      <c r="JH83" s="92"/>
      <c r="JI83" s="92"/>
      <c r="JJ83" s="92"/>
      <c r="JK83" s="92"/>
      <c r="JL83" s="92"/>
      <c r="JM83" s="92"/>
      <c r="JN83" s="92"/>
      <c r="JO83" s="92"/>
      <c r="JP83" s="92"/>
      <c r="JQ83" s="92"/>
      <c r="JR83" s="92"/>
      <c r="JS83" s="92"/>
      <c r="JT83" s="92"/>
      <c r="JU83" s="92"/>
      <c r="JV83" s="92"/>
      <c r="JW83" s="92"/>
      <c r="JX83" s="92"/>
      <c r="JY83" s="92"/>
      <c r="JZ83" s="92"/>
      <c r="KA83" s="92"/>
      <c r="KB83" s="92"/>
      <c r="KC83" s="92"/>
      <c r="KD83" s="92"/>
      <c r="KE83" s="92"/>
      <c r="KF83" s="92"/>
      <c r="KG83" s="92"/>
      <c r="KH83" s="92"/>
      <c r="KI83" s="92"/>
      <c r="KJ83" s="92"/>
      <c r="KK83" s="92"/>
      <c r="KL83" s="92"/>
      <c r="KM83" s="92"/>
      <c r="KN83" s="92"/>
      <c r="KO83" s="92"/>
      <c r="KP83" s="92"/>
      <c r="KQ83" s="88"/>
      <c r="KR83" s="92"/>
      <c r="KS83" s="92"/>
      <c r="KT83" s="92"/>
      <c r="KU83" s="93"/>
      <c r="KV83" s="92"/>
      <c r="KW83" s="93"/>
      <c r="KX83" s="92"/>
      <c r="KY83" s="93"/>
      <c r="KZ83" s="92"/>
      <c r="LA83" s="93"/>
      <c r="LB83" s="92"/>
      <c r="LC83" s="93"/>
      <c r="LD83" s="92"/>
      <c r="LE83" s="93"/>
      <c r="LF83" s="92"/>
      <c r="LG83" s="92"/>
      <c r="LH83" s="92"/>
      <c r="LI83" s="92"/>
      <c r="LJ83" s="92"/>
      <c r="LK83" s="92"/>
      <c r="LL83" s="92"/>
      <c r="LM83" s="92"/>
      <c r="LN83" s="92"/>
      <c r="LO83" s="92"/>
      <c r="LP83" s="88"/>
      <c r="LQ83" s="93"/>
      <c r="LR83" s="88"/>
      <c r="LS83" s="93"/>
      <c r="LT83" s="93"/>
      <c r="LU83" s="93"/>
      <c r="LV83" s="93"/>
      <c r="LW83" s="93"/>
      <c r="LX83" s="93"/>
      <c r="LY83" s="93"/>
      <c r="LZ83" s="93"/>
      <c r="MA83" s="93"/>
      <c r="MB83" s="93"/>
      <c r="MC83" s="94"/>
      <c r="MD83" s="94"/>
      <c r="ME83" s="94"/>
      <c r="MF83" s="94"/>
      <c r="MG83" s="94"/>
      <c r="MH83" s="94"/>
      <c r="MI83" s="94"/>
      <c r="MJ83" s="94"/>
      <c r="MK83" s="94"/>
      <c r="ML83" s="94"/>
      <c r="MM83" s="94"/>
      <c r="MN83" s="94"/>
      <c r="MO83" s="95"/>
      <c r="MP83" s="95"/>
      <c r="MQ83" s="94"/>
      <c r="MR83" s="94"/>
      <c r="MS83" s="94"/>
      <c r="MT83" s="94"/>
      <c r="MU83" s="94"/>
      <c r="MV83" s="94"/>
      <c r="MW83" s="94"/>
      <c r="MX83" s="94"/>
      <c r="MY83" s="94"/>
      <c r="MZ83" s="94"/>
      <c r="NA83" s="94"/>
      <c r="NB83" s="94"/>
      <c r="NC83" s="94"/>
      <c r="ND83" s="94"/>
      <c r="NE83" s="94"/>
      <c r="NF83" s="94"/>
      <c r="NG83" s="94"/>
      <c r="NH83" s="94"/>
      <c r="NI83" s="94"/>
      <c r="NJ83" s="94"/>
    </row>
    <row r="84" spans="1:374" x14ac:dyDescent="0.25">
      <c r="A84" s="88"/>
      <c r="B84" s="88"/>
      <c r="C84" s="88"/>
      <c r="D84" s="88"/>
      <c r="E84" s="89"/>
      <c r="F84" s="88"/>
      <c r="G84" s="88"/>
      <c r="H84" s="88" t="str">
        <f t="shared" si="195"/>
        <v xml:space="preserve">  </v>
      </c>
      <c r="I84" s="88"/>
      <c r="J84" s="88"/>
      <c r="K84" s="88"/>
      <c r="L84" s="88"/>
      <c r="M84" s="88"/>
      <c r="N84" s="88"/>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1"/>
      <c r="AR84" s="75"/>
      <c r="AS84" s="91"/>
      <c r="AT84" s="91"/>
      <c r="AU84" s="90"/>
      <c r="AV84" s="91"/>
      <c r="AW84" s="91"/>
      <c r="AX84" s="91"/>
      <c r="AY84" s="91"/>
      <c r="AZ84" s="91"/>
      <c r="BA84" s="91"/>
      <c r="BB84" s="90"/>
      <c r="BC84" s="91"/>
      <c r="BD84" s="75"/>
      <c r="BE84" s="91"/>
      <c r="BF84" s="91"/>
      <c r="BG84" s="90"/>
      <c r="BH84" s="91"/>
      <c r="BI84" s="91"/>
      <c r="BJ84" s="91"/>
      <c r="BK84" s="91"/>
      <c r="BL84" s="91"/>
      <c r="BM84" s="91"/>
      <c r="BN84" s="90"/>
      <c r="BO84" s="91"/>
      <c r="BP84" s="75"/>
      <c r="BQ84" s="91"/>
      <c r="BR84" s="91"/>
      <c r="BS84" s="90"/>
      <c r="BT84" s="91"/>
      <c r="BU84" s="91"/>
      <c r="BV84" s="91"/>
      <c r="BW84" s="91"/>
      <c r="BX84" s="91"/>
      <c r="BY84" s="91"/>
      <c r="BZ84" s="90"/>
      <c r="CA84" s="91"/>
      <c r="CB84" s="75"/>
      <c r="CC84" s="91"/>
      <c r="CD84" s="91"/>
      <c r="CE84" s="90"/>
      <c r="CF84" s="91"/>
      <c r="CG84" s="91"/>
      <c r="CH84" s="91"/>
      <c r="CI84" s="91"/>
      <c r="CJ84" s="91"/>
      <c r="CK84" s="91"/>
      <c r="CL84" s="90"/>
      <c r="CM84" s="91"/>
      <c r="CN84" s="75"/>
      <c r="CO84" s="91"/>
      <c r="CP84" s="91"/>
      <c r="CQ84" s="90"/>
      <c r="CR84" s="91"/>
      <c r="CS84" s="91"/>
      <c r="CT84" s="91"/>
      <c r="CU84" s="91"/>
      <c r="CV84" s="91"/>
      <c r="CW84" s="91"/>
      <c r="CX84" s="90"/>
      <c r="CY84" s="91"/>
      <c r="CZ84" s="75"/>
      <c r="DA84" s="91"/>
      <c r="DB84" s="91"/>
      <c r="DC84" s="90"/>
      <c r="DD84" s="91"/>
      <c r="DE84" s="91"/>
      <c r="DF84" s="91"/>
      <c r="DG84" s="91"/>
      <c r="DH84" s="91"/>
      <c r="DI84" s="91"/>
      <c r="DJ84" s="90"/>
      <c r="DK84" s="91"/>
      <c r="DL84" s="75"/>
      <c r="DM84" s="75"/>
      <c r="DN84" s="75">
        <f t="shared" si="194"/>
        <v>0</v>
      </c>
      <c r="DO84" s="75" t="str">
        <f t="shared" si="196"/>
        <v/>
      </c>
      <c r="DP84" s="91" t="str">
        <f>IFERROR(#REF!/#REF!*1000,"")</f>
        <v/>
      </c>
      <c r="DQ84" s="91" t="str">
        <f>IFERROR(#REF!/#REF!*1000,"")</f>
        <v/>
      </c>
      <c r="DR84" s="90"/>
      <c r="DS84" s="91" t="str">
        <f>IFERROR(#REF!/#REF!*1000,"")</f>
        <v/>
      </c>
      <c r="DT84" s="91" t="str">
        <f>IFERROR(#REF!/#REF!*1000,"")</f>
        <v/>
      </c>
      <c r="DU84" s="91"/>
      <c r="DV84" s="91"/>
      <c r="DW84" s="91"/>
      <c r="DX84" s="91"/>
      <c r="DY84" s="90"/>
      <c r="DZ84" s="91"/>
      <c r="EA84" s="75"/>
      <c r="EB84" s="91"/>
      <c r="EC84" s="91"/>
      <c r="ED84" s="90"/>
      <c r="EE84" s="91"/>
      <c r="EF84" s="91"/>
      <c r="EG84" s="91"/>
      <c r="EH84" s="91"/>
      <c r="EI84" s="91"/>
      <c r="EJ84" s="91"/>
      <c r="EK84" s="90"/>
      <c r="EL84" s="90"/>
      <c r="EM84" s="88"/>
      <c r="EN84" s="92"/>
      <c r="EO84" s="92"/>
      <c r="EP84" s="92"/>
      <c r="EQ84" s="92"/>
      <c r="ER84" s="92"/>
      <c r="ES84" s="92"/>
      <c r="ET84" s="92"/>
      <c r="EU84" s="92"/>
      <c r="EV84" s="92"/>
      <c r="EW84" s="92"/>
      <c r="EX84" s="92"/>
      <c r="EY84" s="92"/>
      <c r="EZ84" s="92"/>
      <c r="FA84" s="92"/>
      <c r="FB84" s="92"/>
      <c r="FC84" s="92"/>
      <c r="FD84" s="92"/>
      <c r="FE84" s="92"/>
      <c r="FF84" s="92"/>
      <c r="FG84" s="92"/>
      <c r="FH84" s="92"/>
      <c r="FI84" s="92"/>
      <c r="FJ84" s="92"/>
      <c r="FK84" s="92"/>
      <c r="FL84" s="92"/>
      <c r="FM84" s="92"/>
      <c r="FN84" s="92"/>
      <c r="FO84" s="92"/>
      <c r="FP84" s="92"/>
      <c r="FQ84" s="92"/>
      <c r="FR84" s="92"/>
      <c r="FS84" s="92"/>
      <c r="FT84" s="92"/>
      <c r="FU84" s="92"/>
      <c r="FV84" s="92"/>
      <c r="FW84" s="92"/>
      <c r="FX84" s="92"/>
      <c r="FY84" s="92"/>
      <c r="FZ84" s="92"/>
      <c r="GA84" s="92"/>
      <c r="GB84" s="92"/>
      <c r="GC84" s="92"/>
      <c r="GD84" s="92"/>
      <c r="GE84" s="92"/>
      <c r="GF84" s="92"/>
      <c r="GG84" s="92"/>
      <c r="GH84" s="92"/>
      <c r="GI84" s="92"/>
      <c r="GJ84" s="92"/>
      <c r="GK84" s="92"/>
      <c r="GL84" s="92"/>
      <c r="GM84" s="92"/>
      <c r="GN84" s="92"/>
      <c r="GO84" s="92"/>
      <c r="GP84" s="92"/>
      <c r="GQ84" s="92"/>
      <c r="GR84" s="92"/>
      <c r="GS84" s="92"/>
      <c r="GT84" s="92"/>
      <c r="GU84" s="92"/>
      <c r="GV84" s="92"/>
      <c r="GW84" s="92"/>
      <c r="GX84" s="92"/>
      <c r="GY84" s="92"/>
      <c r="GZ84" s="92"/>
      <c r="HA84" s="92"/>
      <c r="HB84" s="92"/>
      <c r="HC84" s="92"/>
      <c r="HD84" s="92"/>
      <c r="HE84" s="92"/>
      <c r="HF84" s="92"/>
      <c r="HG84" s="92"/>
      <c r="HH84" s="92"/>
      <c r="HI84" s="92"/>
      <c r="HJ84" s="92"/>
      <c r="HK84" s="92"/>
      <c r="HL84" s="92"/>
      <c r="HM84" s="92"/>
      <c r="HN84" s="92"/>
      <c r="HO84" s="92"/>
      <c r="HP84" s="92"/>
      <c r="HQ84" s="92"/>
      <c r="HR84" s="92"/>
      <c r="HS84" s="92"/>
      <c r="HT84" s="92"/>
      <c r="HU84" s="92"/>
      <c r="HV84" s="92"/>
      <c r="HW84" s="92"/>
      <c r="HX84" s="92"/>
      <c r="HY84" s="92"/>
      <c r="HZ84" s="92"/>
      <c r="IA84" s="92"/>
      <c r="IB84" s="92"/>
      <c r="IC84" s="92"/>
      <c r="ID84" s="92"/>
      <c r="IE84" s="92"/>
      <c r="IF84" s="92"/>
      <c r="IG84" s="92"/>
      <c r="IH84" s="92"/>
      <c r="II84" s="92"/>
      <c r="IJ84" s="92"/>
      <c r="IK84" s="92"/>
      <c r="IL84" s="92"/>
      <c r="IM84" s="92"/>
      <c r="IN84" s="92"/>
      <c r="IO84" s="92"/>
      <c r="IP84" s="92"/>
      <c r="IQ84" s="92"/>
      <c r="IR84" s="92"/>
      <c r="IS84" s="92"/>
      <c r="IT84" s="92"/>
      <c r="IU84" s="92"/>
      <c r="IV84" s="92"/>
      <c r="IW84" s="92"/>
      <c r="IX84" s="92"/>
      <c r="IY84" s="92"/>
      <c r="IZ84" s="92"/>
      <c r="JA84" s="92"/>
      <c r="JB84" s="92"/>
      <c r="JC84" s="92"/>
      <c r="JD84" s="92"/>
      <c r="JE84" s="92"/>
      <c r="JF84" s="92"/>
      <c r="JG84" s="92"/>
      <c r="JH84" s="92"/>
      <c r="JI84" s="92"/>
      <c r="JJ84" s="92"/>
      <c r="JK84" s="92"/>
      <c r="JL84" s="92"/>
      <c r="JM84" s="92"/>
      <c r="JN84" s="92"/>
      <c r="JO84" s="92"/>
      <c r="JP84" s="92"/>
      <c r="JQ84" s="92"/>
      <c r="JR84" s="92"/>
      <c r="JS84" s="92"/>
      <c r="JT84" s="92"/>
      <c r="JU84" s="92"/>
      <c r="JV84" s="92"/>
      <c r="JW84" s="92"/>
      <c r="JX84" s="92"/>
      <c r="JY84" s="92"/>
      <c r="JZ84" s="92"/>
      <c r="KA84" s="92"/>
      <c r="KB84" s="92"/>
      <c r="KC84" s="92"/>
      <c r="KD84" s="92"/>
      <c r="KE84" s="92"/>
      <c r="KF84" s="92"/>
      <c r="KG84" s="92"/>
      <c r="KH84" s="92"/>
      <c r="KI84" s="92"/>
      <c r="KJ84" s="92"/>
      <c r="KK84" s="92"/>
      <c r="KL84" s="92"/>
      <c r="KM84" s="92"/>
      <c r="KN84" s="92"/>
      <c r="KO84" s="92"/>
      <c r="KP84" s="92"/>
      <c r="KQ84" s="88"/>
      <c r="KR84" s="92"/>
      <c r="KS84" s="92"/>
      <c r="KT84" s="92"/>
      <c r="KU84" s="93"/>
      <c r="KV84" s="92"/>
      <c r="KW84" s="93"/>
      <c r="KX84" s="92"/>
      <c r="KY84" s="93"/>
      <c r="KZ84" s="92"/>
      <c r="LA84" s="93"/>
      <c r="LB84" s="92"/>
      <c r="LC84" s="93"/>
      <c r="LD84" s="92"/>
      <c r="LE84" s="93"/>
      <c r="LF84" s="92"/>
      <c r="LG84" s="92"/>
      <c r="LH84" s="92"/>
      <c r="LI84" s="92"/>
      <c r="LJ84" s="92"/>
      <c r="LK84" s="92"/>
      <c r="LL84" s="92"/>
      <c r="LM84" s="92"/>
      <c r="LN84" s="92"/>
      <c r="LO84" s="92"/>
      <c r="LP84" s="88"/>
      <c r="LQ84" s="93"/>
      <c r="LR84" s="88"/>
      <c r="LS84" s="93"/>
      <c r="LT84" s="93"/>
      <c r="LU84" s="93"/>
      <c r="LV84" s="93"/>
      <c r="LW84" s="93"/>
      <c r="LX84" s="93"/>
      <c r="LY84" s="93"/>
      <c r="LZ84" s="93"/>
      <c r="MA84" s="93"/>
      <c r="MB84" s="93"/>
      <c r="MC84" s="94"/>
      <c r="MD84" s="94"/>
      <c r="ME84" s="94"/>
      <c r="MF84" s="94"/>
      <c r="MG84" s="94"/>
      <c r="MH84" s="94"/>
      <c r="MI84" s="94"/>
      <c r="MJ84" s="94"/>
      <c r="MK84" s="94"/>
      <c r="ML84" s="94"/>
      <c r="MM84" s="94"/>
      <c r="MN84" s="94"/>
      <c r="MO84" s="95"/>
      <c r="MP84" s="95"/>
      <c r="MQ84" s="94"/>
      <c r="MR84" s="94"/>
      <c r="MS84" s="94"/>
      <c r="MT84" s="94"/>
      <c r="MU84" s="94"/>
      <c r="MV84" s="94"/>
      <c r="MW84" s="94"/>
      <c r="MX84" s="94"/>
      <c r="MY84" s="94"/>
      <c r="MZ84" s="94"/>
      <c r="NA84" s="94"/>
      <c r="NB84" s="94"/>
      <c r="NC84" s="94"/>
      <c r="ND84" s="94"/>
      <c r="NE84" s="94"/>
      <c r="NF84" s="94"/>
      <c r="NG84" s="94"/>
      <c r="NH84" s="94"/>
      <c r="NI84" s="94"/>
      <c r="NJ84" s="94"/>
    </row>
    <row r="85" spans="1:374" x14ac:dyDescent="0.25">
      <c r="A85" s="88"/>
      <c r="B85" s="88"/>
      <c r="C85" s="88"/>
      <c r="D85" s="88"/>
      <c r="E85" s="89"/>
      <c r="F85" s="88"/>
      <c r="G85" s="88"/>
      <c r="H85" s="88" t="str">
        <f t="shared" si="195"/>
        <v xml:space="preserve">  </v>
      </c>
      <c r="I85" s="88"/>
      <c r="J85" s="88"/>
      <c r="K85" s="88"/>
      <c r="L85" s="88"/>
      <c r="M85" s="88"/>
      <c r="N85" s="88"/>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1"/>
      <c r="AR85" s="75"/>
      <c r="AS85" s="91"/>
      <c r="AT85" s="91"/>
      <c r="AU85" s="90"/>
      <c r="AV85" s="91"/>
      <c r="AW85" s="91"/>
      <c r="AX85" s="91"/>
      <c r="AY85" s="91"/>
      <c r="AZ85" s="91"/>
      <c r="BA85" s="91"/>
      <c r="BB85" s="90"/>
      <c r="BC85" s="91"/>
      <c r="BD85" s="75"/>
      <c r="BE85" s="91"/>
      <c r="BF85" s="91"/>
      <c r="BG85" s="90"/>
      <c r="BH85" s="91"/>
      <c r="BI85" s="91"/>
      <c r="BJ85" s="91"/>
      <c r="BK85" s="91"/>
      <c r="BL85" s="91"/>
      <c r="BM85" s="91"/>
      <c r="BN85" s="90"/>
      <c r="BO85" s="91"/>
      <c r="BP85" s="75"/>
      <c r="BQ85" s="91"/>
      <c r="BR85" s="91"/>
      <c r="BS85" s="90"/>
      <c r="BT85" s="91"/>
      <c r="BU85" s="91"/>
      <c r="BV85" s="91"/>
      <c r="BW85" s="91"/>
      <c r="BX85" s="91"/>
      <c r="BY85" s="91"/>
      <c r="BZ85" s="90"/>
      <c r="CA85" s="91"/>
      <c r="CB85" s="75"/>
      <c r="CC85" s="91"/>
      <c r="CD85" s="91"/>
      <c r="CE85" s="90"/>
      <c r="CF85" s="91"/>
      <c r="CG85" s="91"/>
      <c r="CH85" s="91"/>
      <c r="CI85" s="91"/>
      <c r="CJ85" s="91"/>
      <c r="CK85" s="91"/>
      <c r="CL85" s="90"/>
      <c r="CM85" s="91"/>
      <c r="CN85" s="75"/>
      <c r="CO85" s="91"/>
      <c r="CP85" s="91"/>
      <c r="CQ85" s="90"/>
      <c r="CR85" s="91"/>
      <c r="CS85" s="91"/>
      <c r="CT85" s="91"/>
      <c r="CU85" s="91"/>
      <c r="CV85" s="91"/>
      <c r="CW85" s="91"/>
      <c r="CX85" s="90"/>
      <c r="CY85" s="91"/>
      <c r="CZ85" s="75"/>
      <c r="DA85" s="91"/>
      <c r="DB85" s="91"/>
      <c r="DC85" s="90"/>
      <c r="DD85" s="91"/>
      <c r="DE85" s="91"/>
      <c r="DF85" s="91"/>
      <c r="DG85" s="91"/>
      <c r="DH85" s="91"/>
      <c r="DI85" s="91"/>
      <c r="DJ85" s="90"/>
      <c r="DK85" s="91"/>
      <c r="DL85" s="75"/>
      <c r="DM85" s="75"/>
      <c r="DN85" s="75">
        <f t="shared" si="194"/>
        <v>0</v>
      </c>
      <c r="DO85" s="75" t="str">
        <f t="shared" si="196"/>
        <v/>
      </c>
      <c r="DP85" s="91" t="str">
        <f>IFERROR(#REF!/#REF!*1000,"")</f>
        <v/>
      </c>
      <c r="DQ85" s="91" t="str">
        <f>IFERROR(#REF!/#REF!*1000,"")</f>
        <v/>
      </c>
      <c r="DR85" s="90"/>
      <c r="DS85" s="91" t="str">
        <f>IFERROR(#REF!/#REF!*1000,"")</f>
        <v/>
      </c>
      <c r="DT85" s="91" t="str">
        <f>IFERROR(#REF!/#REF!*1000,"")</f>
        <v/>
      </c>
      <c r="DU85" s="91"/>
      <c r="DV85" s="91"/>
      <c r="DW85" s="91"/>
      <c r="DX85" s="91"/>
      <c r="DY85" s="90"/>
      <c r="DZ85" s="91"/>
      <c r="EA85" s="75"/>
      <c r="EB85" s="91"/>
      <c r="EC85" s="91"/>
      <c r="ED85" s="90"/>
      <c r="EE85" s="91"/>
      <c r="EF85" s="91"/>
      <c r="EG85" s="91"/>
      <c r="EH85" s="91"/>
      <c r="EI85" s="91"/>
      <c r="EJ85" s="91"/>
      <c r="EK85" s="90"/>
      <c r="EL85" s="90"/>
      <c r="EM85" s="88"/>
      <c r="EN85" s="92"/>
      <c r="EO85" s="92"/>
      <c r="EP85" s="92"/>
      <c r="EQ85" s="92"/>
      <c r="ER85" s="92"/>
      <c r="ES85" s="92"/>
      <c r="ET85" s="92"/>
      <c r="EU85" s="92"/>
      <c r="EV85" s="92"/>
      <c r="EW85" s="92"/>
      <c r="EX85" s="92"/>
      <c r="EY85" s="92"/>
      <c r="EZ85" s="92"/>
      <c r="FA85" s="92"/>
      <c r="FB85" s="92"/>
      <c r="FC85" s="92"/>
      <c r="FD85" s="92"/>
      <c r="FE85" s="92"/>
      <c r="FF85" s="92"/>
      <c r="FG85" s="92"/>
      <c r="FH85" s="92"/>
      <c r="FI85" s="92"/>
      <c r="FJ85" s="92"/>
      <c r="FK85" s="92"/>
      <c r="FL85" s="92"/>
      <c r="FM85" s="92"/>
      <c r="FN85" s="92"/>
      <c r="FO85" s="92"/>
      <c r="FP85" s="92"/>
      <c r="FQ85" s="92"/>
      <c r="FR85" s="92"/>
      <c r="FS85" s="92"/>
      <c r="FT85" s="92"/>
      <c r="FU85" s="92"/>
      <c r="FV85" s="92"/>
      <c r="FW85" s="92"/>
      <c r="FX85" s="92"/>
      <c r="FY85" s="92"/>
      <c r="FZ85" s="92"/>
      <c r="GA85" s="92"/>
      <c r="GB85" s="92"/>
      <c r="GC85" s="92"/>
      <c r="GD85" s="92"/>
      <c r="GE85" s="92"/>
      <c r="GF85" s="92"/>
      <c r="GG85" s="92"/>
      <c r="GH85" s="92"/>
      <c r="GI85" s="92"/>
      <c r="GJ85" s="92"/>
      <c r="GK85" s="92"/>
      <c r="GL85" s="92"/>
      <c r="GM85" s="92"/>
      <c r="GN85" s="92"/>
      <c r="GO85" s="92"/>
      <c r="GP85" s="92"/>
      <c r="GQ85" s="92"/>
      <c r="GR85" s="92"/>
      <c r="GS85" s="92"/>
      <c r="GT85" s="92"/>
      <c r="GU85" s="92"/>
      <c r="GV85" s="92"/>
      <c r="GW85" s="92"/>
      <c r="GX85" s="92"/>
      <c r="GY85" s="92"/>
      <c r="GZ85" s="92"/>
      <c r="HA85" s="92"/>
      <c r="HB85" s="92"/>
      <c r="HC85" s="92"/>
      <c r="HD85" s="92"/>
      <c r="HE85" s="92"/>
      <c r="HF85" s="92"/>
      <c r="HG85" s="92"/>
      <c r="HH85" s="92"/>
      <c r="HI85" s="92"/>
      <c r="HJ85" s="92"/>
      <c r="HK85" s="92"/>
      <c r="HL85" s="92"/>
      <c r="HM85" s="92"/>
      <c r="HN85" s="92"/>
      <c r="HO85" s="92"/>
      <c r="HP85" s="92"/>
      <c r="HQ85" s="92"/>
      <c r="HR85" s="92"/>
      <c r="HS85" s="92"/>
      <c r="HT85" s="92"/>
      <c r="HU85" s="92"/>
      <c r="HV85" s="92"/>
      <c r="HW85" s="92"/>
      <c r="HX85" s="92"/>
      <c r="HY85" s="92"/>
      <c r="HZ85" s="92"/>
      <c r="IA85" s="92"/>
      <c r="IB85" s="92"/>
      <c r="IC85" s="92"/>
      <c r="ID85" s="92"/>
      <c r="IE85" s="92"/>
      <c r="IF85" s="92"/>
      <c r="IG85" s="92"/>
      <c r="IH85" s="92"/>
      <c r="II85" s="92"/>
      <c r="IJ85" s="92"/>
      <c r="IK85" s="92"/>
      <c r="IL85" s="92"/>
      <c r="IM85" s="92"/>
      <c r="IN85" s="92"/>
      <c r="IO85" s="92"/>
      <c r="IP85" s="92"/>
      <c r="IQ85" s="92"/>
      <c r="IR85" s="92"/>
      <c r="IS85" s="92"/>
      <c r="IT85" s="92"/>
      <c r="IU85" s="92"/>
      <c r="IV85" s="92"/>
      <c r="IW85" s="92"/>
      <c r="IX85" s="92"/>
      <c r="IY85" s="92"/>
      <c r="IZ85" s="92"/>
      <c r="JA85" s="92"/>
      <c r="JB85" s="92"/>
      <c r="JC85" s="92"/>
      <c r="JD85" s="92"/>
      <c r="JE85" s="92"/>
      <c r="JF85" s="92"/>
      <c r="JG85" s="92"/>
      <c r="JH85" s="92"/>
      <c r="JI85" s="92"/>
      <c r="JJ85" s="92"/>
      <c r="JK85" s="92"/>
      <c r="JL85" s="92"/>
      <c r="JM85" s="92"/>
      <c r="JN85" s="92"/>
      <c r="JO85" s="92"/>
      <c r="JP85" s="92"/>
      <c r="JQ85" s="92"/>
      <c r="JR85" s="92"/>
      <c r="JS85" s="92"/>
      <c r="JT85" s="92"/>
      <c r="JU85" s="92"/>
      <c r="JV85" s="92"/>
      <c r="JW85" s="92"/>
      <c r="JX85" s="92"/>
      <c r="JY85" s="92"/>
      <c r="JZ85" s="92"/>
      <c r="KA85" s="92"/>
      <c r="KB85" s="92"/>
      <c r="KC85" s="92"/>
      <c r="KD85" s="92"/>
      <c r="KE85" s="92"/>
      <c r="KF85" s="92"/>
      <c r="KG85" s="92"/>
      <c r="KH85" s="92"/>
      <c r="KI85" s="92"/>
      <c r="KJ85" s="92"/>
      <c r="KK85" s="92"/>
      <c r="KL85" s="92"/>
      <c r="KM85" s="92"/>
      <c r="KN85" s="92"/>
      <c r="KO85" s="92"/>
      <c r="KP85" s="92"/>
      <c r="KQ85" s="88"/>
      <c r="KR85" s="92"/>
      <c r="KS85" s="92"/>
      <c r="KT85" s="92"/>
      <c r="KU85" s="93"/>
      <c r="KV85" s="92"/>
      <c r="KW85" s="93"/>
      <c r="KX85" s="92"/>
      <c r="KY85" s="93"/>
      <c r="KZ85" s="92"/>
      <c r="LA85" s="93"/>
      <c r="LB85" s="92"/>
      <c r="LC85" s="93"/>
      <c r="LD85" s="92"/>
      <c r="LE85" s="93"/>
      <c r="LF85" s="92"/>
      <c r="LG85" s="92"/>
      <c r="LH85" s="92"/>
      <c r="LI85" s="92"/>
      <c r="LJ85" s="92"/>
      <c r="LK85" s="92"/>
      <c r="LL85" s="92"/>
      <c r="LM85" s="92"/>
      <c r="LN85" s="92"/>
      <c r="LO85" s="92"/>
      <c r="LP85" s="88"/>
      <c r="LQ85" s="93"/>
      <c r="LR85" s="88"/>
      <c r="LS85" s="93"/>
      <c r="LT85" s="93"/>
      <c r="LU85" s="93"/>
      <c r="LV85" s="93"/>
      <c r="LW85" s="93"/>
      <c r="LX85" s="93"/>
      <c r="LY85" s="93"/>
      <c r="LZ85" s="93"/>
      <c r="MA85" s="93"/>
      <c r="MB85" s="93"/>
      <c r="MC85" s="94"/>
      <c r="MD85" s="94"/>
      <c r="ME85" s="94"/>
      <c r="MF85" s="94"/>
      <c r="MG85" s="94"/>
      <c r="MH85" s="94"/>
      <c r="MI85" s="94"/>
      <c r="MJ85" s="94"/>
      <c r="MK85" s="94"/>
      <c r="ML85" s="94"/>
      <c r="MM85" s="94"/>
      <c r="MN85" s="94"/>
      <c r="MO85" s="95"/>
      <c r="MP85" s="95"/>
      <c r="MQ85" s="94"/>
      <c r="MR85" s="94"/>
      <c r="MS85" s="94"/>
      <c r="MT85" s="94"/>
      <c r="MU85" s="94"/>
      <c r="MV85" s="94"/>
      <c r="MW85" s="94"/>
      <c r="MX85" s="94"/>
      <c r="MY85" s="94"/>
      <c r="MZ85" s="94"/>
      <c r="NA85" s="94"/>
      <c r="NB85" s="94"/>
      <c r="NC85" s="94"/>
      <c r="ND85" s="94"/>
      <c r="NE85" s="94"/>
      <c r="NF85" s="94"/>
      <c r="NG85" s="94"/>
      <c r="NH85" s="94"/>
      <c r="NI85" s="94"/>
      <c r="NJ85" s="94"/>
    </row>
    <row r="86" spans="1:374" x14ac:dyDescent="0.25">
      <c r="A86" s="88"/>
      <c r="B86" s="88"/>
      <c r="C86" s="88"/>
      <c r="D86" s="88"/>
      <c r="E86" s="89"/>
      <c r="F86" s="88"/>
      <c r="G86" s="88"/>
      <c r="H86" s="88" t="str">
        <f t="shared" si="195"/>
        <v xml:space="preserve">  </v>
      </c>
      <c r="I86" s="88"/>
      <c r="J86" s="88"/>
      <c r="K86" s="88"/>
      <c r="L86" s="88"/>
      <c r="M86" s="88"/>
      <c r="N86" s="88"/>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1"/>
      <c r="AR86" s="75"/>
      <c r="AS86" s="91"/>
      <c r="AT86" s="91"/>
      <c r="AU86" s="90"/>
      <c r="AV86" s="91"/>
      <c r="AW86" s="91"/>
      <c r="AX86" s="91"/>
      <c r="AY86" s="91"/>
      <c r="AZ86" s="91"/>
      <c r="BA86" s="91"/>
      <c r="BB86" s="90"/>
      <c r="BC86" s="91"/>
      <c r="BD86" s="75"/>
      <c r="BE86" s="91"/>
      <c r="BF86" s="91"/>
      <c r="BG86" s="90"/>
      <c r="BH86" s="91"/>
      <c r="BI86" s="91"/>
      <c r="BJ86" s="91"/>
      <c r="BK86" s="91"/>
      <c r="BL86" s="91"/>
      <c r="BM86" s="91"/>
      <c r="BN86" s="90"/>
      <c r="BO86" s="91"/>
      <c r="BP86" s="75"/>
      <c r="BQ86" s="91"/>
      <c r="BR86" s="91"/>
      <c r="BS86" s="90"/>
      <c r="BT86" s="91"/>
      <c r="BU86" s="91"/>
      <c r="BV86" s="91"/>
      <c r="BW86" s="91"/>
      <c r="BX86" s="91"/>
      <c r="BY86" s="91"/>
      <c r="BZ86" s="90"/>
      <c r="CA86" s="91"/>
      <c r="CB86" s="75"/>
      <c r="CC86" s="91"/>
      <c r="CD86" s="91"/>
      <c r="CE86" s="90"/>
      <c r="CF86" s="91"/>
      <c r="CG86" s="91"/>
      <c r="CH86" s="91"/>
      <c r="CI86" s="91"/>
      <c r="CJ86" s="91"/>
      <c r="CK86" s="91"/>
      <c r="CL86" s="90"/>
      <c r="CM86" s="91"/>
      <c r="CN86" s="75"/>
      <c r="CO86" s="91"/>
      <c r="CP86" s="91"/>
      <c r="CQ86" s="90"/>
      <c r="CR86" s="91"/>
      <c r="CS86" s="91"/>
      <c r="CT86" s="91"/>
      <c r="CU86" s="91"/>
      <c r="CV86" s="91"/>
      <c r="CW86" s="91"/>
      <c r="CX86" s="90"/>
      <c r="CY86" s="91"/>
      <c r="CZ86" s="75"/>
      <c r="DA86" s="91"/>
      <c r="DB86" s="91"/>
      <c r="DC86" s="90"/>
      <c r="DD86" s="91"/>
      <c r="DE86" s="91"/>
      <c r="DF86" s="91"/>
      <c r="DG86" s="91"/>
      <c r="DH86" s="91"/>
      <c r="DI86" s="91"/>
      <c r="DJ86" s="90"/>
      <c r="DK86" s="91"/>
      <c r="DL86" s="75"/>
      <c r="DM86" s="75"/>
      <c r="DN86" s="75">
        <f t="shared" si="194"/>
        <v>0</v>
      </c>
      <c r="DO86" s="75" t="str">
        <f t="shared" si="196"/>
        <v/>
      </c>
      <c r="DP86" s="91" t="str">
        <f>IFERROR(#REF!/#REF!*1000,"")</f>
        <v/>
      </c>
      <c r="DQ86" s="91" t="str">
        <f>IFERROR(#REF!/#REF!*1000,"")</f>
        <v/>
      </c>
      <c r="DR86" s="90"/>
      <c r="DS86" s="91" t="str">
        <f>IFERROR(#REF!/#REF!*1000,"")</f>
        <v/>
      </c>
      <c r="DT86" s="91" t="str">
        <f>IFERROR(#REF!/#REF!*1000,"")</f>
        <v/>
      </c>
      <c r="DU86" s="91"/>
      <c r="DV86" s="91"/>
      <c r="DW86" s="91"/>
      <c r="DX86" s="91"/>
      <c r="DY86" s="90"/>
      <c r="DZ86" s="91"/>
      <c r="EA86" s="75"/>
      <c r="EB86" s="91"/>
      <c r="EC86" s="91"/>
      <c r="ED86" s="90"/>
      <c r="EE86" s="91"/>
      <c r="EF86" s="91"/>
      <c r="EG86" s="91"/>
      <c r="EH86" s="91"/>
      <c r="EI86" s="91"/>
      <c r="EJ86" s="91"/>
      <c r="EK86" s="90"/>
      <c r="EL86" s="90"/>
      <c r="EM86" s="88"/>
      <c r="EN86" s="92"/>
      <c r="EO86" s="92"/>
      <c r="EP86" s="92"/>
      <c r="EQ86" s="92"/>
      <c r="ER86" s="92"/>
      <c r="ES86" s="92"/>
      <c r="ET86" s="92"/>
      <c r="EU86" s="92"/>
      <c r="EV86" s="92"/>
      <c r="EW86" s="92"/>
      <c r="EX86" s="92"/>
      <c r="EY86" s="92"/>
      <c r="EZ86" s="92"/>
      <c r="FA86" s="92"/>
      <c r="FB86" s="92"/>
      <c r="FC86" s="92"/>
      <c r="FD86" s="92"/>
      <c r="FE86" s="92"/>
      <c r="FF86" s="92"/>
      <c r="FG86" s="92"/>
      <c r="FH86" s="92"/>
      <c r="FI86" s="92"/>
      <c r="FJ86" s="92"/>
      <c r="FK86" s="92"/>
      <c r="FL86" s="92"/>
      <c r="FM86" s="92"/>
      <c r="FN86" s="92"/>
      <c r="FO86" s="92"/>
      <c r="FP86" s="92"/>
      <c r="FQ86" s="92"/>
      <c r="FR86" s="92"/>
      <c r="FS86" s="92"/>
      <c r="FT86" s="92"/>
      <c r="FU86" s="92"/>
      <c r="FV86" s="92"/>
      <c r="FW86" s="92"/>
      <c r="FX86" s="92"/>
      <c r="FY86" s="92"/>
      <c r="FZ86" s="92"/>
      <c r="GA86" s="92"/>
      <c r="GB86" s="92"/>
      <c r="GC86" s="92"/>
      <c r="GD86" s="92"/>
      <c r="GE86" s="92"/>
      <c r="GF86" s="92"/>
      <c r="GG86" s="92"/>
      <c r="GH86" s="92"/>
      <c r="GI86" s="92"/>
      <c r="GJ86" s="92"/>
      <c r="GK86" s="92"/>
      <c r="GL86" s="92"/>
      <c r="GM86" s="92"/>
      <c r="GN86" s="92"/>
      <c r="GO86" s="92"/>
      <c r="GP86" s="92"/>
      <c r="GQ86" s="92"/>
      <c r="GR86" s="92"/>
      <c r="GS86" s="92"/>
      <c r="GT86" s="92"/>
      <c r="GU86" s="92"/>
      <c r="GV86" s="92"/>
      <c r="GW86" s="92"/>
      <c r="GX86" s="92"/>
      <c r="GY86" s="92"/>
      <c r="GZ86" s="92"/>
      <c r="HA86" s="92"/>
      <c r="HB86" s="92"/>
      <c r="HC86" s="92"/>
      <c r="HD86" s="92"/>
      <c r="HE86" s="92"/>
      <c r="HF86" s="92"/>
      <c r="HG86" s="92"/>
      <c r="HH86" s="92"/>
      <c r="HI86" s="92"/>
      <c r="HJ86" s="92"/>
      <c r="HK86" s="92"/>
      <c r="HL86" s="92"/>
      <c r="HM86" s="92"/>
      <c r="HN86" s="92"/>
      <c r="HO86" s="92"/>
      <c r="HP86" s="92"/>
      <c r="HQ86" s="92"/>
      <c r="HR86" s="92"/>
      <c r="HS86" s="92"/>
      <c r="HT86" s="92"/>
      <c r="HU86" s="92"/>
      <c r="HV86" s="92"/>
      <c r="HW86" s="92"/>
      <c r="HX86" s="92"/>
      <c r="HY86" s="92"/>
      <c r="HZ86" s="92"/>
      <c r="IA86" s="92"/>
      <c r="IB86" s="92"/>
      <c r="IC86" s="92"/>
      <c r="ID86" s="92"/>
      <c r="IE86" s="92"/>
      <c r="IF86" s="92"/>
      <c r="IG86" s="92"/>
      <c r="IH86" s="92"/>
      <c r="II86" s="92"/>
      <c r="IJ86" s="92"/>
      <c r="IK86" s="92"/>
      <c r="IL86" s="92"/>
      <c r="IM86" s="92"/>
      <c r="IN86" s="92"/>
      <c r="IO86" s="92"/>
      <c r="IP86" s="92"/>
      <c r="IQ86" s="92"/>
      <c r="IR86" s="92"/>
      <c r="IS86" s="92"/>
      <c r="IT86" s="92"/>
      <c r="IU86" s="92"/>
      <c r="IV86" s="92"/>
      <c r="IW86" s="92"/>
      <c r="IX86" s="92"/>
      <c r="IY86" s="92"/>
      <c r="IZ86" s="92"/>
      <c r="JA86" s="92"/>
      <c r="JB86" s="92"/>
      <c r="JC86" s="92"/>
      <c r="JD86" s="92"/>
      <c r="JE86" s="92"/>
      <c r="JF86" s="92"/>
      <c r="JG86" s="92"/>
      <c r="JH86" s="92"/>
      <c r="JI86" s="92"/>
      <c r="JJ86" s="92"/>
      <c r="JK86" s="92"/>
      <c r="JL86" s="92"/>
      <c r="JM86" s="92"/>
      <c r="JN86" s="92"/>
      <c r="JO86" s="92"/>
      <c r="JP86" s="92"/>
      <c r="JQ86" s="92"/>
      <c r="JR86" s="92"/>
      <c r="JS86" s="92"/>
      <c r="JT86" s="92"/>
      <c r="JU86" s="92"/>
      <c r="JV86" s="92"/>
      <c r="JW86" s="92"/>
      <c r="JX86" s="92"/>
      <c r="JY86" s="92"/>
      <c r="JZ86" s="92"/>
      <c r="KA86" s="92"/>
      <c r="KB86" s="92"/>
      <c r="KC86" s="92"/>
      <c r="KD86" s="92"/>
      <c r="KE86" s="92"/>
      <c r="KF86" s="92"/>
      <c r="KG86" s="92"/>
      <c r="KH86" s="92"/>
      <c r="KI86" s="92"/>
      <c r="KJ86" s="92"/>
      <c r="KK86" s="92"/>
      <c r="KL86" s="92"/>
      <c r="KM86" s="92"/>
      <c r="KN86" s="92"/>
      <c r="KO86" s="92"/>
      <c r="KP86" s="92"/>
      <c r="KQ86" s="88"/>
      <c r="KR86" s="92"/>
      <c r="KS86" s="92"/>
      <c r="KT86" s="92"/>
      <c r="KU86" s="93"/>
      <c r="KV86" s="92"/>
      <c r="KW86" s="93"/>
      <c r="KX86" s="92"/>
      <c r="KY86" s="93"/>
      <c r="KZ86" s="92"/>
      <c r="LA86" s="93"/>
      <c r="LB86" s="92"/>
      <c r="LC86" s="93"/>
      <c r="LD86" s="92"/>
      <c r="LE86" s="93"/>
      <c r="LF86" s="92"/>
      <c r="LG86" s="92"/>
      <c r="LH86" s="92"/>
      <c r="LI86" s="92"/>
      <c r="LJ86" s="92"/>
      <c r="LK86" s="92"/>
      <c r="LL86" s="92"/>
      <c r="LM86" s="92"/>
      <c r="LN86" s="92"/>
      <c r="LO86" s="92"/>
      <c r="LP86" s="88"/>
      <c r="LQ86" s="93"/>
      <c r="LR86" s="88"/>
      <c r="LS86" s="93"/>
      <c r="LT86" s="93"/>
      <c r="LU86" s="93"/>
      <c r="LV86" s="93"/>
      <c r="LW86" s="93"/>
      <c r="LX86" s="93"/>
      <c r="LY86" s="93"/>
      <c r="LZ86" s="93"/>
      <c r="MA86" s="93"/>
      <c r="MB86" s="93"/>
      <c r="MC86" s="94"/>
      <c r="MD86" s="94"/>
      <c r="ME86" s="94"/>
      <c r="MF86" s="94"/>
      <c r="MG86" s="94"/>
      <c r="MH86" s="94"/>
      <c r="MI86" s="94"/>
      <c r="MJ86" s="94"/>
      <c r="MK86" s="94"/>
      <c r="ML86" s="94"/>
      <c r="MM86" s="94"/>
      <c r="MN86" s="94"/>
      <c r="MO86" s="95"/>
      <c r="MP86" s="95"/>
      <c r="MQ86" s="94"/>
      <c r="MR86" s="94"/>
      <c r="MS86" s="94"/>
      <c r="MT86" s="94"/>
      <c r="MU86" s="94"/>
      <c r="MV86" s="94"/>
      <c r="MW86" s="94"/>
      <c r="MX86" s="94"/>
      <c r="MY86" s="94"/>
      <c r="MZ86" s="94"/>
      <c r="NA86" s="94"/>
      <c r="NB86" s="94"/>
      <c r="NC86" s="94"/>
      <c r="ND86" s="94"/>
      <c r="NE86" s="94"/>
      <c r="NF86" s="94"/>
      <c r="NG86" s="94"/>
      <c r="NH86" s="94"/>
      <c r="NI86" s="94"/>
      <c r="NJ86" s="94"/>
    </row>
    <row r="87" spans="1:374" x14ac:dyDescent="0.25">
      <c r="A87" s="88"/>
      <c r="B87" s="88"/>
      <c r="C87" s="88"/>
      <c r="D87" s="88"/>
      <c r="E87" s="89"/>
      <c r="F87" s="88"/>
      <c r="G87" s="88"/>
      <c r="H87" s="88" t="str">
        <f t="shared" si="195"/>
        <v xml:space="preserve">  </v>
      </c>
      <c r="I87" s="88"/>
      <c r="J87" s="88"/>
      <c r="K87" s="88"/>
      <c r="L87" s="88"/>
      <c r="M87" s="88"/>
      <c r="N87" s="88"/>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1"/>
      <c r="AR87" s="75"/>
      <c r="AS87" s="91"/>
      <c r="AT87" s="91"/>
      <c r="AU87" s="90"/>
      <c r="AV87" s="91"/>
      <c r="AW87" s="91"/>
      <c r="AX87" s="91"/>
      <c r="AY87" s="91"/>
      <c r="AZ87" s="91"/>
      <c r="BA87" s="91"/>
      <c r="BB87" s="90"/>
      <c r="BC87" s="91"/>
      <c r="BD87" s="75"/>
      <c r="BE87" s="91"/>
      <c r="BF87" s="91"/>
      <c r="BG87" s="90"/>
      <c r="BH87" s="91"/>
      <c r="BI87" s="91"/>
      <c r="BJ87" s="91"/>
      <c r="BK87" s="91"/>
      <c r="BL87" s="91"/>
      <c r="BM87" s="91"/>
      <c r="BN87" s="90"/>
      <c r="BO87" s="91"/>
      <c r="BP87" s="75"/>
      <c r="BQ87" s="91"/>
      <c r="BR87" s="91"/>
      <c r="BS87" s="90"/>
      <c r="BT87" s="91"/>
      <c r="BU87" s="91"/>
      <c r="BV87" s="91"/>
      <c r="BW87" s="91"/>
      <c r="BX87" s="91"/>
      <c r="BY87" s="91"/>
      <c r="BZ87" s="90"/>
      <c r="CA87" s="91"/>
      <c r="CB87" s="75"/>
      <c r="CC87" s="91"/>
      <c r="CD87" s="91"/>
      <c r="CE87" s="90"/>
      <c r="CF87" s="91"/>
      <c r="CG87" s="91"/>
      <c r="CH87" s="91"/>
      <c r="CI87" s="91"/>
      <c r="CJ87" s="91"/>
      <c r="CK87" s="91"/>
      <c r="CL87" s="90"/>
      <c r="CM87" s="91"/>
      <c r="CN87" s="75"/>
      <c r="CO87" s="91"/>
      <c r="CP87" s="91"/>
      <c r="CQ87" s="90"/>
      <c r="CR87" s="91"/>
      <c r="CS87" s="91"/>
      <c r="CT87" s="91"/>
      <c r="CU87" s="91"/>
      <c r="CV87" s="91"/>
      <c r="CW87" s="91"/>
      <c r="CX87" s="90"/>
      <c r="CY87" s="91"/>
      <c r="CZ87" s="75"/>
      <c r="DA87" s="91"/>
      <c r="DB87" s="91"/>
      <c r="DC87" s="90"/>
      <c r="DD87" s="91"/>
      <c r="DE87" s="91"/>
      <c r="DF87" s="91"/>
      <c r="DG87" s="91"/>
      <c r="DH87" s="91"/>
      <c r="DI87" s="91"/>
      <c r="DJ87" s="90"/>
      <c r="DK87" s="91"/>
      <c r="DL87" s="75"/>
      <c r="DM87" s="75"/>
      <c r="DN87" s="75">
        <f t="shared" si="194"/>
        <v>0</v>
      </c>
      <c r="DO87" s="75" t="str">
        <f t="shared" si="196"/>
        <v/>
      </c>
      <c r="DP87" s="91" t="str">
        <f>IFERROR(#REF!/#REF!*1000,"")</f>
        <v/>
      </c>
      <c r="DQ87" s="91" t="str">
        <f>IFERROR(#REF!/#REF!*1000,"")</f>
        <v/>
      </c>
      <c r="DR87" s="90"/>
      <c r="DS87" s="91" t="str">
        <f>IFERROR(#REF!/#REF!*1000,"")</f>
        <v/>
      </c>
      <c r="DT87" s="91" t="str">
        <f>IFERROR(#REF!/#REF!*1000,"")</f>
        <v/>
      </c>
      <c r="DU87" s="91"/>
      <c r="DV87" s="91"/>
      <c r="DW87" s="91"/>
      <c r="DX87" s="91"/>
      <c r="DY87" s="90"/>
      <c r="DZ87" s="91"/>
      <c r="EA87" s="75"/>
      <c r="EB87" s="91"/>
      <c r="EC87" s="91"/>
      <c r="ED87" s="90"/>
      <c r="EE87" s="91"/>
      <c r="EF87" s="91"/>
      <c r="EG87" s="91"/>
      <c r="EH87" s="91"/>
      <c r="EI87" s="91"/>
      <c r="EJ87" s="91"/>
      <c r="EK87" s="90"/>
      <c r="EL87" s="90"/>
      <c r="EM87" s="88"/>
      <c r="EN87" s="92"/>
      <c r="EO87" s="92"/>
      <c r="EP87" s="92"/>
      <c r="EQ87" s="92"/>
      <c r="ER87" s="92"/>
      <c r="ES87" s="92"/>
      <c r="ET87" s="92"/>
      <c r="EU87" s="92"/>
      <c r="EV87" s="92"/>
      <c r="EW87" s="92"/>
      <c r="EX87" s="92"/>
      <c r="EY87" s="92"/>
      <c r="EZ87" s="92"/>
      <c r="FA87" s="92"/>
      <c r="FB87" s="92"/>
      <c r="FC87" s="92"/>
      <c r="FD87" s="92"/>
      <c r="FE87" s="92"/>
      <c r="FF87" s="92"/>
      <c r="FG87" s="92"/>
      <c r="FH87" s="92"/>
      <c r="FI87" s="92"/>
      <c r="FJ87" s="92"/>
      <c r="FK87" s="92"/>
      <c r="FL87" s="92"/>
      <c r="FM87" s="92"/>
      <c r="FN87" s="92"/>
      <c r="FO87" s="92"/>
      <c r="FP87" s="92"/>
      <c r="FQ87" s="92"/>
      <c r="FR87" s="92"/>
      <c r="FS87" s="92"/>
      <c r="FT87" s="92"/>
      <c r="FU87" s="92"/>
      <c r="FV87" s="92"/>
      <c r="FW87" s="92"/>
      <c r="FX87" s="92"/>
      <c r="FY87" s="92"/>
      <c r="FZ87" s="92"/>
      <c r="GA87" s="92"/>
      <c r="GB87" s="92"/>
      <c r="GC87" s="92"/>
      <c r="GD87" s="92"/>
      <c r="GE87" s="92"/>
      <c r="GF87" s="92"/>
      <c r="GG87" s="92"/>
      <c r="GH87" s="92"/>
      <c r="GI87" s="92"/>
      <c r="GJ87" s="92"/>
      <c r="GK87" s="92"/>
      <c r="GL87" s="92"/>
      <c r="GM87" s="92"/>
      <c r="GN87" s="92"/>
      <c r="GO87" s="92"/>
      <c r="GP87" s="92"/>
      <c r="GQ87" s="92"/>
      <c r="GR87" s="92"/>
      <c r="GS87" s="92"/>
      <c r="GT87" s="92"/>
      <c r="GU87" s="92"/>
      <c r="GV87" s="92"/>
      <c r="GW87" s="92"/>
      <c r="GX87" s="92"/>
      <c r="GY87" s="92"/>
      <c r="GZ87" s="92"/>
      <c r="HA87" s="92"/>
      <c r="HB87" s="92"/>
      <c r="HC87" s="92"/>
      <c r="HD87" s="92"/>
      <c r="HE87" s="92"/>
      <c r="HF87" s="92"/>
      <c r="HG87" s="92"/>
      <c r="HH87" s="92"/>
      <c r="HI87" s="92"/>
      <c r="HJ87" s="92"/>
      <c r="HK87" s="92"/>
      <c r="HL87" s="92"/>
      <c r="HM87" s="92"/>
      <c r="HN87" s="92"/>
      <c r="HO87" s="92"/>
      <c r="HP87" s="92"/>
      <c r="HQ87" s="92"/>
      <c r="HR87" s="92"/>
      <c r="HS87" s="92"/>
      <c r="HT87" s="92"/>
      <c r="HU87" s="92"/>
      <c r="HV87" s="92"/>
      <c r="HW87" s="92"/>
      <c r="HX87" s="92"/>
      <c r="HY87" s="92"/>
      <c r="HZ87" s="92"/>
      <c r="IA87" s="92"/>
      <c r="IB87" s="92"/>
      <c r="IC87" s="92"/>
      <c r="ID87" s="92"/>
      <c r="IE87" s="92"/>
      <c r="IF87" s="92"/>
      <c r="IG87" s="92"/>
      <c r="IH87" s="92"/>
      <c r="II87" s="92"/>
      <c r="IJ87" s="92"/>
      <c r="IK87" s="92"/>
      <c r="IL87" s="92"/>
      <c r="IM87" s="92"/>
      <c r="IN87" s="92"/>
      <c r="IO87" s="92"/>
      <c r="IP87" s="92"/>
      <c r="IQ87" s="92"/>
      <c r="IR87" s="92"/>
      <c r="IS87" s="92"/>
      <c r="IT87" s="92"/>
      <c r="IU87" s="92"/>
      <c r="IV87" s="92"/>
      <c r="IW87" s="92"/>
      <c r="IX87" s="92"/>
      <c r="IY87" s="92"/>
      <c r="IZ87" s="92"/>
      <c r="JA87" s="92"/>
      <c r="JB87" s="92"/>
      <c r="JC87" s="92"/>
      <c r="JD87" s="92"/>
      <c r="JE87" s="92"/>
      <c r="JF87" s="92"/>
      <c r="JG87" s="92"/>
      <c r="JH87" s="92"/>
      <c r="JI87" s="92"/>
      <c r="JJ87" s="92"/>
      <c r="JK87" s="92"/>
      <c r="JL87" s="92"/>
      <c r="JM87" s="92"/>
      <c r="JN87" s="92"/>
      <c r="JO87" s="92"/>
      <c r="JP87" s="92"/>
      <c r="JQ87" s="92"/>
      <c r="JR87" s="92"/>
      <c r="JS87" s="92"/>
      <c r="JT87" s="92"/>
      <c r="JU87" s="92"/>
      <c r="JV87" s="92"/>
      <c r="JW87" s="92"/>
      <c r="JX87" s="92"/>
      <c r="JY87" s="92"/>
      <c r="JZ87" s="92"/>
      <c r="KA87" s="92"/>
      <c r="KB87" s="92"/>
      <c r="KC87" s="92"/>
      <c r="KD87" s="92"/>
      <c r="KE87" s="92"/>
      <c r="KF87" s="92"/>
      <c r="KG87" s="92"/>
      <c r="KH87" s="92"/>
      <c r="KI87" s="92"/>
      <c r="KJ87" s="92"/>
      <c r="KK87" s="92"/>
      <c r="KL87" s="92"/>
      <c r="KM87" s="92"/>
      <c r="KN87" s="92"/>
      <c r="KO87" s="92"/>
      <c r="KP87" s="92"/>
      <c r="KQ87" s="88"/>
      <c r="KR87" s="92"/>
      <c r="KS87" s="92"/>
      <c r="KT87" s="92"/>
      <c r="KU87" s="93"/>
      <c r="KV87" s="92"/>
      <c r="KW87" s="93"/>
      <c r="KX87" s="92"/>
      <c r="KY87" s="93"/>
      <c r="KZ87" s="92"/>
      <c r="LA87" s="93"/>
      <c r="LB87" s="92"/>
      <c r="LC87" s="93"/>
      <c r="LD87" s="92"/>
      <c r="LE87" s="93"/>
      <c r="LF87" s="92"/>
      <c r="LG87" s="92"/>
      <c r="LH87" s="92"/>
      <c r="LI87" s="92"/>
      <c r="LJ87" s="92"/>
      <c r="LK87" s="92"/>
      <c r="LL87" s="92"/>
      <c r="LM87" s="92"/>
      <c r="LN87" s="92"/>
      <c r="LO87" s="92"/>
      <c r="LP87" s="88"/>
      <c r="LQ87" s="93"/>
      <c r="LR87" s="88"/>
      <c r="LS87" s="93"/>
      <c r="LT87" s="93"/>
      <c r="LU87" s="93"/>
      <c r="LV87" s="93"/>
      <c r="LW87" s="93"/>
      <c r="LX87" s="93"/>
      <c r="LY87" s="93"/>
      <c r="LZ87" s="93"/>
      <c r="MA87" s="93"/>
      <c r="MB87" s="93"/>
      <c r="MC87" s="94"/>
      <c r="MD87" s="94"/>
      <c r="ME87" s="94"/>
      <c r="MF87" s="94"/>
      <c r="MG87" s="94"/>
      <c r="MH87" s="94"/>
      <c r="MI87" s="94"/>
      <c r="MJ87" s="94"/>
      <c r="MK87" s="94"/>
      <c r="ML87" s="94"/>
      <c r="MM87" s="94"/>
      <c r="MN87" s="94"/>
      <c r="MO87" s="95"/>
      <c r="MP87" s="95"/>
      <c r="MQ87" s="94"/>
      <c r="MR87" s="94"/>
      <c r="MS87" s="94"/>
      <c r="MT87" s="94"/>
      <c r="MU87" s="94"/>
      <c r="MV87" s="94"/>
      <c r="MW87" s="94"/>
      <c r="MX87" s="94"/>
      <c r="MY87" s="94"/>
      <c r="MZ87" s="94"/>
      <c r="NA87" s="94"/>
      <c r="NB87" s="94"/>
      <c r="NC87" s="94"/>
      <c r="ND87" s="94"/>
      <c r="NE87" s="94"/>
      <c r="NF87" s="94"/>
      <c r="NG87" s="94"/>
      <c r="NH87" s="94"/>
      <c r="NI87" s="94"/>
      <c r="NJ87" s="94"/>
    </row>
    <row r="88" spans="1:374" x14ac:dyDescent="0.25">
      <c r="A88" s="88"/>
      <c r="B88" s="88"/>
      <c r="C88" s="88"/>
      <c r="D88" s="88"/>
      <c r="E88" s="89"/>
      <c r="F88" s="88"/>
      <c r="G88" s="88"/>
      <c r="H88" s="88" t="str">
        <f t="shared" si="195"/>
        <v xml:space="preserve">  </v>
      </c>
      <c r="I88" s="88"/>
      <c r="J88" s="88"/>
      <c r="K88" s="88"/>
      <c r="L88" s="88"/>
      <c r="M88" s="88"/>
      <c r="N88" s="88"/>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1"/>
      <c r="AR88" s="75"/>
      <c r="AS88" s="91"/>
      <c r="AT88" s="91"/>
      <c r="AU88" s="90"/>
      <c r="AV88" s="91"/>
      <c r="AW88" s="91"/>
      <c r="AX88" s="91"/>
      <c r="AY88" s="91"/>
      <c r="AZ88" s="91"/>
      <c r="BA88" s="91"/>
      <c r="BB88" s="90"/>
      <c r="BC88" s="91"/>
      <c r="BD88" s="75"/>
      <c r="BE88" s="91"/>
      <c r="BF88" s="91"/>
      <c r="BG88" s="90"/>
      <c r="BH88" s="91"/>
      <c r="BI88" s="91"/>
      <c r="BJ88" s="91"/>
      <c r="BK88" s="91"/>
      <c r="BL88" s="91"/>
      <c r="BM88" s="91"/>
      <c r="BN88" s="90"/>
      <c r="BO88" s="91"/>
      <c r="BP88" s="75"/>
      <c r="BQ88" s="91"/>
      <c r="BR88" s="91"/>
      <c r="BS88" s="90"/>
      <c r="BT88" s="91"/>
      <c r="BU88" s="91"/>
      <c r="BV88" s="91"/>
      <c r="BW88" s="91"/>
      <c r="BX88" s="91"/>
      <c r="BY88" s="91"/>
      <c r="BZ88" s="90"/>
      <c r="CA88" s="91"/>
      <c r="CB88" s="75"/>
      <c r="CC88" s="91"/>
      <c r="CD88" s="91"/>
      <c r="CE88" s="90"/>
      <c r="CF88" s="91"/>
      <c r="CG88" s="91"/>
      <c r="CH88" s="91"/>
      <c r="CI88" s="91"/>
      <c r="CJ88" s="91"/>
      <c r="CK88" s="91"/>
      <c r="CL88" s="90"/>
      <c r="CM88" s="91"/>
      <c r="CN88" s="75"/>
      <c r="CO88" s="91"/>
      <c r="CP88" s="91"/>
      <c r="CQ88" s="90"/>
      <c r="CR88" s="91"/>
      <c r="CS88" s="91"/>
      <c r="CT88" s="91"/>
      <c r="CU88" s="91"/>
      <c r="CV88" s="91"/>
      <c r="CW88" s="91"/>
      <c r="CX88" s="90"/>
      <c r="CY88" s="91"/>
      <c r="CZ88" s="75"/>
      <c r="DA88" s="91"/>
      <c r="DB88" s="91"/>
      <c r="DC88" s="90"/>
      <c r="DD88" s="91"/>
      <c r="DE88" s="91"/>
      <c r="DF88" s="91"/>
      <c r="DG88" s="91"/>
      <c r="DH88" s="91"/>
      <c r="DI88" s="91"/>
      <c r="DJ88" s="90"/>
      <c r="DK88" s="91"/>
      <c r="DL88" s="75"/>
      <c r="DM88" s="75"/>
      <c r="DN88" s="75">
        <f t="shared" si="194"/>
        <v>0</v>
      </c>
      <c r="DO88" s="75" t="str">
        <f t="shared" si="196"/>
        <v/>
      </c>
      <c r="DP88" s="91" t="str">
        <f>IFERROR(#REF!/#REF!*1000,"")</f>
        <v/>
      </c>
      <c r="DQ88" s="91" t="str">
        <f>IFERROR(#REF!/#REF!*1000,"")</f>
        <v/>
      </c>
      <c r="DR88" s="90"/>
      <c r="DS88" s="91" t="str">
        <f>IFERROR(#REF!/#REF!*1000,"")</f>
        <v/>
      </c>
      <c r="DT88" s="91" t="str">
        <f>IFERROR(#REF!/#REF!*1000,"")</f>
        <v/>
      </c>
      <c r="DU88" s="91"/>
      <c r="DV88" s="91"/>
      <c r="DW88" s="91"/>
      <c r="DX88" s="91"/>
      <c r="DY88" s="90"/>
      <c r="DZ88" s="91"/>
      <c r="EA88" s="75"/>
      <c r="EB88" s="91"/>
      <c r="EC88" s="91"/>
      <c r="ED88" s="90"/>
      <c r="EE88" s="91"/>
      <c r="EF88" s="91"/>
      <c r="EG88" s="91"/>
      <c r="EH88" s="91"/>
      <c r="EI88" s="91"/>
      <c r="EJ88" s="91"/>
      <c r="EK88" s="90"/>
      <c r="EL88" s="90"/>
      <c r="EM88" s="88"/>
      <c r="EN88" s="92"/>
      <c r="EO88" s="92"/>
      <c r="EP88" s="92"/>
      <c r="EQ88" s="92"/>
      <c r="ER88" s="92"/>
      <c r="ES88" s="92"/>
      <c r="ET88" s="92"/>
      <c r="EU88" s="92"/>
      <c r="EV88" s="92"/>
      <c r="EW88" s="92"/>
      <c r="EX88" s="92"/>
      <c r="EY88" s="92"/>
      <c r="EZ88" s="92"/>
      <c r="FA88" s="92"/>
      <c r="FB88" s="92"/>
      <c r="FC88" s="92"/>
      <c r="FD88" s="92"/>
      <c r="FE88" s="92"/>
      <c r="FF88" s="92"/>
      <c r="FG88" s="92"/>
      <c r="FH88" s="92"/>
      <c r="FI88" s="92"/>
      <c r="FJ88" s="92"/>
      <c r="FK88" s="92"/>
      <c r="FL88" s="92"/>
      <c r="FM88" s="92"/>
      <c r="FN88" s="92"/>
      <c r="FO88" s="92"/>
      <c r="FP88" s="92"/>
      <c r="FQ88" s="92"/>
      <c r="FR88" s="92"/>
      <c r="FS88" s="92"/>
      <c r="FT88" s="92"/>
      <c r="FU88" s="92"/>
      <c r="FV88" s="92"/>
      <c r="FW88" s="92"/>
      <c r="FX88" s="92"/>
      <c r="FY88" s="92"/>
      <c r="FZ88" s="92"/>
      <c r="GA88" s="92"/>
      <c r="GB88" s="92"/>
      <c r="GC88" s="92"/>
      <c r="GD88" s="92"/>
      <c r="GE88" s="92"/>
      <c r="GF88" s="92"/>
      <c r="GG88" s="92"/>
      <c r="GH88" s="92"/>
      <c r="GI88" s="92"/>
      <c r="GJ88" s="92"/>
      <c r="GK88" s="92"/>
      <c r="GL88" s="92"/>
      <c r="GM88" s="92"/>
      <c r="GN88" s="92"/>
      <c r="GO88" s="92"/>
      <c r="GP88" s="92"/>
      <c r="GQ88" s="92"/>
      <c r="GR88" s="92"/>
      <c r="GS88" s="92"/>
      <c r="GT88" s="92"/>
      <c r="GU88" s="92"/>
      <c r="GV88" s="92"/>
      <c r="GW88" s="92"/>
      <c r="GX88" s="92"/>
      <c r="GY88" s="92"/>
      <c r="GZ88" s="92"/>
      <c r="HA88" s="92"/>
      <c r="HB88" s="92"/>
      <c r="HC88" s="92"/>
      <c r="HD88" s="92"/>
      <c r="HE88" s="92"/>
      <c r="HF88" s="92"/>
      <c r="HG88" s="92"/>
      <c r="HH88" s="92"/>
      <c r="HI88" s="92"/>
      <c r="HJ88" s="92"/>
      <c r="HK88" s="92"/>
      <c r="HL88" s="92"/>
      <c r="HM88" s="92"/>
      <c r="HN88" s="92"/>
      <c r="HO88" s="92"/>
      <c r="HP88" s="92"/>
      <c r="HQ88" s="92"/>
      <c r="HR88" s="92"/>
      <c r="HS88" s="92"/>
      <c r="HT88" s="92"/>
      <c r="HU88" s="92"/>
      <c r="HV88" s="92"/>
      <c r="HW88" s="92"/>
      <c r="HX88" s="92"/>
      <c r="HY88" s="92"/>
      <c r="HZ88" s="92"/>
      <c r="IA88" s="92"/>
      <c r="IB88" s="92"/>
      <c r="IC88" s="92"/>
      <c r="ID88" s="92"/>
      <c r="IE88" s="92"/>
      <c r="IF88" s="92"/>
      <c r="IG88" s="92"/>
      <c r="IH88" s="92"/>
      <c r="II88" s="92"/>
      <c r="IJ88" s="92"/>
      <c r="IK88" s="92"/>
      <c r="IL88" s="92"/>
      <c r="IM88" s="92"/>
      <c r="IN88" s="92"/>
      <c r="IO88" s="92"/>
      <c r="IP88" s="92"/>
      <c r="IQ88" s="92"/>
      <c r="IR88" s="92"/>
      <c r="IS88" s="92"/>
      <c r="IT88" s="92"/>
      <c r="IU88" s="92"/>
      <c r="IV88" s="92"/>
      <c r="IW88" s="92"/>
      <c r="IX88" s="92"/>
      <c r="IY88" s="92"/>
      <c r="IZ88" s="92"/>
      <c r="JA88" s="92"/>
      <c r="JB88" s="92"/>
      <c r="JC88" s="92"/>
      <c r="JD88" s="92"/>
      <c r="JE88" s="92"/>
      <c r="JF88" s="92"/>
      <c r="JG88" s="92"/>
      <c r="JH88" s="92"/>
      <c r="JI88" s="92"/>
      <c r="JJ88" s="92"/>
      <c r="JK88" s="92"/>
      <c r="JL88" s="92"/>
      <c r="JM88" s="92"/>
      <c r="JN88" s="92"/>
      <c r="JO88" s="92"/>
      <c r="JP88" s="92"/>
      <c r="JQ88" s="92"/>
      <c r="JR88" s="92"/>
      <c r="JS88" s="92"/>
      <c r="JT88" s="92"/>
      <c r="JU88" s="92"/>
      <c r="JV88" s="92"/>
      <c r="JW88" s="92"/>
      <c r="JX88" s="92"/>
      <c r="JY88" s="92"/>
      <c r="JZ88" s="92"/>
      <c r="KA88" s="92"/>
      <c r="KB88" s="92"/>
      <c r="KC88" s="92"/>
      <c r="KD88" s="92"/>
      <c r="KE88" s="92"/>
      <c r="KF88" s="92"/>
      <c r="KG88" s="92"/>
      <c r="KH88" s="92"/>
      <c r="KI88" s="92"/>
      <c r="KJ88" s="92"/>
      <c r="KK88" s="92"/>
      <c r="KL88" s="92"/>
      <c r="KM88" s="92"/>
      <c r="KN88" s="92"/>
      <c r="KO88" s="92"/>
      <c r="KP88" s="92"/>
      <c r="KQ88" s="88"/>
      <c r="KR88" s="92"/>
      <c r="KS88" s="92"/>
      <c r="KT88" s="92"/>
      <c r="KU88" s="93"/>
      <c r="KV88" s="92"/>
      <c r="KW88" s="93"/>
      <c r="KX88" s="92"/>
      <c r="KY88" s="93"/>
      <c r="KZ88" s="92"/>
      <c r="LA88" s="93"/>
      <c r="LB88" s="92"/>
      <c r="LC88" s="93"/>
      <c r="LD88" s="92"/>
      <c r="LE88" s="93"/>
      <c r="LF88" s="92"/>
      <c r="LG88" s="92"/>
      <c r="LH88" s="92"/>
      <c r="LI88" s="92"/>
      <c r="LJ88" s="92"/>
      <c r="LK88" s="92"/>
      <c r="LL88" s="92"/>
      <c r="LM88" s="92"/>
      <c r="LN88" s="92"/>
      <c r="LO88" s="92"/>
      <c r="LP88" s="88"/>
      <c r="LQ88" s="93"/>
      <c r="LR88" s="88"/>
      <c r="LS88" s="93"/>
      <c r="LT88" s="93"/>
      <c r="LU88" s="93"/>
      <c r="LV88" s="93"/>
      <c r="LW88" s="93"/>
      <c r="LX88" s="93"/>
      <c r="LY88" s="93"/>
      <c r="LZ88" s="93"/>
      <c r="MA88" s="93"/>
      <c r="MB88" s="93"/>
      <c r="MC88" s="94"/>
      <c r="MD88" s="94"/>
      <c r="ME88" s="94"/>
      <c r="MF88" s="94"/>
      <c r="MG88" s="94"/>
      <c r="MH88" s="94"/>
      <c r="MI88" s="94"/>
      <c r="MJ88" s="94"/>
      <c r="MK88" s="94"/>
      <c r="ML88" s="94"/>
      <c r="MM88" s="94"/>
      <c r="MN88" s="94"/>
      <c r="MO88" s="95"/>
      <c r="MP88" s="95"/>
      <c r="MQ88" s="94"/>
      <c r="MR88" s="94"/>
      <c r="MS88" s="94"/>
      <c r="MT88" s="94"/>
      <c r="MU88" s="94"/>
      <c r="MV88" s="94"/>
      <c r="MW88" s="94"/>
      <c r="MX88" s="94"/>
      <c r="MY88" s="94"/>
      <c r="MZ88" s="94"/>
      <c r="NA88" s="94"/>
      <c r="NB88" s="94"/>
      <c r="NC88" s="94"/>
      <c r="ND88" s="94"/>
      <c r="NE88" s="94"/>
      <c r="NF88" s="94"/>
      <c r="NG88" s="94"/>
      <c r="NH88" s="94"/>
      <c r="NI88" s="94"/>
      <c r="NJ88" s="94"/>
    </row>
    <row r="89" spans="1:374" x14ac:dyDescent="0.25">
      <c r="A89" s="88"/>
      <c r="B89" s="88"/>
      <c r="C89" s="88"/>
      <c r="D89" s="88"/>
      <c r="E89" s="89"/>
      <c r="F89" s="88"/>
      <c r="G89" s="88"/>
      <c r="H89" s="88" t="str">
        <f t="shared" si="195"/>
        <v xml:space="preserve">  </v>
      </c>
      <c r="I89" s="88"/>
      <c r="J89" s="88"/>
      <c r="K89" s="88"/>
      <c r="L89" s="88"/>
      <c r="M89" s="88"/>
      <c r="N89" s="88"/>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1"/>
      <c r="AR89" s="75"/>
      <c r="AS89" s="91"/>
      <c r="AT89" s="91"/>
      <c r="AU89" s="90"/>
      <c r="AV89" s="91"/>
      <c r="AW89" s="91"/>
      <c r="AX89" s="91"/>
      <c r="AY89" s="91"/>
      <c r="AZ89" s="91"/>
      <c r="BA89" s="91"/>
      <c r="BB89" s="90"/>
      <c r="BC89" s="91"/>
      <c r="BD89" s="75"/>
      <c r="BE89" s="91"/>
      <c r="BF89" s="91"/>
      <c r="BG89" s="90"/>
      <c r="BH89" s="91"/>
      <c r="BI89" s="91"/>
      <c r="BJ89" s="91"/>
      <c r="BK89" s="91"/>
      <c r="BL89" s="91"/>
      <c r="BM89" s="91"/>
      <c r="BN89" s="90"/>
      <c r="BO89" s="91"/>
      <c r="BP89" s="75"/>
      <c r="BQ89" s="91"/>
      <c r="BR89" s="91"/>
      <c r="BS89" s="90"/>
      <c r="BT89" s="91"/>
      <c r="BU89" s="91"/>
      <c r="BV89" s="91"/>
      <c r="BW89" s="91"/>
      <c r="BX89" s="91"/>
      <c r="BY89" s="91"/>
      <c r="BZ89" s="90"/>
      <c r="CA89" s="91"/>
      <c r="CB89" s="75"/>
      <c r="CC89" s="91"/>
      <c r="CD89" s="91"/>
      <c r="CE89" s="90"/>
      <c r="CF89" s="91"/>
      <c r="CG89" s="91"/>
      <c r="CH89" s="91"/>
      <c r="CI89" s="91"/>
      <c r="CJ89" s="91"/>
      <c r="CK89" s="91"/>
      <c r="CL89" s="90"/>
      <c r="CM89" s="91"/>
      <c r="CN89" s="75"/>
      <c r="CO89" s="91"/>
      <c r="CP89" s="91"/>
      <c r="CQ89" s="90"/>
      <c r="CR89" s="91"/>
      <c r="CS89" s="91"/>
      <c r="CT89" s="91"/>
      <c r="CU89" s="91"/>
      <c r="CV89" s="91"/>
      <c r="CW89" s="91"/>
      <c r="CX89" s="90"/>
      <c r="CY89" s="91"/>
      <c r="CZ89" s="75"/>
      <c r="DA89" s="91"/>
      <c r="DB89" s="91"/>
      <c r="DC89" s="90"/>
      <c r="DD89" s="91"/>
      <c r="DE89" s="91"/>
      <c r="DF89" s="91"/>
      <c r="DG89" s="91"/>
      <c r="DH89" s="91"/>
      <c r="DI89" s="91"/>
      <c r="DJ89" s="90"/>
      <c r="DK89" s="91"/>
      <c r="DL89" s="75"/>
      <c r="DM89" s="75"/>
      <c r="DN89" s="75">
        <f t="shared" si="194"/>
        <v>0</v>
      </c>
      <c r="DO89" s="75" t="str">
        <f t="shared" si="196"/>
        <v/>
      </c>
      <c r="DP89" s="91" t="str">
        <f>IFERROR(#REF!/#REF!*1000,"")</f>
        <v/>
      </c>
      <c r="DQ89" s="91" t="str">
        <f>IFERROR(#REF!/#REF!*1000,"")</f>
        <v/>
      </c>
      <c r="DR89" s="90"/>
      <c r="DS89" s="91" t="str">
        <f>IFERROR(#REF!/#REF!*1000,"")</f>
        <v/>
      </c>
      <c r="DT89" s="91" t="str">
        <f>IFERROR(#REF!/#REF!*1000,"")</f>
        <v/>
      </c>
      <c r="DU89" s="91"/>
      <c r="DV89" s="91"/>
      <c r="DW89" s="91"/>
      <c r="DX89" s="91"/>
      <c r="DY89" s="90"/>
      <c r="DZ89" s="91"/>
      <c r="EA89" s="75"/>
      <c r="EB89" s="91"/>
      <c r="EC89" s="91"/>
      <c r="ED89" s="90"/>
      <c r="EE89" s="91"/>
      <c r="EF89" s="91"/>
      <c r="EG89" s="91"/>
      <c r="EH89" s="91"/>
      <c r="EI89" s="91"/>
      <c r="EJ89" s="91"/>
      <c r="EK89" s="90"/>
      <c r="EL89" s="90"/>
      <c r="EM89" s="88"/>
      <c r="EN89" s="92"/>
      <c r="EO89" s="92"/>
      <c r="EP89" s="92"/>
      <c r="EQ89" s="92"/>
      <c r="ER89" s="92"/>
      <c r="ES89" s="92"/>
      <c r="ET89" s="92"/>
      <c r="EU89" s="92"/>
      <c r="EV89" s="92"/>
      <c r="EW89" s="92"/>
      <c r="EX89" s="92"/>
      <c r="EY89" s="92"/>
      <c r="EZ89" s="92"/>
      <c r="FA89" s="92"/>
      <c r="FB89" s="92"/>
      <c r="FC89" s="92"/>
      <c r="FD89" s="92"/>
      <c r="FE89" s="92"/>
      <c r="FF89" s="92"/>
      <c r="FG89" s="92"/>
      <c r="FH89" s="92"/>
      <c r="FI89" s="92"/>
      <c r="FJ89" s="92"/>
      <c r="FK89" s="92"/>
      <c r="FL89" s="92"/>
      <c r="FM89" s="92"/>
      <c r="FN89" s="92"/>
      <c r="FO89" s="92"/>
      <c r="FP89" s="92"/>
      <c r="FQ89" s="92"/>
      <c r="FR89" s="92"/>
      <c r="FS89" s="92"/>
      <c r="FT89" s="92"/>
      <c r="FU89" s="92"/>
      <c r="FV89" s="92"/>
      <c r="FW89" s="92"/>
      <c r="FX89" s="92"/>
      <c r="FY89" s="92"/>
      <c r="FZ89" s="92"/>
      <c r="GA89" s="92"/>
      <c r="GB89" s="92"/>
      <c r="GC89" s="92"/>
      <c r="GD89" s="92"/>
      <c r="GE89" s="92"/>
      <c r="GF89" s="92"/>
      <c r="GG89" s="92"/>
      <c r="GH89" s="92"/>
      <c r="GI89" s="92"/>
      <c r="GJ89" s="92"/>
      <c r="GK89" s="92"/>
      <c r="GL89" s="92"/>
      <c r="GM89" s="92"/>
      <c r="GN89" s="92"/>
      <c r="GO89" s="92"/>
      <c r="GP89" s="92"/>
      <c r="GQ89" s="92"/>
      <c r="GR89" s="92"/>
      <c r="GS89" s="92"/>
      <c r="GT89" s="92"/>
      <c r="GU89" s="92"/>
      <c r="GV89" s="92"/>
      <c r="GW89" s="92"/>
      <c r="GX89" s="92"/>
      <c r="GY89" s="92"/>
      <c r="GZ89" s="92"/>
      <c r="HA89" s="92"/>
      <c r="HB89" s="92"/>
      <c r="HC89" s="92"/>
      <c r="HD89" s="92"/>
      <c r="HE89" s="92"/>
      <c r="HF89" s="92"/>
      <c r="HG89" s="92"/>
      <c r="HH89" s="92"/>
      <c r="HI89" s="92"/>
      <c r="HJ89" s="92"/>
      <c r="HK89" s="92"/>
      <c r="HL89" s="92"/>
      <c r="HM89" s="92"/>
      <c r="HN89" s="92"/>
      <c r="HO89" s="92"/>
      <c r="HP89" s="92"/>
      <c r="HQ89" s="92"/>
      <c r="HR89" s="92"/>
      <c r="HS89" s="92"/>
      <c r="HT89" s="92"/>
      <c r="HU89" s="92"/>
      <c r="HV89" s="92"/>
      <c r="HW89" s="92"/>
      <c r="HX89" s="92"/>
      <c r="HY89" s="92"/>
      <c r="HZ89" s="92"/>
      <c r="IA89" s="92"/>
      <c r="IB89" s="92"/>
      <c r="IC89" s="92"/>
      <c r="ID89" s="92"/>
      <c r="IE89" s="92"/>
      <c r="IF89" s="92"/>
      <c r="IG89" s="92"/>
      <c r="IH89" s="92"/>
      <c r="II89" s="92"/>
      <c r="IJ89" s="92"/>
      <c r="IK89" s="92"/>
      <c r="IL89" s="92"/>
      <c r="IM89" s="92"/>
      <c r="IN89" s="92"/>
      <c r="IO89" s="92"/>
      <c r="IP89" s="92"/>
      <c r="IQ89" s="92"/>
      <c r="IR89" s="92"/>
      <c r="IS89" s="92"/>
      <c r="IT89" s="92"/>
      <c r="IU89" s="92"/>
      <c r="IV89" s="92"/>
      <c r="IW89" s="92"/>
      <c r="IX89" s="92"/>
      <c r="IY89" s="92"/>
      <c r="IZ89" s="92"/>
      <c r="JA89" s="92"/>
      <c r="JB89" s="92"/>
      <c r="JC89" s="92"/>
      <c r="JD89" s="92"/>
      <c r="JE89" s="92"/>
      <c r="JF89" s="92"/>
      <c r="JG89" s="92"/>
      <c r="JH89" s="92"/>
      <c r="JI89" s="92"/>
      <c r="JJ89" s="92"/>
      <c r="JK89" s="92"/>
      <c r="JL89" s="92"/>
      <c r="JM89" s="92"/>
      <c r="JN89" s="92"/>
      <c r="JO89" s="92"/>
      <c r="JP89" s="92"/>
      <c r="JQ89" s="92"/>
      <c r="JR89" s="92"/>
      <c r="JS89" s="92"/>
      <c r="JT89" s="92"/>
      <c r="JU89" s="92"/>
      <c r="JV89" s="92"/>
      <c r="JW89" s="92"/>
      <c r="JX89" s="92"/>
      <c r="JY89" s="92"/>
      <c r="JZ89" s="92"/>
      <c r="KA89" s="92"/>
      <c r="KB89" s="92"/>
      <c r="KC89" s="92"/>
      <c r="KD89" s="92"/>
      <c r="KE89" s="92"/>
      <c r="KF89" s="92"/>
      <c r="KG89" s="92"/>
      <c r="KH89" s="92"/>
      <c r="KI89" s="92"/>
      <c r="KJ89" s="92"/>
      <c r="KK89" s="92"/>
      <c r="KL89" s="92"/>
      <c r="KM89" s="92"/>
      <c r="KN89" s="92"/>
      <c r="KO89" s="92"/>
      <c r="KP89" s="92"/>
      <c r="KQ89" s="88"/>
      <c r="KR89" s="92"/>
      <c r="KS89" s="92"/>
      <c r="KT89" s="92"/>
      <c r="KU89" s="93"/>
      <c r="KV89" s="92"/>
      <c r="KW89" s="93"/>
      <c r="KX89" s="92"/>
      <c r="KY89" s="93"/>
      <c r="KZ89" s="92"/>
      <c r="LA89" s="93"/>
      <c r="LB89" s="92"/>
      <c r="LC89" s="93"/>
      <c r="LD89" s="92"/>
      <c r="LE89" s="93"/>
      <c r="LF89" s="92"/>
      <c r="LG89" s="92"/>
      <c r="LH89" s="92"/>
      <c r="LI89" s="92"/>
      <c r="LJ89" s="92"/>
      <c r="LK89" s="92"/>
      <c r="LL89" s="92"/>
      <c r="LM89" s="92"/>
      <c r="LN89" s="92"/>
      <c r="LO89" s="92"/>
      <c r="LP89" s="88"/>
      <c r="LQ89" s="93"/>
      <c r="LR89" s="88"/>
      <c r="LS89" s="93"/>
      <c r="LT89" s="93"/>
      <c r="LU89" s="93"/>
      <c r="LV89" s="93"/>
      <c r="LW89" s="93"/>
      <c r="LX89" s="93"/>
      <c r="LY89" s="93"/>
      <c r="LZ89" s="93"/>
      <c r="MA89" s="93"/>
      <c r="MB89" s="93"/>
      <c r="MC89" s="94"/>
      <c r="MD89" s="94"/>
      <c r="ME89" s="94"/>
      <c r="MF89" s="94"/>
      <c r="MG89" s="94"/>
      <c r="MH89" s="94"/>
      <c r="MI89" s="94"/>
      <c r="MJ89" s="94"/>
      <c r="MK89" s="94"/>
      <c r="ML89" s="94"/>
      <c r="MM89" s="94"/>
      <c r="MN89" s="94"/>
      <c r="MO89" s="95"/>
      <c r="MP89" s="95"/>
      <c r="MQ89" s="94"/>
      <c r="MR89" s="94"/>
      <c r="MS89" s="94"/>
      <c r="MT89" s="94"/>
      <c r="MU89" s="94"/>
      <c r="MV89" s="94"/>
      <c r="MW89" s="94"/>
      <c r="MX89" s="94"/>
      <c r="MY89" s="94"/>
      <c r="MZ89" s="94"/>
      <c r="NA89" s="94"/>
      <c r="NB89" s="94"/>
      <c r="NC89" s="94"/>
      <c r="ND89" s="94"/>
      <c r="NE89" s="94"/>
      <c r="NF89" s="94"/>
      <c r="NG89" s="94"/>
      <c r="NH89" s="94"/>
      <c r="NI89" s="94"/>
      <c r="NJ89" s="94"/>
    </row>
    <row r="90" spans="1:374" x14ac:dyDescent="0.25">
      <c r="A90" s="88"/>
      <c r="B90" s="88"/>
      <c r="C90" s="88"/>
      <c r="D90" s="88"/>
      <c r="E90" s="89"/>
      <c r="F90" s="88"/>
      <c r="G90" s="88"/>
      <c r="H90" s="88" t="str">
        <f t="shared" si="195"/>
        <v xml:space="preserve">  </v>
      </c>
      <c r="I90" s="88"/>
      <c r="J90" s="88"/>
      <c r="K90" s="88"/>
      <c r="L90" s="88"/>
      <c r="M90" s="88"/>
      <c r="N90" s="88"/>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1"/>
      <c r="AR90" s="75"/>
      <c r="AS90" s="91"/>
      <c r="AT90" s="91"/>
      <c r="AU90" s="90"/>
      <c r="AV90" s="91"/>
      <c r="AW90" s="91"/>
      <c r="AX90" s="91"/>
      <c r="AY90" s="91"/>
      <c r="AZ90" s="91"/>
      <c r="BA90" s="91"/>
      <c r="BB90" s="90"/>
      <c r="BC90" s="91"/>
      <c r="BD90" s="75"/>
      <c r="BE90" s="91"/>
      <c r="BF90" s="91"/>
      <c r="BG90" s="90"/>
      <c r="BH90" s="91"/>
      <c r="BI90" s="91"/>
      <c r="BJ90" s="91"/>
      <c r="BK90" s="91"/>
      <c r="BL90" s="91"/>
      <c r="BM90" s="91"/>
      <c r="BN90" s="90"/>
      <c r="BO90" s="91"/>
      <c r="BP90" s="75"/>
      <c r="BQ90" s="91"/>
      <c r="BR90" s="91"/>
      <c r="BS90" s="90"/>
      <c r="BT90" s="91"/>
      <c r="BU90" s="91"/>
      <c r="BV90" s="91"/>
      <c r="BW90" s="91"/>
      <c r="BX90" s="91"/>
      <c r="BY90" s="91"/>
      <c r="BZ90" s="90"/>
      <c r="CA90" s="91"/>
      <c r="CB90" s="75"/>
      <c r="CC90" s="91"/>
      <c r="CD90" s="91"/>
      <c r="CE90" s="90"/>
      <c r="CF90" s="91"/>
      <c r="CG90" s="91"/>
      <c r="CH90" s="91"/>
      <c r="CI90" s="91"/>
      <c r="CJ90" s="91"/>
      <c r="CK90" s="91"/>
      <c r="CL90" s="90"/>
      <c r="CM90" s="91"/>
      <c r="CN90" s="75"/>
      <c r="CO90" s="91"/>
      <c r="CP90" s="91"/>
      <c r="CQ90" s="90"/>
      <c r="CR90" s="91"/>
      <c r="CS90" s="91"/>
      <c r="CT90" s="91"/>
      <c r="CU90" s="91"/>
      <c r="CV90" s="91"/>
      <c r="CW90" s="91"/>
      <c r="CX90" s="90"/>
      <c r="CY90" s="91"/>
      <c r="CZ90" s="75"/>
      <c r="DA90" s="91"/>
      <c r="DB90" s="91"/>
      <c r="DC90" s="90"/>
      <c r="DD90" s="91"/>
      <c r="DE90" s="91"/>
      <c r="DF90" s="91"/>
      <c r="DG90" s="91"/>
      <c r="DH90" s="91"/>
      <c r="DI90" s="91"/>
      <c r="DJ90" s="90"/>
      <c r="DK90" s="91"/>
      <c r="DL90" s="75"/>
      <c r="DM90" s="75"/>
      <c r="DN90" s="75">
        <f t="shared" si="194"/>
        <v>0</v>
      </c>
      <c r="DO90" s="75" t="str">
        <f t="shared" si="196"/>
        <v/>
      </c>
      <c r="DP90" s="91" t="str">
        <f>IFERROR(#REF!/#REF!*1000,"")</f>
        <v/>
      </c>
      <c r="DQ90" s="91" t="str">
        <f>IFERROR(#REF!/#REF!*1000,"")</f>
        <v/>
      </c>
      <c r="DR90" s="90"/>
      <c r="DS90" s="91" t="str">
        <f>IFERROR(#REF!/#REF!*1000,"")</f>
        <v/>
      </c>
      <c r="DT90" s="91" t="str">
        <f>IFERROR(#REF!/#REF!*1000,"")</f>
        <v/>
      </c>
      <c r="DU90" s="91"/>
      <c r="DV90" s="91"/>
      <c r="DW90" s="91"/>
      <c r="DX90" s="91"/>
      <c r="DY90" s="90"/>
      <c r="DZ90" s="91"/>
      <c r="EA90" s="75"/>
      <c r="EB90" s="91"/>
      <c r="EC90" s="91"/>
      <c r="ED90" s="90"/>
      <c r="EE90" s="91"/>
      <c r="EF90" s="91"/>
      <c r="EG90" s="91"/>
      <c r="EH90" s="91"/>
      <c r="EI90" s="91"/>
      <c r="EJ90" s="91"/>
      <c r="EK90" s="90"/>
      <c r="EL90" s="90"/>
      <c r="EM90" s="88"/>
      <c r="EN90" s="92"/>
      <c r="EO90" s="92"/>
      <c r="EP90" s="92"/>
      <c r="EQ90" s="92"/>
      <c r="ER90" s="92"/>
      <c r="ES90" s="92"/>
      <c r="ET90" s="92"/>
      <c r="EU90" s="92"/>
      <c r="EV90" s="92"/>
      <c r="EW90" s="92"/>
      <c r="EX90" s="92"/>
      <c r="EY90" s="92"/>
      <c r="EZ90" s="92"/>
      <c r="FA90" s="92"/>
      <c r="FB90" s="92"/>
      <c r="FC90" s="92"/>
      <c r="FD90" s="92"/>
      <c r="FE90" s="92"/>
      <c r="FF90" s="92"/>
      <c r="FG90" s="92"/>
      <c r="FH90" s="92"/>
      <c r="FI90" s="92"/>
      <c r="FJ90" s="92"/>
      <c r="FK90" s="92"/>
      <c r="FL90" s="92"/>
      <c r="FM90" s="92"/>
      <c r="FN90" s="92"/>
      <c r="FO90" s="92"/>
      <c r="FP90" s="92"/>
      <c r="FQ90" s="92"/>
      <c r="FR90" s="92"/>
      <c r="FS90" s="92"/>
      <c r="FT90" s="92"/>
      <c r="FU90" s="92"/>
      <c r="FV90" s="92"/>
      <c r="FW90" s="92"/>
      <c r="FX90" s="92"/>
      <c r="FY90" s="92"/>
      <c r="FZ90" s="92"/>
      <c r="GA90" s="92"/>
      <c r="GB90" s="92"/>
      <c r="GC90" s="92"/>
      <c r="GD90" s="92"/>
      <c r="GE90" s="92"/>
      <c r="GF90" s="92"/>
      <c r="GG90" s="92"/>
      <c r="GH90" s="92"/>
      <c r="GI90" s="92"/>
      <c r="GJ90" s="92"/>
      <c r="GK90" s="92"/>
      <c r="GL90" s="92"/>
      <c r="GM90" s="92"/>
      <c r="GN90" s="92"/>
      <c r="GO90" s="92"/>
      <c r="GP90" s="92"/>
      <c r="GQ90" s="92"/>
      <c r="GR90" s="92"/>
      <c r="GS90" s="92"/>
      <c r="GT90" s="92"/>
      <c r="GU90" s="92"/>
      <c r="GV90" s="92"/>
      <c r="GW90" s="92"/>
      <c r="GX90" s="92"/>
      <c r="GY90" s="92"/>
      <c r="GZ90" s="92"/>
      <c r="HA90" s="92"/>
      <c r="HB90" s="92"/>
      <c r="HC90" s="92"/>
      <c r="HD90" s="92"/>
      <c r="HE90" s="92"/>
      <c r="HF90" s="92"/>
      <c r="HG90" s="92"/>
      <c r="HH90" s="92"/>
      <c r="HI90" s="92"/>
      <c r="HJ90" s="92"/>
      <c r="HK90" s="92"/>
      <c r="HL90" s="92"/>
      <c r="HM90" s="92"/>
      <c r="HN90" s="92"/>
      <c r="HO90" s="92"/>
      <c r="HP90" s="92"/>
      <c r="HQ90" s="92"/>
      <c r="HR90" s="92"/>
      <c r="HS90" s="92"/>
      <c r="HT90" s="92"/>
      <c r="HU90" s="92"/>
      <c r="HV90" s="92"/>
      <c r="HW90" s="92"/>
      <c r="HX90" s="92"/>
      <c r="HY90" s="92"/>
      <c r="HZ90" s="92"/>
      <c r="IA90" s="92"/>
      <c r="IB90" s="92"/>
      <c r="IC90" s="92"/>
      <c r="ID90" s="92"/>
      <c r="IE90" s="92"/>
      <c r="IF90" s="92"/>
      <c r="IG90" s="92"/>
      <c r="IH90" s="92"/>
      <c r="II90" s="92"/>
      <c r="IJ90" s="92"/>
      <c r="IK90" s="92"/>
      <c r="IL90" s="92"/>
      <c r="IM90" s="92"/>
      <c r="IN90" s="92"/>
      <c r="IO90" s="92"/>
      <c r="IP90" s="92"/>
      <c r="IQ90" s="92"/>
      <c r="IR90" s="92"/>
      <c r="IS90" s="92"/>
      <c r="IT90" s="92"/>
      <c r="IU90" s="92"/>
      <c r="IV90" s="92"/>
      <c r="IW90" s="92"/>
      <c r="IX90" s="92"/>
      <c r="IY90" s="92"/>
      <c r="IZ90" s="92"/>
      <c r="JA90" s="92"/>
      <c r="JB90" s="92"/>
      <c r="JC90" s="92"/>
      <c r="JD90" s="92"/>
      <c r="JE90" s="92"/>
      <c r="JF90" s="92"/>
      <c r="JG90" s="92"/>
      <c r="JH90" s="92"/>
      <c r="JI90" s="92"/>
      <c r="JJ90" s="92"/>
      <c r="JK90" s="92"/>
      <c r="JL90" s="92"/>
      <c r="JM90" s="92"/>
      <c r="JN90" s="92"/>
      <c r="JO90" s="92"/>
      <c r="JP90" s="92"/>
      <c r="JQ90" s="92"/>
      <c r="JR90" s="92"/>
      <c r="JS90" s="92"/>
      <c r="JT90" s="92"/>
      <c r="JU90" s="92"/>
      <c r="JV90" s="92"/>
      <c r="JW90" s="92"/>
      <c r="JX90" s="92"/>
      <c r="JY90" s="92"/>
      <c r="JZ90" s="92"/>
      <c r="KA90" s="92"/>
      <c r="KB90" s="92"/>
      <c r="KC90" s="92"/>
      <c r="KD90" s="92"/>
      <c r="KE90" s="92"/>
      <c r="KF90" s="92"/>
      <c r="KG90" s="92"/>
      <c r="KH90" s="92"/>
      <c r="KI90" s="92"/>
      <c r="KJ90" s="92"/>
      <c r="KK90" s="92"/>
      <c r="KL90" s="92"/>
      <c r="KM90" s="92"/>
      <c r="KN90" s="92"/>
      <c r="KO90" s="92"/>
      <c r="KP90" s="92"/>
      <c r="KQ90" s="88"/>
      <c r="KR90" s="92"/>
      <c r="KS90" s="92"/>
      <c r="KT90" s="92"/>
      <c r="KU90" s="93"/>
      <c r="KV90" s="92"/>
      <c r="KW90" s="93"/>
      <c r="KX90" s="92"/>
      <c r="KY90" s="93"/>
      <c r="KZ90" s="92"/>
      <c r="LA90" s="93"/>
      <c r="LB90" s="92"/>
      <c r="LC90" s="93"/>
      <c r="LD90" s="92"/>
      <c r="LE90" s="93"/>
      <c r="LF90" s="92"/>
      <c r="LG90" s="92"/>
      <c r="LH90" s="92"/>
      <c r="LI90" s="92"/>
      <c r="LJ90" s="92"/>
      <c r="LK90" s="92"/>
      <c r="LL90" s="92"/>
      <c r="LM90" s="92"/>
      <c r="LN90" s="92"/>
      <c r="LO90" s="92"/>
      <c r="LP90" s="88"/>
      <c r="LQ90" s="93"/>
      <c r="LR90" s="88"/>
      <c r="LS90" s="93"/>
      <c r="LT90" s="93"/>
      <c r="LU90" s="93"/>
      <c r="LV90" s="93"/>
      <c r="LW90" s="93"/>
      <c r="LX90" s="93"/>
      <c r="LY90" s="93"/>
      <c r="LZ90" s="93"/>
      <c r="MA90" s="93"/>
      <c r="MB90" s="93"/>
      <c r="MC90" s="94"/>
      <c r="MD90" s="94"/>
      <c r="ME90" s="94"/>
      <c r="MF90" s="94"/>
      <c r="MG90" s="94"/>
      <c r="MH90" s="94"/>
      <c r="MI90" s="94"/>
      <c r="MJ90" s="94"/>
      <c r="MK90" s="94"/>
      <c r="ML90" s="94"/>
      <c r="MM90" s="94"/>
      <c r="MN90" s="94"/>
      <c r="MO90" s="95"/>
      <c r="MP90" s="95"/>
      <c r="MQ90" s="94"/>
      <c r="MR90" s="94"/>
      <c r="MS90" s="94"/>
      <c r="MT90" s="94"/>
      <c r="MU90" s="94"/>
      <c r="MV90" s="94"/>
      <c r="MW90" s="94"/>
      <c r="MX90" s="94"/>
      <c r="MY90" s="94"/>
      <c r="MZ90" s="94"/>
      <c r="NA90" s="94"/>
      <c r="NB90" s="94"/>
      <c r="NC90" s="94"/>
      <c r="ND90" s="94"/>
      <c r="NE90" s="94"/>
      <c r="NF90" s="94"/>
      <c r="NG90" s="94"/>
      <c r="NH90" s="94"/>
      <c r="NI90" s="94"/>
      <c r="NJ90" s="94"/>
    </row>
    <row r="91" spans="1:374" x14ac:dyDescent="0.25">
      <c r="A91" s="88"/>
      <c r="B91" s="88"/>
      <c r="C91" s="88"/>
      <c r="D91" s="88"/>
      <c r="E91" s="89"/>
      <c r="F91" s="88"/>
      <c r="G91" s="88"/>
      <c r="H91" s="88" t="str">
        <f t="shared" si="195"/>
        <v xml:space="preserve">  </v>
      </c>
      <c r="I91" s="88"/>
      <c r="J91" s="88"/>
      <c r="K91" s="88"/>
      <c r="L91" s="88"/>
      <c r="M91" s="88"/>
      <c r="N91" s="88"/>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1"/>
      <c r="AR91" s="75"/>
      <c r="AS91" s="91"/>
      <c r="AT91" s="91"/>
      <c r="AU91" s="90"/>
      <c r="AV91" s="91"/>
      <c r="AW91" s="91"/>
      <c r="AX91" s="91"/>
      <c r="AY91" s="91"/>
      <c r="AZ91" s="91"/>
      <c r="BA91" s="91"/>
      <c r="BB91" s="90"/>
      <c r="BC91" s="91"/>
      <c r="BD91" s="75"/>
      <c r="BE91" s="91"/>
      <c r="BF91" s="91"/>
      <c r="BG91" s="90"/>
      <c r="BH91" s="91"/>
      <c r="BI91" s="91"/>
      <c r="BJ91" s="91"/>
      <c r="BK91" s="91"/>
      <c r="BL91" s="91"/>
      <c r="BM91" s="91"/>
      <c r="BN91" s="90"/>
      <c r="BO91" s="91"/>
      <c r="BP91" s="75"/>
      <c r="BQ91" s="91"/>
      <c r="BR91" s="91"/>
      <c r="BS91" s="90"/>
      <c r="BT91" s="91"/>
      <c r="BU91" s="91"/>
      <c r="BV91" s="91"/>
      <c r="BW91" s="91"/>
      <c r="BX91" s="91"/>
      <c r="BY91" s="91"/>
      <c r="BZ91" s="90"/>
      <c r="CA91" s="91"/>
      <c r="CB91" s="75"/>
      <c r="CC91" s="91"/>
      <c r="CD91" s="91"/>
      <c r="CE91" s="90"/>
      <c r="CF91" s="91"/>
      <c r="CG91" s="91"/>
      <c r="CH91" s="91"/>
      <c r="CI91" s="91"/>
      <c r="CJ91" s="91"/>
      <c r="CK91" s="91"/>
      <c r="CL91" s="90"/>
      <c r="CM91" s="91"/>
      <c r="CN91" s="75"/>
      <c r="CO91" s="91"/>
      <c r="CP91" s="91"/>
      <c r="CQ91" s="90"/>
      <c r="CR91" s="91"/>
      <c r="CS91" s="91"/>
      <c r="CT91" s="91"/>
      <c r="CU91" s="91"/>
      <c r="CV91" s="91"/>
      <c r="CW91" s="91"/>
      <c r="CX91" s="90"/>
      <c r="CY91" s="91"/>
      <c r="CZ91" s="75"/>
      <c r="DA91" s="91"/>
      <c r="DB91" s="91"/>
      <c r="DC91" s="90"/>
      <c r="DD91" s="91"/>
      <c r="DE91" s="91"/>
      <c r="DF91" s="91"/>
      <c r="DG91" s="91"/>
      <c r="DH91" s="91"/>
      <c r="DI91" s="91"/>
      <c r="DJ91" s="90"/>
      <c r="DK91" s="91"/>
      <c r="DL91" s="75"/>
      <c r="DM91" s="75"/>
      <c r="DN91" s="75">
        <f t="shared" si="194"/>
        <v>0</v>
      </c>
      <c r="DO91" s="75" t="str">
        <f t="shared" si="196"/>
        <v/>
      </c>
      <c r="DP91" s="91" t="str">
        <f>IFERROR(#REF!/#REF!*1000,"")</f>
        <v/>
      </c>
      <c r="DQ91" s="91" t="str">
        <f>IFERROR(#REF!/#REF!*1000,"")</f>
        <v/>
      </c>
      <c r="DR91" s="90"/>
      <c r="DS91" s="91" t="str">
        <f>IFERROR(#REF!/#REF!*1000,"")</f>
        <v/>
      </c>
      <c r="DT91" s="91" t="str">
        <f>IFERROR(#REF!/#REF!*1000,"")</f>
        <v/>
      </c>
      <c r="DU91" s="91"/>
      <c r="DV91" s="91"/>
      <c r="DW91" s="91"/>
      <c r="DX91" s="91"/>
      <c r="DY91" s="90"/>
      <c r="DZ91" s="91"/>
      <c r="EA91" s="75"/>
      <c r="EB91" s="91"/>
      <c r="EC91" s="91"/>
      <c r="ED91" s="90"/>
      <c r="EE91" s="91"/>
      <c r="EF91" s="91"/>
      <c r="EG91" s="91"/>
      <c r="EH91" s="91"/>
      <c r="EI91" s="91"/>
      <c r="EJ91" s="91"/>
      <c r="EK91" s="90"/>
      <c r="EL91" s="90"/>
      <c r="EM91" s="88"/>
      <c r="EN91" s="92"/>
      <c r="EO91" s="92"/>
      <c r="EP91" s="92"/>
      <c r="EQ91" s="92"/>
      <c r="ER91" s="92"/>
      <c r="ES91" s="92"/>
      <c r="ET91" s="92"/>
      <c r="EU91" s="92"/>
      <c r="EV91" s="92"/>
      <c r="EW91" s="92"/>
      <c r="EX91" s="92"/>
      <c r="EY91" s="92"/>
      <c r="EZ91" s="92"/>
      <c r="FA91" s="92"/>
      <c r="FB91" s="92"/>
      <c r="FC91" s="92"/>
      <c r="FD91" s="92"/>
      <c r="FE91" s="92"/>
      <c r="FF91" s="92"/>
      <c r="FG91" s="92"/>
      <c r="FH91" s="92"/>
      <c r="FI91" s="92"/>
      <c r="FJ91" s="92"/>
      <c r="FK91" s="92"/>
      <c r="FL91" s="92"/>
      <c r="FM91" s="92"/>
      <c r="FN91" s="92"/>
      <c r="FO91" s="92"/>
      <c r="FP91" s="92"/>
      <c r="FQ91" s="92"/>
      <c r="FR91" s="92"/>
      <c r="FS91" s="92"/>
      <c r="FT91" s="92"/>
      <c r="FU91" s="92"/>
      <c r="FV91" s="92"/>
      <c r="FW91" s="92"/>
      <c r="FX91" s="92"/>
      <c r="FY91" s="92"/>
      <c r="FZ91" s="92"/>
      <c r="GA91" s="92"/>
      <c r="GB91" s="92"/>
      <c r="GC91" s="92"/>
      <c r="GD91" s="92"/>
      <c r="GE91" s="92"/>
      <c r="GF91" s="92"/>
      <c r="GG91" s="92"/>
      <c r="GH91" s="92"/>
      <c r="GI91" s="92"/>
      <c r="GJ91" s="92"/>
      <c r="GK91" s="92"/>
      <c r="GL91" s="92"/>
      <c r="GM91" s="92"/>
      <c r="GN91" s="92"/>
      <c r="GO91" s="92"/>
      <c r="GP91" s="92"/>
      <c r="GQ91" s="92"/>
      <c r="GR91" s="92"/>
      <c r="GS91" s="92"/>
      <c r="GT91" s="92"/>
      <c r="GU91" s="92"/>
      <c r="GV91" s="92"/>
      <c r="GW91" s="92"/>
      <c r="GX91" s="92"/>
      <c r="GY91" s="92"/>
      <c r="GZ91" s="92"/>
      <c r="HA91" s="92"/>
      <c r="HB91" s="92"/>
      <c r="HC91" s="92"/>
      <c r="HD91" s="92"/>
      <c r="HE91" s="92"/>
      <c r="HF91" s="92"/>
      <c r="HG91" s="92"/>
      <c r="HH91" s="92"/>
      <c r="HI91" s="92"/>
      <c r="HJ91" s="92"/>
      <c r="HK91" s="92"/>
      <c r="HL91" s="92"/>
      <c r="HM91" s="92"/>
      <c r="HN91" s="92"/>
      <c r="HO91" s="92"/>
      <c r="HP91" s="92"/>
      <c r="HQ91" s="92"/>
      <c r="HR91" s="92"/>
      <c r="HS91" s="92"/>
      <c r="HT91" s="92"/>
      <c r="HU91" s="92"/>
      <c r="HV91" s="92"/>
      <c r="HW91" s="92"/>
      <c r="HX91" s="92"/>
      <c r="HY91" s="92"/>
      <c r="HZ91" s="92"/>
      <c r="IA91" s="92"/>
      <c r="IB91" s="92"/>
      <c r="IC91" s="92"/>
      <c r="ID91" s="92"/>
      <c r="IE91" s="92"/>
      <c r="IF91" s="92"/>
      <c r="IG91" s="92"/>
      <c r="IH91" s="92"/>
      <c r="II91" s="92"/>
      <c r="IJ91" s="92"/>
      <c r="IK91" s="92"/>
      <c r="IL91" s="92"/>
      <c r="IM91" s="92"/>
      <c r="IN91" s="92"/>
      <c r="IO91" s="92"/>
      <c r="IP91" s="92"/>
      <c r="IQ91" s="92"/>
      <c r="IR91" s="92"/>
      <c r="IS91" s="92"/>
      <c r="IT91" s="92"/>
      <c r="IU91" s="92"/>
      <c r="IV91" s="92"/>
      <c r="IW91" s="92"/>
      <c r="IX91" s="92"/>
      <c r="IY91" s="92"/>
      <c r="IZ91" s="92"/>
      <c r="JA91" s="92"/>
      <c r="JB91" s="92"/>
      <c r="JC91" s="92"/>
      <c r="JD91" s="92"/>
      <c r="JE91" s="92"/>
      <c r="JF91" s="92"/>
      <c r="JG91" s="92"/>
      <c r="JH91" s="92"/>
      <c r="JI91" s="92"/>
      <c r="JJ91" s="92"/>
      <c r="JK91" s="92"/>
      <c r="JL91" s="92"/>
      <c r="JM91" s="92"/>
      <c r="JN91" s="92"/>
      <c r="JO91" s="92"/>
      <c r="JP91" s="92"/>
      <c r="JQ91" s="92"/>
      <c r="JR91" s="92"/>
      <c r="JS91" s="92"/>
      <c r="JT91" s="92"/>
      <c r="JU91" s="92"/>
      <c r="JV91" s="92"/>
      <c r="JW91" s="92"/>
      <c r="JX91" s="92"/>
      <c r="JY91" s="92"/>
      <c r="JZ91" s="92"/>
      <c r="KA91" s="92"/>
      <c r="KB91" s="92"/>
      <c r="KC91" s="92"/>
      <c r="KD91" s="92"/>
      <c r="KE91" s="92"/>
      <c r="KF91" s="92"/>
      <c r="KG91" s="92"/>
      <c r="KH91" s="92"/>
      <c r="KI91" s="92"/>
      <c r="KJ91" s="92"/>
      <c r="KK91" s="92"/>
      <c r="KL91" s="92"/>
      <c r="KM91" s="92"/>
      <c r="KN91" s="92"/>
      <c r="KO91" s="92"/>
      <c r="KP91" s="92"/>
      <c r="KQ91" s="88"/>
      <c r="KR91" s="92"/>
      <c r="KS91" s="92"/>
      <c r="KT91" s="92"/>
      <c r="KU91" s="93"/>
      <c r="KV91" s="92"/>
      <c r="KW91" s="93"/>
      <c r="KX91" s="92"/>
      <c r="KY91" s="93"/>
      <c r="KZ91" s="92"/>
      <c r="LA91" s="93"/>
      <c r="LB91" s="92"/>
      <c r="LC91" s="93"/>
      <c r="LD91" s="92"/>
      <c r="LE91" s="93"/>
      <c r="LF91" s="92"/>
      <c r="LG91" s="92"/>
      <c r="LH91" s="92"/>
      <c r="LI91" s="92"/>
      <c r="LJ91" s="92"/>
      <c r="LK91" s="92"/>
      <c r="LL91" s="92"/>
      <c r="LM91" s="92"/>
      <c r="LN91" s="92"/>
      <c r="LO91" s="92"/>
      <c r="LP91" s="88"/>
      <c r="LQ91" s="93"/>
      <c r="LR91" s="88"/>
      <c r="LS91" s="93"/>
      <c r="LT91" s="93"/>
      <c r="LU91" s="93"/>
      <c r="LV91" s="93"/>
      <c r="LW91" s="93"/>
      <c r="LX91" s="93"/>
      <c r="LY91" s="93"/>
      <c r="LZ91" s="93"/>
      <c r="MA91" s="93"/>
      <c r="MB91" s="93"/>
      <c r="MC91" s="94"/>
      <c r="MD91" s="94"/>
      <c r="ME91" s="94"/>
      <c r="MF91" s="94"/>
      <c r="MG91" s="94"/>
      <c r="MH91" s="94"/>
      <c r="MI91" s="94"/>
      <c r="MJ91" s="94"/>
      <c r="MK91" s="94"/>
      <c r="ML91" s="94"/>
      <c r="MM91" s="94"/>
      <c r="MN91" s="94"/>
      <c r="MO91" s="95"/>
      <c r="MP91" s="95"/>
      <c r="MQ91" s="94"/>
      <c r="MR91" s="94"/>
      <c r="MS91" s="94"/>
      <c r="MT91" s="94"/>
      <c r="MU91" s="94"/>
      <c r="MV91" s="94"/>
      <c r="MW91" s="94"/>
      <c r="MX91" s="94"/>
      <c r="MY91" s="94"/>
      <c r="MZ91" s="94"/>
      <c r="NA91" s="94"/>
      <c r="NB91" s="94"/>
      <c r="NC91" s="94"/>
      <c r="ND91" s="94"/>
      <c r="NE91" s="94"/>
      <c r="NF91" s="94"/>
      <c r="NG91" s="94"/>
      <c r="NH91" s="94"/>
      <c r="NI91" s="94"/>
      <c r="NJ91" s="94"/>
    </row>
    <row r="92" spans="1:374" x14ac:dyDescent="0.25">
      <c r="A92" s="88"/>
      <c r="B92" s="88"/>
      <c r="C92" s="88"/>
      <c r="D92" s="88"/>
      <c r="E92" s="89"/>
      <c r="F92" s="88"/>
      <c r="G92" s="88"/>
      <c r="H92" s="88" t="str">
        <f t="shared" si="195"/>
        <v xml:space="preserve">  </v>
      </c>
      <c r="I92" s="88"/>
      <c r="J92" s="88"/>
      <c r="K92" s="88"/>
      <c r="L92" s="88"/>
      <c r="M92" s="88"/>
      <c r="N92" s="88"/>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1"/>
      <c r="AR92" s="75"/>
      <c r="AS92" s="91"/>
      <c r="AT92" s="91"/>
      <c r="AU92" s="90"/>
      <c r="AV92" s="91"/>
      <c r="AW92" s="91"/>
      <c r="AX92" s="91"/>
      <c r="AY92" s="91"/>
      <c r="AZ92" s="91"/>
      <c r="BA92" s="91"/>
      <c r="BB92" s="90"/>
      <c r="BC92" s="91"/>
      <c r="BD92" s="75"/>
      <c r="BE92" s="91"/>
      <c r="BF92" s="91"/>
      <c r="BG92" s="90"/>
      <c r="BH92" s="91"/>
      <c r="BI92" s="91"/>
      <c r="BJ92" s="91"/>
      <c r="BK92" s="91"/>
      <c r="BL92" s="91"/>
      <c r="BM92" s="91"/>
      <c r="BN92" s="90"/>
      <c r="BO92" s="91"/>
      <c r="BP92" s="75"/>
      <c r="BQ92" s="91"/>
      <c r="BR92" s="91"/>
      <c r="BS92" s="90"/>
      <c r="BT92" s="91"/>
      <c r="BU92" s="91"/>
      <c r="BV92" s="91"/>
      <c r="BW92" s="91"/>
      <c r="BX92" s="91"/>
      <c r="BY92" s="91"/>
      <c r="BZ92" s="90"/>
      <c r="CA92" s="91"/>
      <c r="CB92" s="75"/>
      <c r="CC92" s="91"/>
      <c r="CD92" s="91"/>
      <c r="CE92" s="90"/>
      <c r="CF92" s="91"/>
      <c r="CG92" s="91"/>
      <c r="CH92" s="91"/>
      <c r="CI92" s="91"/>
      <c r="CJ92" s="91"/>
      <c r="CK92" s="91"/>
      <c r="CL92" s="90"/>
      <c r="CM92" s="91"/>
      <c r="CN92" s="75"/>
      <c r="CO92" s="91"/>
      <c r="CP92" s="91"/>
      <c r="CQ92" s="90"/>
      <c r="CR92" s="91"/>
      <c r="CS92" s="91"/>
      <c r="CT92" s="91"/>
      <c r="CU92" s="91"/>
      <c r="CV92" s="91"/>
      <c r="CW92" s="91"/>
      <c r="CX92" s="90"/>
      <c r="CY92" s="91"/>
      <c r="CZ92" s="75"/>
      <c r="DA92" s="91"/>
      <c r="DB92" s="91"/>
      <c r="DC92" s="90"/>
      <c r="DD92" s="91"/>
      <c r="DE92" s="91"/>
      <c r="DF92" s="91"/>
      <c r="DG92" s="91"/>
      <c r="DH92" s="91"/>
      <c r="DI92" s="91"/>
      <c r="DJ92" s="90"/>
      <c r="DK92" s="91"/>
      <c r="DL92" s="75"/>
      <c r="DM92" s="75"/>
      <c r="DN92" s="75">
        <f t="shared" si="194"/>
        <v>0</v>
      </c>
      <c r="DO92" s="75" t="str">
        <f t="shared" si="196"/>
        <v/>
      </c>
      <c r="DP92" s="91" t="str">
        <f>IFERROR(#REF!/#REF!*1000,"")</f>
        <v/>
      </c>
      <c r="DQ92" s="91" t="str">
        <f>IFERROR(#REF!/#REF!*1000,"")</f>
        <v/>
      </c>
      <c r="DR92" s="90"/>
      <c r="DS92" s="91" t="str">
        <f>IFERROR(#REF!/#REF!*1000,"")</f>
        <v/>
      </c>
      <c r="DT92" s="91" t="str">
        <f>IFERROR(#REF!/#REF!*1000,"")</f>
        <v/>
      </c>
      <c r="DU92" s="91"/>
      <c r="DV92" s="91"/>
      <c r="DW92" s="91"/>
      <c r="DX92" s="91"/>
      <c r="DY92" s="90"/>
      <c r="DZ92" s="91"/>
      <c r="EA92" s="75"/>
      <c r="EB92" s="91"/>
      <c r="EC92" s="91"/>
      <c r="ED92" s="90"/>
      <c r="EE92" s="91"/>
      <c r="EF92" s="91"/>
      <c r="EG92" s="91"/>
      <c r="EH92" s="91"/>
      <c r="EI92" s="91"/>
      <c r="EJ92" s="91"/>
      <c r="EK92" s="90"/>
      <c r="EL92" s="90"/>
      <c r="EM92" s="88"/>
      <c r="EN92" s="92"/>
      <c r="EO92" s="92"/>
      <c r="EP92" s="92"/>
      <c r="EQ92" s="92"/>
      <c r="ER92" s="92"/>
      <c r="ES92" s="92"/>
      <c r="ET92" s="92"/>
      <c r="EU92" s="92"/>
      <c r="EV92" s="92"/>
      <c r="EW92" s="92"/>
      <c r="EX92" s="92"/>
      <c r="EY92" s="92"/>
      <c r="EZ92" s="92"/>
      <c r="FA92" s="92"/>
      <c r="FB92" s="92"/>
      <c r="FC92" s="92"/>
      <c r="FD92" s="92"/>
      <c r="FE92" s="92"/>
      <c r="FF92" s="92"/>
      <c r="FG92" s="92"/>
      <c r="FH92" s="92"/>
      <c r="FI92" s="92"/>
      <c r="FJ92" s="92"/>
      <c r="FK92" s="92"/>
      <c r="FL92" s="92"/>
      <c r="FM92" s="92"/>
      <c r="FN92" s="92"/>
      <c r="FO92" s="92"/>
      <c r="FP92" s="92"/>
      <c r="FQ92" s="92"/>
      <c r="FR92" s="92"/>
      <c r="FS92" s="92"/>
      <c r="FT92" s="92"/>
      <c r="FU92" s="92"/>
      <c r="FV92" s="92"/>
      <c r="FW92" s="92"/>
      <c r="FX92" s="92"/>
      <c r="FY92" s="92"/>
      <c r="FZ92" s="92"/>
      <c r="GA92" s="92"/>
      <c r="GB92" s="92"/>
      <c r="GC92" s="92"/>
      <c r="GD92" s="92"/>
      <c r="GE92" s="92"/>
      <c r="GF92" s="92"/>
      <c r="GG92" s="92"/>
      <c r="GH92" s="92"/>
      <c r="GI92" s="92"/>
      <c r="GJ92" s="92"/>
      <c r="GK92" s="92"/>
      <c r="GL92" s="92"/>
      <c r="GM92" s="92"/>
      <c r="GN92" s="92"/>
      <c r="GO92" s="92"/>
      <c r="GP92" s="92"/>
      <c r="GQ92" s="92"/>
      <c r="GR92" s="92"/>
      <c r="GS92" s="92"/>
      <c r="GT92" s="92"/>
      <c r="GU92" s="92"/>
      <c r="GV92" s="92"/>
      <c r="GW92" s="92"/>
      <c r="GX92" s="92"/>
      <c r="GY92" s="92"/>
      <c r="GZ92" s="92"/>
      <c r="HA92" s="92"/>
      <c r="HB92" s="92"/>
      <c r="HC92" s="92"/>
      <c r="HD92" s="92"/>
      <c r="HE92" s="92"/>
      <c r="HF92" s="92"/>
      <c r="HG92" s="92"/>
      <c r="HH92" s="92"/>
      <c r="HI92" s="92"/>
      <c r="HJ92" s="92"/>
      <c r="HK92" s="92"/>
      <c r="HL92" s="92"/>
      <c r="HM92" s="92"/>
      <c r="HN92" s="92"/>
      <c r="HO92" s="92"/>
      <c r="HP92" s="92"/>
      <c r="HQ92" s="92"/>
      <c r="HR92" s="92"/>
      <c r="HS92" s="92"/>
      <c r="HT92" s="92"/>
      <c r="HU92" s="92"/>
      <c r="HV92" s="92"/>
      <c r="HW92" s="92"/>
      <c r="HX92" s="92"/>
      <c r="HY92" s="92"/>
      <c r="HZ92" s="92"/>
      <c r="IA92" s="92"/>
      <c r="IB92" s="92"/>
      <c r="IC92" s="92"/>
      <c r="ID92" s="92"/>
      <c r="IE92" s="92"/>
      <c r="IF92" s="92"/>
      <c r="IG92" s="92"/>
      <c r="IH92" s="92"/>
      <c r="II92" s="92"/>
      <c r="IJ92" s="92"/>
      <c r="IK92" s="92"/>
      <c r="IL92" s="92"/>
      <c r="IM92" s="92"/>
      <c r="IN92" s="92"/>
      <c r="IO92" s="92"/>
      <c r="IP92" s="92"/>
      <c r="IQ92" s="92"/>
      <c r="IR92" s="92"/>
      <c r="IS92" s="92"/>
      <c r="IT92" s="92"/>
      <c r="IU92" s="92"/>
      <c r="IV92" s="92"/>
      <c r="IW92" s="92"/>
      <c r="IX92" s="92"/>
      <c r="IY92" s="92"/>
      <c r="IZ92" s="92"/>
      <c r="JA92" s="92"/>
      <c r="JB92" s="92"/>
      <c r="JC92" s="92"/>
      <c r="JD92" s="92"/>
      <c r="JE92" s="92"/>
      <c r="JF92" s="92"/>
      <c r="JG92" s="92"/>
      <c r="JH92" s="92"/>
      <c r="JI92" s="92"/>
      <c r="JJ92" s="92"/>
      <c r="JK92" s="92"/>
      <c r="JL92" s="92"/>
      <c r="JM92" s="92"/>
      <c r="JN92" s="92"/>
      <c r="JO92" s="92"/>
      <c r="JP92" s="92"/>
      <c r="JQ92" s="92"/>
      <c r="JR92" s="92"/>
      <c r="JS92" s="92"/>
      <c r="JT92" s="92"/>
      <c r="JU92" s="92"/>
      <c r="JV92" s="92"/>
      <c r="JW92" s="92"/>
      <c r="JX92" s="92"/>
      <c r="JY92" s="92"/>
      <c r="JZ92" s="92"/>
      <c r="KA92" s="92"/>
      <c r="KB92" s="92"/>
      <c r="KC92" s="92"/>
      <c r="KD92" s="92"/>
      <c r="KE92" s="92"/>
      <c r="KF92" s="92"/>
      <c r="KG92" s="92"/>
      <c r="KH92" s="92"/>
      <c r="KI92" s="92"/>
      <c r="KJ92" s="92"/>
      <c r="KK92" s="92"/>
      <c r="KL92" s="92"/>
      <c r="KM92" s="92"/>
      <c r="KN92" s="92"/>
      <c r="KO92" s="92"/>
      <c r="KP92" s="92"/>
      <c r="KQ92" s="88"/>
      <c r="KR92" s="92"/>
      <c r="KS92" s="92"/>
      <c r="KT92" s="92"/>
      <c r="KU92" s="93"/>
      <c r="KV92" s="92"/>
      <c r="KW92" s="93"/>
      <c r="KX92" s="92"/>
      <c r="KY92" s="93"/>
      <c r="KZ92" s="92"/>
      <c r="LA92" s="93"/>
      <c r="LB92" s="92"/>
      <c r="LC92" s="93"/>
      <c r="LD92" s="92"/>
      <c r="LE92" s="93"/>
      <c r="LF92" s="92"/>
      <c r="LG92" s="92"/>
      <c r="LH92" s="92"/>
      <c r="LI92" s="92"/>
      <c r="LJ92" s="92"/>
      <c r="LK92" s="92"/>
      <c r="LL92" s="92"/>
      <c r="LM92" s="92"/>
      <c r="LN92" s="92"/>
      <c r="LO92" s="92"/>
      <c r="LP92" s="88"/>
      <c r="LQ92" s="93"/>
      <c r="LR92" s="88"/>
      <c r="LS92" s="93"/>
      <c r="LT92" s="93"/>
      <c r="LU92" s="93"/>
      <c r="LV92" s="93"/>
      <c r="LW92" s="93"/>
      <c r="LX92" s="93"/>
      <c r="LY92" s="93"/>
      <c r="LZ92" s="93"/>
      <c r="MA92" s="93"/>
      <c r="MB92" s="93"/>
      <c r="MC92" s="94"/>
      <c r="MD92" s="94"/>
      <c r="ME92" s="94"/>
      <c r="MF92" s="94"/>
      <c r="MG92" s="94"/>
      <c r="MH92" s="94"/>
      <c r="MI92" s="94"/>
      <c r="MJ92" s="94"/>
      <c r="MK92" s="94"/>
      <c r="ML92" s="94"/>
      <c r="MM92" s="94"/>
      <c r="MN92" s="94"/>
      <c r="MO92" s="95"/>
      <c r="MP92" s="95"/>
      <c r="MQ92" s="94"/>
      <c r="MR92" s="94"/>
      <c r="MS92" s="94"/>
      <c r="MT92" s="94"/>
      <c r="MU92" s="94"/>
      <c r="MV92" s="94"/>
      <c r="MW92" s="94"/>
      <c r="MX92" s="94"/>
      <c r="MY92" s="94"/>
      <c r="MZ92" s="94"/>
      <c r="NA92" s="94"/>
      <c r="NB92" s="94"/>
      <c r="NC92" s="94"/>
      <c r="ND92" s="94"/>
      <c r="NE92" s="94"/>
      <c r="NF92" s="94"/>
      <c r="NG92" s="94"/>
      <c r="NH92" s="94"/>
      <c r="NI92" s="94"/>
      <c r="NJ92" s="94"/>
    </row>
    <row r="93" spans="1:374" x14ac:dyDescent="0.25">
      <c r="A93" s="88"/>
      <c r="B93" s="88"/>
      <c r="C93" s="88"/>
      <c r="D93" s="88"/>
      <c r="E93" s="89"/>
      <c r="F93" s="88"/>
      <c r="G93" s="88"/>
      <c r="H93" s="88" t="str">
        <f t="shared" si="195"/>
        <v xml:space="preserve">  </v>
      </c>
      <c r="I93" s="88"/>
      <c r="J93" s="88"/>
      <c r="K93" s="88"/>
      <c r="L93" s="88"/>
      <c r="M93" s="88"/>
      <c r="N93" s="88"/>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1"/>
      <c r="AR93" s="75"/>
      <c r="AS93" s="91"/>
      <c r="AT93" s="91"/>
      <c r="AU93" s="90"/>
      <c r="AV93" s="91"/>
      <c r="AW93" s="91"/>
      <c r="AX93" s="91"/>
      <c r="AY93" s="91"/>
      <c r="AZ93" s="91"/>
      <c r="BA93" s="91"/>
      <c r="BB93" s="90"/>
      <c r="BC93" s="91"/>
      <c r="BD93" s="75"/>
      <c r="BE93" s="91"/>
      <c r="BF93" s="91"/>
      <c r="BG93" s="90"/>
      <c r="BH93" s="91"/>
      <c r="BI93" s="91"/>
      <c r="BJ93" s="91"/>
      <c r="BK93" s="91"/>
      <c r="BL93" s="91"/>
      <c r="BM93" s="91"/>
      <c r="BN93" s="90"/>
      <c r="BO93" s="91"/>
      <c r="BP93" s="75"/>
      <c r="BQ93" s="91"/>
      <c r="BR93" s="91"/>
      <c r="BS93" s="90"/>
      <c r="BT93" s="91"/>
      <c r="BU93" s="91"/>
      <c r="BV93" s="91"/>
      <c r="BW93" s="91"/>
      <c r="BX93" s="91"/>
      <c r="BY93" s="91"/>
      <c r="BZ93" s="90"/>
      <c r="CA93" s="91"/>
      <c r="CB93" s="75"/>
      <c r="CC93" s="91"/>
      <c r="CD93" s="91"/>
      <c r="CE93" s="90"/>
      <c r="CF93" s="91"/>
      <c r="CG93" s="91"/>
      <c r="CH93" s="91"/>
      <c r="CI93" s="91"/>
      <c r="CJ93" s="91"/>
      <c r="CK93" s="91"/>
      <c r="CL93" s="90"/>
      <c r="CM93" s="91"/>
      <c r="CN93" s="75"/>
      <c r="CO93" s="91"/>
      <c r="CP93" s="91"/>
      <c r="CQ93" s="90"/>
      <c r="CR93" s="91"/>
      <c r="CS93" s="91"/>
      <c r="CT93" s="91"/>
      <c r="CU93" s="91"/>
      <c r="CV93" s="91"/>
      <c r="CW93" s="91"/>
      <c r="CX93" s="90"/>
      <c r="CY93" s="91"/>
      <c r="CZ93" s="75"/>
      <c r="DA93" s="91"/>
      <c r="DB93" s="91"/>
      <c r="DC93" s="90"/>
      <c r="DD93" s="91"/>
      <c r="DE93" s="91"/>
      <c r="DF93" s="91"/>
      <c r="DG93" s="91"/>
      <c r="DH93" s="91"/>
      <c r="DI93" s="91"/>
      <c r="DJ93" s="90"/>
      <c r="DK93" s="91"/>
      <c r="DL93" s="75"/>
      <c r="DM93" s="75"/>
      <c r="DN93" s="75">
        <f t="shared" si="194"/>
        <v>0</v>
      </c>
      <c r="DO93" s="75" t="str">
        <f t="shared" si="196"/>
        <v/>
      </c>
      <c r="DP93" s="91" t="str">
        <f>IFERROR(#REF!/#REF!*1000,"")</f>
        <v/>
      </c>
      <c r="DQ93" s="91" t="str">
        <f>IFERROR(#REF!/#REF!*1000,"")</f>
        <v/>
      </c>
      <c r="DR93" s="90"/>
      <c r="DS93" s="91" t="str">
        <f>IFERROR(#REF!/#REF!*1000,"")</f>
        <v/>
      </c>
      <c r="DT93" s="91" t="str">
        <f>IFERROR(#REF!/#REF!*1000,"")</f>
        <v/>
      </c>
      <c r="DU93" s="91"/>
      <c r="DV93" s="91"/>
      <c r="DW93" s="91"/>
      <c r="DX93" s="91"/>
      <c r="DY93" s="90"/>
      <c r="DZ93" s="91"/>
      <c r="EA93" s="75"/>
      <c r="EB93" s="91"/>
      <c r="EC93" s="91"/>
      <c r="ED93" s="90"/>
      <c r="EE93" s="91"/>
      <c r="EF93" s="91"/>
      <c r="EG93" s="91"/>
      <c r="EH93" s="91"/>
      <c r="EI93" s="91"/>
      <c r="EJ93" s="91"/>
      <c r="EK93" s="90"/>
      <c r="EL93" s="90"/>
      <c r="EM93" s="88"/>
      <c r="EN93" s="92"/>
      <c r="EO93" s="92"/>
      <c r="EP93" s="92"/>
      <c r="EQ93" s="92"/>
      <c r="ER93" s="92"/>
      <c r="ES93" s="92"/>
      <c r="ET93" s="92"/>
      <c r="EU93" s="92"/>
      <c r="EV93" s="92"/>
      <c r="EW93" s="92"/>
      <c r="EX93" s="92"/>
      <c r="EY93" s="92"/>
      <c r="EZ93" s="92"/>
      <c r="FA93" s="92"/>
      <c r="FB93" s="92"/>
      <c r="FC93" s="92"/>
      <c r="FD93" s="92"/>
      <c r="FE93" s="92"/>
      <c r="FF93" s="92"/>
      <c r="FG93" s="92"/>
      <c r="FH93" s="92"/>
      <c r="FI93" s="92"/>
      <c r="FJ93" s="92"/>
      <c r="FK93" s="92"/>
      <c r="FL93" s="92"/>
      <c r="FM93" s="92"/>
      <c r="FN93" s="92"/>
      <c r="FO93" s="92"/>
      <c r="FP93" s="92"/>
      <c r="FQ93" s="92"/>
      <c r="FR93" s="92"/>
      <c r="FS93" s="92"/>
      <c r="FT93" s="92"/>
      <c r="FU93" s="92"/>
      <c r="FV93" s="92"/>
      <c r="FW93" s="92"/>
      <c r="FX93" s="92"/>
      <c r="FY93" s="92"/>
      <c r="FZ93" s="92"/>
      <c r="GA93" s="92"/>
      <c r="GB93" s="92"/>
      <c r="GC93" s="92"/>
      <c r="GD93" s="92"/>
      <c r="GE93" s="92"/>
      <c r="GF93" s="92"/>
      <c r="GG93" s="92"/>
      <c r="GH93" s="92"/>
      <c r="GI93" s="92"/>
      <c r="GJ93" s="92"/>
      <c r="GK93" s="92"/>
      <c r="GL93" s="92"/>
      <c r="GM93" s="92"/>
      <c r="GN93" s="92"/>
      <c r="GO93" s="92"/>
      <c r="GP93" s="92"/>
      <c r="GQ93" s="92"/>
      <c r="GR93" s="92"/>
      <c r="GS93" s="92"/>
      <c r="GT93" s="92"/>
      <c r="GU93" s="92"/>
      <c r="GV93" s="92"/>
      <c r="GW93" s="92"/>
      <c r="GX93" s="92"/>
      <c r="GY93" s="92"/>
      <c r="GZ93" s="92"/>
      <c r="HA93" s="92"/>
      <c r="HB93" s="92"/>
      <c r="HC93" s="92"/>
      <c r="HD93" s="92"/>
      <c r="HE93" s="92"/>
      <c r="HF93" s="92"/>
      <c r="HG93" s="92"/>
      <c r="HH93" s="92"/>
      <c r="HI93" s="92"/>
      <c r="HJ93" s="92"/>
      <c r="HK93" s="92"/>
      <c r="HL93" s="92"/>
      <c r="HM93" s="92"/>
      <c r="HN93" s="92"/>
      <c r="HO93" s="92"/>
      <c r="HP93" s="92"/>
      <c r="HQ93" s="92"/>
      <c r="HR93" s="92"/>
      <c r="HS93" s="92"/>
      <c r="HT93" s="92"/>
      <c r="HU93" s="92"/>
      <c r="HV93" s="92"/>
      <c r="HW93" s="92"/>
      <c r="HX93" s="92"/>
      <c r="HY93" s="92"/>
      <c r="HZ93" s="92"/>
      <c r="IA93" s="92"/>
      <c r="IB93" s="92"/>
      <c r="IC93" s="92"/>
      <c r="ID93" s="92"/>
      <c r="IE93" s="92"/>
      <c r="IF93" s="92"/>
      <c r="IG93" s="92"/>
      <c r="IH93" s="92"/>
      <c r="II93" s="92"/>
      <c r="IJ93" s="92"/>
      <c r="IK93" s="92"/>
      <c r="IL93" s="92"/>
      <c r="IM93" s="92"/>
      <c r="IN93" s="92"/>
      <c r="IO93" s="92"/>
      <c r="IP93" s="92"/>
      <c r="IQ93" s="92"/>
      <c r="IR93" s="92"/>
      <c r="IS93" s="92"/>
      <c r="IT93" s="92"/>
      <c r="IU93" s="92"/>
      <c r="IV93" s="92"/>
      <c r="IW93" s="92"/>
      <c r="IX93" s="92"/>
      <c r="IY93" s="92"/>
      <c r="IZ93" s="92"/>
      <c r="JA93" s="92"/>
      <c r="JB93" s="92"/>
      <c r="JC93" s="92"/>
      <c r="JD93" s="92"/>
      <c r="JE93" s="92"/>
      <c r="JF93" s="92"/>
      <c r="JG93" s="92"/>
      <c r="JH93" s="92"/>
      <c r="JI93" s="92"/>
      <c r="JJ93" s="92"/>
      <c r="JK93" s="92"/>
      <c r="JL93" s="92"/>
      <c r="JM93" s="92"/>
      <c r="JN93" s="92"/>
      <c r="JO93" s="92"/>
      <c r="JP93" s="92"/>
      <c r="JQ93" s="92"/>
      <c r="JR93" s="92"/>
      <c r="JS93" s="92"/>
      <c r="JT93" s="92"/>
      <c r="JU93" s="92"/>
      <c r="JV93" s="92"/>
      <c r="JW93" s="92"/>
      <c r="JX93" s="92"/>
      <c r="JY93" s="92"/>
      <c r="JZ93" s="92"/>
      <c r="KA93" s="92"/>
      <c r="KB93" s="92"/>
      <c r="KC93" s="92"/>
      <c r="KD93" s="92"/>
      <c r="KE93" s="92"/>
      <c r="KF93" s="92"/>
      <c r="KG93" s="92"/>
      <c r="KH93" s="92"/>
      <c r="KI93" s="92"/>
      <c r="KJ93" s="92"/>
      <c r="KK93" s="92"/>
      <c r="KL93" s="92"/>
      <c r="KM93" s="92"/>
      <c r="KN93" s="92"/>
      <c r="KO93" s="92"/>
      <c r="KP93" s="92"/>
      <c r="KQ93" s="88"/>
      <c r="KR93" s="92"/>
      <c r="KS93" s="92"/>
      <c r="KT93" s="92"/>
      <c r="KU93" s="93"/>
      <c r="KV93" s="92"/>
      <c r="KW93" s="93"/>
      <c r="KX93" s="92"/>
      <c r="KY93" s="93"/>
      <c r="KZ93" s="92"/>
      <c r="LA93" s="93"/>
      <c r="LB93" s="92"/>
      <c r="LC93" s="93"/>
      <c r="LD93" s="92"/>
      <c r="LE93" s="93"/>
      <c r="LF93" s="92"/>
      <c r="LG93" s="92"/>
      <c r="LH93" s="92"/>
      <c r="LI93" s="92"/>
      <c r="LJ93" s="92"/>
      <c r="LK93" s="92"/>
      <c r="LL93" s="92"/>
      <c r="LM93" s="92"/>
      <c r="LN93" s="92"/>
      <c r="LO93" s="92"/>
      <c r="LP93" s="88"/>
      <c r="LQ93" s="93"/>
      <c r="LR93" s="88"/>
      <c r="LS93" s="93"/>
      <c r="LT93" s="93"/>
      <c r="LU93" s="93"/>
      <c r="LV93" s="93"/>
      <c r="LW93" s="93"/>
      <c r="LX93" s="93"/>
      <c r="LY93" s="93"/>
      <c r="LZ93" s="93"/>
      <c r="MA93" s="93"/>
      <c r="MB93" s="93"/>
      <c r="MC93" s="94"/>
      <c r="MD93" s="94"/>
      <c r="ME93" s="94"/>
      <c r="MF93" s="94"/>
      <c r="MG93" s="94"/>
      <c r="MH93" s="94"/>
      <c r="MI93" s="94"/>
      <c r="MJ93" s="94"/>
      <c r="MK93" s="94"/>
      <c r="ML93" s="94"/>
      <c r="MM93" s="94"/>
      <c r="MN93" s="94"/>
      <c r="MO93" s="95"/>
      <c r="MP93" s="95"/>
      <c r="MQ93" s="94"/>
      <c r="MR93" s="94"/>
      <c r="MS93" s="94"/>
      <c r="MT93" s="94"/>
      <c r="MU93" s="94"/>
      <c r="MV93" s="94"/>
      <c r="MW93" s="94"/>
      <c r="MX93" s="94"/>
      <c r="MY93" s="94"/>
      <c r="MZ93" s="94"/>
      <c r="NA93" s="94"/>
      <c r="NB93" s="94"/>
      <c r="NC93" s="94"/>
      <c r="ND93" s="94"/>
      <c r="NE93" s="94"/>
      <c r="NF93" s="94"/>
      <c r="NG93" s="94"/>
      <c r="NH93" s="94"/>
      <c r="NI93" s="94"/>
      <c r="NJ93" s="94"/>
    </row>
    <row r="94" spans="1:374" x14ac:dyDescent="0.25">
      <c r="A94" s="88"/>
      <c r="B94" s="88"/>
      <c r="C94" s="88"/>
      <c r="D94" s="88"/>
      <c r="E94" s="89"/>
      <c r="F94" s="88"/>
      <c r="G94" s="88"/>
      <c r="H94" s="88" t="str">
        <f t="shared" si="195"/>
        <v xml:space="preserve">  </v>
      </c>
      <c r="I94" s="88"/>
      <c r="J94" s="88"/>
      <c r="K94" s="88"/>
      <c r="L94" s="88"/>
      <c r="M94" s="88"/>
      <c r="N94" s="88"/>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1"/>
      <c r="AR94" s="75"/>
      <c r="AS94" s="91"/>
      <c r="AT94" s="91"/>
      <c r="AU94" s="90"/>
      <c r="AV94" s="91"/>
      <c r="AW94" s="91"/>
      <c r="AX94" s="91"/>
      <c r="AY94" s="91"/>
      <c r="AZ94" s="91"/>
      <c r="BA94" s="91"/>
      <c r="BB94" s="90"/>
      <c r="BC94" s="91"/>
      <c r="BD94" s="75"/>
      <c r="BE94" s="91"/>
      <c r="BF94" s="91"/>
      <c r="BG94" s="90"/>
      <c r="BH94" s="91"/>
      <c r="BI94" s="91"/>
      <c r="BJ94" s="91"/>
      <c r="BK94" s="91"/>
      <c r="BL94" s="91"/>
      <c r="BM94" s="91"/>
      <c r="BN94" s="90"/>
      <c r="BO94" s="91"/>
      <c r="BP94" s="75"/>
      <c r="BQ94" s="91"/>
      <c r="BR94" s="91"/>
      <c r="BS94" s="90"/>
      <c r="BT94" s="91"/>
      <c r="BU94" s="91"/>
      <c r="BV94" s="91"/>
      <c r="BW94" s="91"/>
      <c r="BX94" s="91"/>
      <c r="BY94" s="91"/>
      <c r="BZ94" s="90"/>
      <c r="CA94" s="91"/>
      <c r="CB94" s="75"/>
      <c r="CC94" s="91"/>
      <c r="CD94" s="91"/>
      <c r="CE94" s="90"/>
      <c r="CF94" s="91"/>
      <c r="CG94" s="91"/>
      <c r="CH94" s="91"/>
      <c r="CI94" s="91"/>
      <c r="CJ94" s="91"/>
      <c r="CK94" s="91"/>
      <c r="CL94" s="90"/>
      <c r="CM94" s="91"/>
      <c r="CN94" s="75"/>
      <c r="CO94" s="91"/>
      <c r="CP94" s="91"/>
      <c r="CQ94" s="90"/>
      <c r="CR94" s="91"/>
      <c r="CS94" s="91"/>
      <c r="CT94" s="91"/>
      <c r="CU94" s="91"/>
      <c r="CV94" s="91"/>
      <c r="CW94" s="91"/>
      <c r="CX94" s="90"/>
      <c r="CY94" s="91"/>
      <c r="CZ94" s="75"/>
      <c r="DA94" s="91"/>
      <c r="DB94" s="91"/>
      <c r="DC94" s="90"/>
      <c r="DD94" s="91"/>
      <c r="DE94" s="91"/>
      <c r="DF94" s="91"/>
      <c r="DG94" s="91"/>
      <c r="DH94" s="91"/>
      <c r="DI94" s="91"/>
      <c r="DJ94" s="90"/>
      <c r="DK94" s="91"/>
      <c r="DL94" s="75"/>
      <c r="DM94" s="75"/>
      <c r="DN94" s="75">
        <f t="shared" si="194"/>
        <v>0</v>
      </c>
      <c r="DO94" s="75" t="str">
        <f t="shared" si="196"/>
        <v/>
      </c>
      <c r="DP94" s="91" t="str">
        <f>IFERROR(#REF!/#REF!*1000,"")</f>
        <v/>
      </c>
      <c r="DQ94" s="91" t="str">
        <f>IFERROR(#REF!/#REF!*1000,"")</f>
        <v/>
      </c>
      <c r="DR94" s="90"/>
      <c r="DS94" s="91" t="str">
        <f>IFERROR(#REF!/#REF!*1000,"")</f>
        <v/>
      </c>
      <c r="DT94" s="91" t="str">
        <f>IFERROR(#REF!/#REF!*1000,"")</f>
        <v/>
      </c>
      <c r="DU94" s="91"/>
      <c r="DV94" s="91"/>
      <c r="DW94" s="91"/>
      <c r="DX94" s="91"/>
      <c r="DY94" s="90"/>
      <c r="DZ94" s="91"/>
      <c r="EA94" s="75"/>
      <c r="EB94" s="91"/>
      <c r="EC94" s="91"/>
      <c r="ED94" s="90"/>
      <c r="EE94" s="91"/>
      <c r="EF94" s="91"/>
      <c r="EG94" s="91"/>
      <c r="EH94" s="91"/>
      <c r="EI94" s="91"/>
      <c r="EJ94" s="91"/>
      <c r="EK94" s="90"/>
      <c r="EL94" s="90"/>
      <c r="EM94" s="88"/>
      <c r="EN94" s="92"/>
      <c r="EO94" s="92"/>
      <c r="EP94" s="92"/>
      <c r="EQ94" s="92"/>
      <c r="ER94" s="92"/>
      <c r="ES94" s="92"/>
      <c r="ET94" s="92"/>
      <c r="EU94" s="92"/>
      <c r="EV94" s="92"/>
      <c r="EW94" s="92"/>
      <c r="EX94" s="92"/>
      <c r="EY94" s="92"/>
      <c r="EZ94" s="92"/>
      <c r="FA94" s="92"/>
      <c r="FB94" s="92"/>
      <c r="FC94" s="92"/>
      <c r="FD94" s="92"/>
      <c r="FE94" s="92"/>
      <c r="FF94" s="92"/>
      <c r="FG94" s="92"/>
      <c r="FH94" s="92"/>
      <c r="FI94" s="92"/>
      <c r="FJ94" s="92"/>
      <c r="FK94" s="92"/>
      <c r="FL94" s="92"/>
      <c r="FM94" s="92"/>
      <c r="FN94" s="92"/>
      <c r="FO94" s="92"/>
      <c r="FP94" s="92"/>
      <c r="FQ94" s="92"/>
      <c r="FR94" s="92"/>
      <c r="FS94" s="92"/>
      <c r="FT94" s="92"/>
      <c r="FU94" s="92"/>
      <c r="FV94" s="92"/>
      <c r="FW94" s="92"/>
      <c r="FX94" s="92"/>
      <c r="FY94" s="92"/>
      <c r="FZ94" s="92"/>
      <c r="GA94" s="92"/>
      <c r="GB94" s="92"/>
      <c r="GC94" s="92"/>
      <c r="GD94" s="92"/>
      <c r="GE94" s="92"/>
      <c r="GF94" s="92"/>
      <c r="GG94" s="92"/>
      <c r="GH94" s="92"/>
      <c r="GI94" s="92"/>
      <c r="GJ94" s="92"/>
      <c r="GK94" s="92"/>
      <c r="GL94" s="92"/>
      <c r="GM94" s="92"/>
      <c r="GN94" s="92"/>
      <c r="GO94" s="92"/>
      <c r="GP94" s="92"/>
      <c r="GQ94" s="92"/>
      <c r="GR94" s="92"/>
      <c r="GS94" s="92"/>
      <c r="GT94" s="92"/>
      <c r="GU94" s="92"/>
      <c r="GV94" s="92"/>
      <c r="GW94" s="92"/>
      <c r="GX94" s="92"/>
      <c r="GY94" s="92"/>
      <c r="GZ94" s="92"/>
      <c r="HA94" s="92"/>
      <c r="HB94" s="92"/>
      <c r="HC94" s="92"/>
      <c r="HD94" s="92"/>
      <c r="HE94" s="92"/>
      <c r="HF94" s="92"/>
      <c r="HG94" s="92"/>
      <c r="HH94" s="92"/>
      <c r="HI94" s="92"/>
      <c r="HJ94" s="92"/>
      <c r="HK94" s="92"/>
      <c r="HL94" s="92"/>
      <c r="HM94" s="92"/>
      <c r="HN94" s="92"/>
      <c r="HO94" s="92"/>
      <c r="HP94" s="92"/>
      <c r="HQ94" s="92"/>
      <c r="HR94" s="92"/>
      <c r="HS94" s="92"/>
      <c r="HT94" s="92"/>
      <c r="HU94" s="92"/>
      <c r="HV94" s="92"/>
      <c r="HW94" s="92"/>
      <c r="HX94" s="92"/>
      <c r="HY94" s="92"/>
      <c r="HZ94" s="92"/>
      <c r="IA94" s="92"/>
      <c r="IB94" s="92"/>
      <c r="IC94" s="92"/>
      <c r="ID94" s="92"/>
      <c r="IE94" s="92"/>
      <c r="IF94" s="92"/>
      <c r="IG94" s="92"/>
      <c r="IH94" s="92"/>
      <c r="II94" s="92"/>
      <c r="IJ94" s="92"/>
      <c r="IK94" s="92"/>
      <c r="IL94" s="92"/>
      <c r="IM94" s="92"/>
      <c r="IN94" s="92"/>
      <c r="IO94" s="92"/>
      <c r="IP94" s="92"/>
      <c r="IQ94" s="92"/>
      <c r="IR94" s="92"/>
      <c r="IS94" s="92"/>
      <c r="IT94" s="92"/>
      <c r="IU94" s="92"/>
      <c r="IV94" s="92"/>
      <c r="IW94" s="92"/>
      <c r="IX94" s="92"/>
      <c r="IY94" s="92"/>
      <c r="IZ94" s="92"/>
      <c r="JA94" s="92"/>
      <c r="JB94" s="92"/>
      <c r="JC94" s="92"/>
      <c r="JD94" s="92"/>
      <c r="JE94" s="92"/>
      <c r="JF94" s="92"/>
      <c r="JG94" s="92"/>
      <c r="JH94" s="92"/>
      <c r="JI94" s="92"/>
      <c r="JJ94" s="92"/>
      <c r="JK94" s="92"/>
      <c r="JL94" s="92"/>
      <c r="JM94" s="92"/>
      <c r="JN94" s="92"/>
      <c r="JO94" s="92"/>
      <c r="JP94" s="92"/>
      <c r="JQ94" s="92"/>
      <c r="JR94" s="92"/>
      <c r="JS94" s="92"/>
      <c r="JT94" s="92"/>
      <c r="JU94" s="92"/>
      <c r="JV94" s="92"/>
      <c r="JW94" s="92"/>
      <c r="JX94" s="92"/>
      <c r="JY94" s="92"/>
      <c r="JZ94" s="92"/>
      <c r="KA94" s="92"/>
      <c r="KB94" s="92"/>
      <c r="KC94" s="92"/>
      <c r="KD94" s="92"/>
      <c r="KE94" s="92"/>
      <c r="KF94" s="92"/>
      <c r="KG94" s="92"/>
      <c r="KH94" s="92"/>
      <c r="KI94" s="92"/>
      <c r="KJ94" s="92"/>
      <c r="KK94" s="92"/>
      <c r="KL94" s="92"/>
      <c r="KM94" s="92"/>
      <c r="KN94" s="92"/>
      <c r="KO94" s="92"/>
      <c r="KP94" s="92"/>
      <c r="KQ94" s="88"/>
      <c r="KR94" s="92"/>
      <c r="KS94" s="92"/>
      <c r="KT94" s="92"/>
      <c r="KU94" s="93"/>
      <c r="KV94" s="92"/>
      <c r="KW94" s="93"/>
      <c r="KX94" s="92"/>
      <c r="KY94" s="93"/>
      <c r="KZ94" s="92"/>
      <c r="LA94" s="93"/>
      <c r="LB94" s="92"/>
      <c r="LC94" s="93"/>
      <c r="LD94" s="92"/>
      <c r="LE94" s="93"/>
      <c r="LF94" s="92"/>
      <c r="LG94" s="92"/>
      <c r="LH94" s="92"/>
      <c r="LI94" s="92"/>
      <c r="LJ94" s="92"/>
      <c r="LK94" s="92"/>
      <c r="LL94" s="92"/>
      <c r="LM94" s="92"/>
      <c r="LN94" s="92"/>
      <c r="LO94" s="92"/>
      <c r="LP94" s="88"/>
      <c r="LQ94" s="93"/>
      <c r="LR94" s="88"/>
      <c r="LS94" s="93"/>
      <c r="LT94" s="93"/>
      <c r="LU94" s="93"/>
      <c r="LV94" s="93"/>
      <c r="LW94" s="93"/>
      <c r="LX94" s="93"/>
      <c r="LY94" s="93"/>
      <c r="LZ94" s="93"/>
      <c r="MA94" s="93"/>
      <c r="MB94" s="93"/>
      <c r="MC94" s="94"/>
      <c r="MD94" s="94"/>
      <c r="ME94" s="94"/>
      <c r="MF94" s="94"/>
      <c r="MG94" s="94"/>
      <c r="MH94" s="94"/>
      <c r="MI94" s="94"/>
      <c r="MJ94" s="94"/>
      <c r="MK94" s="94"/>
      <c r="ML94" s="94"/>
      <c r="MM94" s="94"/>
      <c r="MN94" s="94"/>
      <c r="MO94" s="95"/>
      <c r="MP94" s="95"/>
      <c r="MQ94" s="94"/>
      <c r="MR94" s="94"/>
      <c r="MS94" s="94"/>
      <c r="MT94" s="94"/>
      <c r="MU94" s="94"/>
      <c r="MV94" s="94"/>
      <c r="MW94" s="94"/>
      <c r="MX94" s="94"/>
      <c r="MY94" s="94"/>
      <c r="MZ94" s="94"/>
      <c r="NA94" s="94"/>
      <c r="NB94" s="94"/>
      <c r="NC94" s="94"/>
      <c r="ND94" s="94"/>
      <c r="NE94" s="94"/>
      <c r="NF94" s="94"/>
      <c r="NG94" s="94"/>
      <c r="NH94" s="94"/>
      <c r="NI94" s="94"/>
      <c r="NJ94" s="94"/>
    </row>
    <row r="95" spans="1:374" x14ac:dyDescent="0.25">
      <c r="A95" s="88"/>
      <c r="B95" s="88"/>
      <c r="C95" s="88"/>
      <c r="D95" s="88"/>
      <c r="E95" s="89"/>
      <c r="F95" s="88"/>
      <c r="G95" s="88"/>
      <c r="H95" s="88" t="str">
        <f t="shared" si="195"/>
        <v xml:space="preserve">  </v>
      </c>
      <c r="I95" s="88"/>
      <c r="J95" s="88"/>
      <c r="K95" s="88"/>
      <c r="L95" s="88"/>
      <c r="M95" s="88"/>
      <c r="N95" s="88"/>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1"/>
      <c r="AR95" s="75"/>
      <c r="AS95" s="91"/>
      <c r="AT95" s="91"/>
      <c r="AU95" s="90"/>
      <c r="AV95" s="91"/>
      <c r="AW95" s="91"/>
      <c r="AX95" s="91"/>
      <c r="AY95" s="91"/>
      <c r="AZ95" s="91"/>
      <c r="BA95" s="91"/>
      <c r="BB95" s="90"/>
      <c r="BC95" s="91"/>
      <c r="BD95" s="75"/>
      <c r="BE95" s="91"/>
      <c r="BF95" s="91"/>
      <c r="BG95" s="90"/>
      <c r="BH95" s="91"/>
      <c r="BI95" s="91"/>
      <c r="BJ95" s="91"/>
      <c r="BK95" s="91"/>
      <c r="BL95" s="91"/>
      <c r="BM95" s="91"/>
      <c r="BN95" s="90"/>
      <c r="BO95" s="91"/>
      <c r="BP95" s="75"/>
      <c r="BQ95" s="91"/>
      <c r="BR95" s="91"/>
      <c r="BS95" s="90"/>
      <c r="BT95" s="91"/>
      <c r="BU95" s="91"/>
      <c r="BV95" s="91"/>
      <c r="BW95" s="91"/>
      <c r="BX95" s="91"/>
      <c r="BY95" s="91"/>
      <c r="BZ95" s="90"/>
      <c r="CA95" s="91"/>
      <c r="CB95" s="75"/>
      <c r="CC95" s="91"/>
      <c r="CD95" s="91"/>
      <c r="CE95" s="90"/>
      <c r="CF95" s="91"/>
      <c r="CG95" s="91"/>
      <c r="CH95" s="91"/>
      <c r="CI95" s="91"/>
      <c r="CJ95" s="91"/>
      <c r="CK95" s="91"/>
      <c r="CL95" s="90"/>
      <c r="CM95" s="91"/>
      <c r="CN95" s="75"/>
      <c r="CO95" s="91"/>
      <c r="CP95" s="91"/>
      <c r="CQ95" s="90"/>
      <c r="CR95" s="91"/>
      <c r="CS95" s="91"/>
      <c r="CT95" s="91"/>
      <c r="CU95" s="91"/>
      <c r="CV95" s="91"/>
      <c r="CW95" s="91"/>
      <c r="CX95" s="90"/>
      <c r="CY95" s="91"/>
      <c r="CZ95" s="75"/>
      <c r="DA95" s="91"/>
      <c r="DB95" s="91"/>
      <c r="DC95" s="90"/>
      <c r="DD95" s="91"/>
      <c r="DE95" s="91"/>
      <c r="DF95" s="91"/>
      <c r="DG95" s="91"/>
      <c r="DH95" s="91"/>
      <c r="DI95" s="91"/>
      <c r="DJ95" s="90"/>
      <c r="DK95" s="91"/>
      <c r="DL95" s="75"/>
      <c r="DM95" s="75"/>
      <c r="DN95" s="75">
        <f t="shared" si="194"/>
        <v>0</v>
      </c>
      <c r="DO95" s="75" t="str">
        <f t="shared" si="196"/>
        <v/>
      </c>
      <c r="DP95" s="91" t="str">
        <f>IFERROR(#REF!/#REF!*1000,"")</f>
        <v/>
      </c>
      <c r="DQ95" s="91" t="str">
        <f>IFERROR(#REF!/#REF!*1000,"")</f>
        <v/>
      </c>
      <c r="DR95" s="90"/>
      <c r="DS95" s="91" t="str">
        <f>IFERROR(#REF!/#REF!*1000,"")</f>
        <v/>
      </c>
      <c r="DT95" s="91" t="str">
        <f>IFERROR(#REF!/#REF!*1000,"")</f>
        <v/>
      </c>
      <c r="DU95" s="91"/>
      <c r="DV95" s="91"/>
      <c r="DW95" s="91"/>
      <c r="DX95" s="91"/>
      <c r="DY95" s="90"/>
      <c r="DZ95" s="91"/>
      <c r="EA95" s="75"/>
      <c r="EB95" s="91"/>
      <c r="EC95" s="91"/>
      <c r="ED95" s="90"/>
      <c r="EE95" s="91"/>
      <c r="EF95" s="91"/>
      <c r="EG95" s="91"/>
      <c r="EH95" s="91"/>
      <c r="EI95" s="91"/>
      <c r="EJ95" s="91"/>
      <c r="EK95" s="90"/>
      <c r="EL95" s="90"/>
      <c r="EM95" s="88"/>
      <c r="EN95" s="92"/>
      <c r="EO95" s="92"/>
      <c r="EP95" s="92"/>
      <c r="EQ95" s="92"/>
      <c r="ER95" s="92"/>
      <c r="ES95" s="92"/>
      <c r="ET95" s="92"/>
      <c r="EU95" s="92"/>
      <c r="EV95" s="92"/>
      <c r="EW95" s="92"/>
      <c r="EX95" s="92"/>
      <c r="EY95" s="92"/>
      <c r="EZ95" s="92"/>
      <c r="FA95" s="92"/>
      <c r="FB95" s="92"/>
      <c r="FC95" s="92"/>
      <c r="FD95" s="92"/>
      <c r="FE95" s="92"/>
      <c r="FF95" s="92"/>
      <c r="FG95" s="92"/>
      <c r="FH95" s="92"/>
      <c r="FI95" s="92"/>
      <c r="FJ95" s="92"/>
      <c r="FK95" s="92"/>
      <c r="FL95" s="92"/>
      <c r="FM95" s="92"/>
      <c r="FN95" s="92"/>
      <c r="FO95" s="92"/>
      <c r="FP95" s="92"/>
      <c r="FQ95" s="92"/>
      <c r="FR95" s="92"/>
      <c r="FS95" s="92"/>
      <c r="FT95" s="92"/>
      <c r="FU95" s="92"/>
      <c r="FV95" s="92"/>
      <c r="FW95" s="92"/>
      <c r="FX95" s="92"/>
      <c r="FY95" s="92"/>
      <c r="FZ95" s="92"/>
      <c r="GA95" s="92"/>
      <c r="GB95" s="92"/>
      <c r="GC95" s="92"/>
      <c r="GD95" s="92"/>
      <c r="GE95" s="92"/>
      <c r="GF95" s="92"/>
      <c r="GG95" s="92"/>
      <c r="GH95" s="92"/>
      <c r="GI95" s="92"/>
      <c r="GJ95" s="92"/>
      <c r="GK95" s="92"/>
      <c r="GL95" s="92"/>
      <c r="GM95" s="92"/>
      <c r="GN95" s="92"/>
      <c r="GO95" s="92"/>
      <c r="GP95" s="92"/>
      <c r="GQ95" s="92"/>
      <c r="GR95" s="92"/>
      <c r="GS95" s="92"/>
      <c r="GT95" s="92"/>
      <c r="GU95" s="92"/>
      <c r="GV95" s="92"/>
      <c r="GW95" s="92"/>
      <c r="GX95" s="92"/>
      <c r="GY95" s="92"/>
      <c r="GZ95" s="92"/>
      <c r="HA95" s="92"/>
      <c r="HB95" s="92"/>
      <c r="HC95" s="92"/>
      <c r="HD95" s="92"/>
      <c r="HE95" s="92"/>
      <c r="HF95" s="92"/>
      <c r="HG95" s="92"/>
      <c r="HH95" s="92"/>
      <c r="HI95" s="92"/>
      <c r="HJ95" s="92"/>
      <c r="HK95" s="92"/>
      <c r="HL95" s="92"/>
      <c r="HM95" s="92"/>
      <c r="HN95" s="92"/>
      <c r="HO95" s="92"/>
      <c r="HP95" s="92"/>
      <c r="HQ95" s="92"/>
      <c r="HR95" s="92"/>
      <c r="HS95" s="92"/>
      <c r="HT95" s="92"/>
      <c r="HU95" s="92"/>
      <c r="HV95" s="92"/>
      <c r="HW95" s="92"/>
      <c r="HX95" s="92"/>
      <c r="HY95" s="92"/>
      <c r="HZ95" s="92"/>
      <c r="IA95" s="92"/>
      <c r="IB95" s="92"/>
      <c r="IC95" s="92"/>
      <c r="ID95" s="92"/>
      <c r="IE95" s="92"/>
      <c r="IF95" s="92"/>
      <c r="IG95" s="92"/>
      <c r="IH95" s="92"/>
      <c r="II95" s="92"/>
      <c r="IJ95" s="92"/>
      <c r="IK95" s="92"/>
      <c r="IL95" s="92"/>
      <c r="IM95" s="92"/>
      <c r="IN95" s="92"/>
      <c r="IO95" s="92"/>
      <c r="IP95" s="92"/>
      <c r="IQ95" s="92"/>
      <c r="IR95" s="92"/>
      <c r="IS95" s="92"/>
      <c r="IT95" s="92"/>
      <c r="IU95" s="92"/>
      <c r="IV95" s="92"/>
      <c r="IW95" s="92"/>
      <c r="IX95" s="92"/>
      <c r="IY95" s="92"/>
      <c r="IZ95" s="92"/>
      <c r="JA95" s="92"/>
      <c r="JB95" s="92"/>
      <c r="JC95" s="92"/>
      <c r="JD95" s="92"/>
      <c r="JE95" s="92"/>
      <c r="JF95" s="92"/>
      <c r="JG95" s="92"/>
      <c r="JH95" s="92"/>
      <c r="JI95" s="92"/>
      <c r="JJ95" s="92"/>
      <c r="JK95" s="92"/>
      <c r="JL95" s="92"/>
      <c r="JM95" s="92"/>
      <c r="JN95" s="92"/>
      <c r="JO95" s="92"/>
      <c r="JP95" s="92"/>
      <c r="JQ95" s="92"/>
      <c r="JR95" s="92"/>
      <c r="JS95" s="92"/>
      <c r="JT95" s="92"/>
      <c r="JU95" s="92"/>
      <c r="JV95" s="92"/>
      <c r="JW95" s="92"/>
      <c r="JX95" s="92"/>
      <c r="JY95" s="92"/>
      <c r="JZ95" s="92"/>
      <c r="KA95" s="92"/>
      <c r="KB95" s="92"/>
      <c r="KC95" s="92"/>
      <c r="KD95" s="92"/>
      <c r="KE95" s="92"/>
      <c r="KF95" s="92"/>
      <c r="KG95" s="92"/>
      <c r="KH95" s="92"/>
      <c r="KI95" s="92"/>
      <c r="KJ95" s="92"/>
      <c r="KK95" s="92"/>
      <c r="KL95" s="92"/>
      <c r="KM95" s="92"/>
      <c r="KN95" s="92"/>
      <c r="KO95" s="92"/>
      <c r="KP95" s="92"/>
      <c r="KQ95" s="88"/>
      <c r="KR95" s="92"/>
      <c r="KS95" s="92"/>
      <c r="KT95" s="92"/>
      <c r="KU95" s="93"/>
      <c r="KV95" s="92"/>
      <c r="KW95" s="93"/>
      <c r="KX95" s="92"/>
      <c r="KY95" s="93"/>
      <c r="KZ95" s="92"/>
      <c r="LA95" s="93"/>
      <c r="LB95" s="92"/>
      <c r="LC95" s="93"/>
      <c r="LD95" s="92"/>
      <c r="LE95" s="93"/>
      <c r="LF95" s="92"/>
      <c r="LG95" s="92"/>
      <c r="LH95" s="92"/>
      <c r="LI95" s="92"/>
      <c r="LJ95" s="92"/>
      <c r="LK95" s="92"/>
      <c r="LL95" s="92"/>
      <c r="LM95" s="92"/>
      <c r="LN95" s="92"/>
      <c r="LO95" s="92"/>
      <c r="LP95" s="88"/>
      <c r="LQ95" s="93"/>
      <c r="LR95" s="88"/>
      <c r="LS95" s="93"/>
      <c r="LT95" s="93"/>
      <c r="LU95" s="93"/>
      <c r="LV95" s="93"/>
      <c r="LW95" s="93"/>
      <c r="LX95" s="93"/>
      <c r="LY95" s="93"/>
      <c r="LZ95" s="93"/>
      <c r="MA95" s="93"/>
      <c r="MB95" s="93"/>
      <c r="MC95" s="94"/>
      <c r="MD95" s="94"/>
      <c r="ME95" s="94"/>
      <c r="MF95" s="94"/>
      <c r="MG95" s="94"/>
      <c r="MH95" s="94"/>
      <c r="MI95" s="94"/>
      <c r="MJ95" s="94"/>
      <c r="MK95" s="94"/>
      <c r="ML95" s="94"/>
      <c r="MM95" s="94"/>
      <c r="MN95" s="94"/>
      <c r="MO95" s="95"/>
      <c r="MP95" s="95"/>
      <c r="MQ95" s="94"/>
      <c r="MR95" s="94"/>
      <c r="MS95" s="94"/>
      <c r="MT95" s="94"/>
      <c r="MU95" s="94"/>
      <c r="MV95" s="94"/>
      <c r="MW95" s="94"/>
      <c r="MX95" s="94"/>
      <c r="MY95" s="94"/>
      <c r="MZ95" s="94"/>
      <c r="NA95" s="94"/>
      <c r="NB95" s="94"/>
      <c r="NC95" s="94"/>
      <c r="ND95" s="94"/>
      <c r="NE95" s="94"/>
      <c r="NF95" s="94"/>
      <c r="NG95" s="94"/>
      <c r="NH95" s="94"/>
      <c r="NI95" s="94"/>
      <c r="NJ95" s="94"/>
    </row>
    <row r="96" spans="1:374" x14ac:dyDescent="0.25">
      <c r="A96" s="88"/>
      <c r="B96" s="88"/>
      <c r="C96" s="88"/>
      <c r="D96" s="88"/>
      <c r="E96" s="89"/>
      <c r="F96" s="88"/>
      <c r="G96" s="88"/>
      <c r="H96" s="88" t="str">
        <f t="shared" si="195"/>
        <v xml:space="preserve">  </v>
      </c>
      <c r="I96" s="88"/>
      <c r="J96" s="88"/>
      <c r="K96" s="88"/>
      <c r="L96" s="88"/>
      <c r="M96" s="88"/>
      <c r="N96" s="88"/>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1"/>
      <c r="AR96" s="75"/>
      <c r="AS96" s="91"/>
      <c r="AT96" s="91"/>
      <c r="AU96" s="90"/>
      <c r="AV96" s="91"/>
      <c r="AW96" s="91"/>
      <c r="AX96" s="91"/>
      <c r="AY96" s="91"/>
      <c r="AZ96" s="91"/>
      <c r="BA96" s="91"/>
      <c r="BB96" s="90"/>
      <c r="BC96" s="91"/>
      <c r="BD96" s="75"/>
      <c r="BE96" s="91"/>
      <c r="BF96" s="91"/>
      <c r="BG96" s="90"/>
      <c r="BH96" s="91"/>
      <c r="BI96" s="91"/>
      <c r="BJ96" s="91"/>
      <c r="BK96" s="91"/>
      <c r="BL96" s="91"/>
      <c r="BM96" s="91"/>
      <c r="BN96" s="90"/>
      <c r="BO96" s="91"/>
      <c r="BP96" s="75"/>
      <c r="BQ96" s="91"/>
      <c r="BR96" s="91"/>
      <c r="BS96" s="90"/>
      <c r="BT96" s="91"/>
      <c r="BU96" s="91"/>
      <c r="BV96" s="91"/>
      <c r="BW96" s="91"/>
      <c r="BX96" s="91"/>
      <c r="BY96" s="91"/>
      <c r="BZ96" s="90"/>
      <c r="CA96" s="91"/>
      <c r="CB96" s="75"/>
      <c r="CC96" s="91"/>
      <c r="CD96" s="91"/>
      <c r="CE96" s="90"/>
      <c r="CF96" s="91"/>
      <c r="CG96" s="91"/>
      <c r="CH96" s="91"/>
      <c r="CI96" s="91"/>
      <c r="CJ96" s="91"/>
      <c r="CK96" s="91"/>
      <c r="CL96" s="90"/>
      <c r="CM96" s="91"/>
      <c r="CN96" s="75"/>
      <c r="CO96" s="91"/>
      <c r="CP96" s="91"/>
      <c r="CQ96" s="90"/>
      <c r="CR96" s="91"/>
      <c r="CS96" s="91"/>
      <c r="CT96" s="91"/>
      <c r="CU96" s="91"/>
      <c r="CV96" s="91"/>
      <c r="CW96" s="91"/>
      <c r="CX96" s="90"/>
      <c r="CY96" s="91"/>
      <c r="CZ96" s="75"/>
      <c r="DA96" s="91"/>
      <c r="DB96" s="91"/>
      <c r="DC96" s="90"/>
      <c r="DD96" s="91"/>
      <c r="DE96" s="91"/>
      <c r="DF96" s="91"/>
      <c r="DG96" s="91"/>
      <c r="DH96" s="91"/>
      <c r="DI96" s="91"/>
      <c r="DJ96" s="90"/>
      <c r="DK96" s="91"/>
      <c r="DL96" s="75"/>
      <c r="DM96" s="75"/>
      <c r="DN96" s="75">
        <f t="shared" si="194"/>
        <v>0</v>
      </c>
      <c r="DO96" s="75" t="str">
        <f t="shared" si="196"/>
        <v/>
      </c>
      <c r="DP96" s="91" t="str">
        <f>IFERROR(#REF!/#REF!*1000,"")</f>
        <v/>
      </c>
      <c r="DQ96" s="91" t="str">
        <f>IFERROR(#REF!/#REF!*1000,"")</f>
        <v/>
      </c>
      <c r="DR96" s="90"/>
      <c r="DS96" s="91" t="str">
        <f>IFERROR(#REF!/#REF!*1000,"")</f>
        <v/>
      </c>
      <c r="DT96" s="91" t="str">
        <f>IFERROR(#REF!/#REF!*1000,"")</f>
        <v/>
      </c>
      <c r="DU96" s="91"/>
      <c r="DV96" s="91"/>
      <c r="DW96" s="91"/>
      <c r="DX96" s="91"/>
      <c r="DY96" s="90"/>
      <c r="DZ96" s="91"/>
      <c r="EA96" s="75"/>
      <c r="EB96" s="91"/>
      <c r="EC96" s="91"/>
      <c r="ED96" s="90"/>
      <c r="EE96" s="91"/>
      <c r="EF96" s="91"/>
      <c r="EG96" s="91"/>
      <c r="EH96" s="91"/>
      <c r="EI96" s="91"/>
      <c r="EJ96" s="91"/>
      <c r="EK96" s="90"/>
      <c r="EL96" s="90"/>
      <c r="EM96" s="88"/>
      <c r="EN96" s="92"/>
      <c r="EO96" s="92"/>
      <c r="EP96" s="92"/>
      <c r="EQ96" s="92"/>
      <c r="ER96" s="92"/>
      <c r="ES96" s="92"/>
      <c r="ET96" s="92"/>
      <c r="EU96" s="92"/>
      <c r="EV96" s="92"/>
      <c r="EW96" s="92"/>
      <c r="EX96" s="92"/>
      <c r="EY96" s="92"/>
      <c r="EZ96" s="92"/>
      <c r="FA96" s="92"/>
      <c r="FB96" s="92"/>
      <c r="FC96" s="92"/>
      <c r="FD96" s="92"/>
      <c r="FE96" s="92"/>
      <c r="FF96" s="92"/>
      <c r="FG96" s="92"/>
      <c r="FH96" s="92"/>
      <c r="FI96" s="92"/>
      <c r="FJ96" s="92"/>
      <c r="FK96" s="92"/>
      <c r="FL96" s="92"/>
      <c r="FM96" s="92"/>
      <c r="FN96" s="92"/>
      <c r="FO96" s="92"/>
      <c r="FP96" s="92"/>
      <c r="FQ96" s="92"/>
      <c r="FR96" s="92"/>
      <c r="FS96" s="92"/>
      <c r="FT96" s="92"/>
      <c r="FU96" s="92"/>
      <c r="FV96" s="92"/>
      <c r="FW96" s="92"/>
      <c r="FX96" s="92"/>
      <c r="FY96" s="92"/>
      <c r="FZ96" s="92"/>
      <c r="GA96" s="92"/>
      <c r="GB96" s="92"/>
      <c r="GC96" s="92"/>
      <c r="GD96" s="92"/>
      <c r="GE96" s="92"/>
      <c r="GF96" s="92"/>
      <c r="GG96" s="92"/>
      <c r="GH96" s="92"/>
      <c r="GI96" s="92"/>
      <c r="GJ96" s="92"/>
      <c r="GK96" s="92"/>
      <c r="GL96" s="92"/>
      <c r="GM96" s="92"/>
      <c r="GN96" s="92"/>
      <c r="GO96" s="92"/>
      <c r="GP96" s="92"/>
      <c r="GQ96" s="92"/>
      <c r="GR96" s="92"/>
      <c r="GS96" s="92"/>
      <c r="GT96" s="92"/>
      <c r="GU96" s="92"/>
      <c r="GV96" s="92"/>
      <c r="GW96" s="92"/>
      <c r="GX96" s="92"/>
      <c r="GY96" s="92"/>
      <c r="GZ96" s="92"/>
      <c r="HA96" s="92"/>
      <c r="HB96" s="92"/>
      <c r="HC96" s="92"/>
      <c r="HD96" s="92"/>
      <c r="HE96" s="92"/>
      <c r="HF96" s="92"/>
      <c r="HG96" s="92"/>
      <c r="HH96" s="92"/>
      <c r="HI96" s="92"/>
      <c r="HJ96" s="92"/>
      <c r="HK96" s="92"/>
      <c r="HL96" s="92"/>
      <c r="HM96" s="92"/>
      <c r="HN96" s="92"/>
      <c r="HO96" s="92"/>
      <c r="HP96" s="92"/>
      <c r="HQ96" s="92"/>
      <c r="HR96" s="92"/>
      <c r="HS96" s="92"/>
      <c r="HT96" s="92"/>
      <c r="HU96" s="92"/>
      <c r="HV96" s="92"/>
      <c r="HW96" s="92"/>
      <c r="HX96" s="92"/>
      <c r="HY96" s="92"/>
      <c r="HZ96" s="92"/>
      <c r="IA96" s="92"/>
      <c r="IB96" s="92"/>
      <c r="IC96" s="92"/>
      <c r="ID96" s="92"/>
      <c r="IE96" s="92"/>
      <c r="IF96" s="92"/>
      <c r="IG96" s="92"/>
      <c r="IH96" s="92"/>
      <c r="II96" s="92"/>
      <c r="IJ96" s="92"/>
      <c r="IK96" s="92"/>
      <c r="IL96" s="92"/>
      <c r="IM96" s="92"/>
      <c r="IN96" s="92"/>
      <c r="IO96" s="92"/>
      <c r="IP96" s="92"/>
      <c r="IQ96" s="92"/>
      <c r="IR96" s="92"/>
      <c r="IS96" s="92"/>
      <c r="IT96" s="92"/>
      <c r="IU96" s="92"/>
      <c r="IV96" s="92"/>
      <c r="IW96" s="92"/>
      <c r="IX96" s="92"/>
      <c r="IY96" s="92"/>
      <c r="IZ96" s="92"/>
      <c r="JA96" s="92"/>
      <c r="JB96" s="92"/>
      <c r="JC96" s="92"/>
      <c r="JD96" s="92"/>
      <c r="JE96" s="92"/>
      <c r="JF96" s="92"/>
      <c r="JG96" s="92"/>
      <c r="JH96" s="92"/>
      <c r="JI96" s="92"/>
      <c r="JJ96" s="92"/>
      <c r="JK96" s="92"/>
      <c r="JL96" s="92"/>
      <c r="JM96" s="92"/>
      <c r="JN96" s="92"/>
      <c r="JO96" s="92"/>
      <c r="JP96" s="92"/>
      <c r="JQ96" s="92"/>
      <c r="JR96" s="92"/>
      <c r="JS96" s="92"/>
      <c r="JT96" s="92"/>
      <c r="JU96" s="92"/>
      <c r="JV96" s="92"/>
      <c r="JW96" s="92"/>
      <c r="JX96" s="92"/>
      <c r="JY96" s="92"/>
      <c r="JZ96" s="92"/>
      <c r="KA96" s="92"/>
      <c r="KB96" s="92"/>
      <c r="KC96" s="92"/>
      <c r="KD96" s="92"/>
      <c r="KE96" s="92"/>
      <c r="KF96" s="92"/>
      <c r="KG96" s="92"/>
      <c r="KH96" s="92"/>
      <c r="KI96" s="92"/>
      <c r="KJ96" s="92"/>
      <c r="KK96" s="92"/>
      <c r="KL96" s="92"/>
      <c r="KM96" s="92"/>
      <c r="KN96" s="92"/>
      <c r="KO96" s="92"/>
      <c r="KP96" s="92"/>
      <c r="KQ96" s="88"/>
      <c r="KR96" s="92"/>
      <c r="KS96" s="92"/>
      <c r="KT96" s="92"/>
      <c r="KU96" s="93"/>
      <c r="KV96" s="92"/>
      <c r="KW96" s="93"/>
      <c r="KX96" s="92"/>
      <c r="KY96" s="93"/>
      <c r="KZ96" s="92"/>
      <c r="LA96" s="93"/>
      <c r="LB96" s="92"/>
      <c r="LC96" s="93"/>
      <c r="LD96" s="92"/>
      <c r="LE96" s="93"/>
      <c r="LF96" s="92"/>
      <c r="LG96" s="92"/>
      <c r="LH96" s="92"/>
      <c r="LI96" s="92"/>
      <c r="LJ96" s="92"/>
      <c r="LK96" s="92"/>
      <c r="LL96" s="92"/>
      <c r="LM96" s="92"/>
      <c r="LN96" s="92"/>
      <c r="LO96" s="92"/>
      <c r="LP96" s="88"/>
      <c r="LQ96" s="93"/>
      <c r="LR96" s="88"/>
      <c r="LS96" s="93"/>
      <c r="LT96" s="93"/>
      <c r="LU96" s="93"/>
      <c r="LV96" s="93"/>
      <c r="LW96" s="93"/>
      <c r="LX96" s="93"/>
      <c r="LY96" s="93"/>
      <c r="LZ96" s="93"/>
      <c r="MA96" s="93"/>
      <c r="MB96" s="93"/>
      <c r="MC96" s="94"/>
      <c r="MD96" s="94"/>
      <c r="ME96" s="94"/>
      <c r="MF96" s="94"/>
      <c r="MG96" s="94"/>
      <c r="MH96" s="94"/>
      <c r="MI96" s="94"/>
      <c r="MJ96" s="94"/>
      <c r="MK96" s="94"/>
      <c r="ML96" s="94"/>
      <c r="MM96" s="94"/>
      <c r="MN96" s="94"/>
      <c r="MO96" s="95"/>
      <c r="MP96" s="95"/>
      <c r="MQ96" s="94"/>
      <c r="MR96" s="94"/>
      <c r="MS96" s="94"/>
      <c r="MT96" s="94"/>
      <c r="MU96" s="94"/>
      <c r="MV96" s="94"/>
      <c r="MW96" s="94"/>
      <c r="MX96" s="94"/>
      <c r="MY96" s="94"/>
      <c r="MZ96" s="94"/>
      <c r="NA96" s="94"/>
      <c r="NB96" s="94"/>
      <c r="NC96" s="94"/>
      <c r="ND96" s="94"/>
      <c r="NE96" s="94"/>
      <c r="NF96" s="94"/>
      <c r="NG96" s="94"/>
      <c r="NH96" s="94"/>
      <c r="NI96" s="94"/>
      <c r="NJ96" s="94"/>
    </row>
    <row r="97" spans="1:374" x14ac:dyDescent="0.25">
      <c r="A97" s="88"/>
      <c r="B97" s="88"/>
      <c r="C97" s="88"/>
      <c r="D97" s="88"/>
      <c r="E97" s="89"/>
      <c r="F97" s="88"/>
      <c r="G97" s="88"/>
      <c r="H97" s="88" t="str">
        <f t="shared" si="195"/>
        <v xml:space="preserve">  </v>
      </c>
      <c r="I97" s="88"/>
      <c r="J97" s="88"/>
      <c r="K97" s="88"/>
      <c r="L97" s="88"/>
      <c r="M97" s="88"/>
      <c r="N97" s="88"/>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1"/>
      <c r="AR97" s="75"/>
      <c r="AS97" s="91"/>
      <c r="AT97" s="91"/>
      <c r="AU97" s="90"/>
      <c r="AV97" s="91"/>
      <c r="AW97" s="91"/>
      <c r="AX97" s="91"/>
      <c r="AY97" s="91"/>
      <c r="AZ97" s="91"/>
      <c r="BA97" s="91"/>
      <c r="BB97" s="90"/>
      <c r="BC97" s="91"/>
      <c r="BD97" s="75"/>
      <c r="BE97" s="91"/>
      <c r="BF97" s="91"/>
      <c r="BG97" s="90"/>
      <c r="BH97" s="91"/>
      <c r="BI97" s="91"/>
      <c r="BJ97" s="91"/>
      <c r="BK97" s="91"/>
      <c r="BL97" s="91"/>
      <c r="BM97" s="91"/>
      <c r="BN97" s="90"/>
      <c r="BO97" s="91"/>
      <c r="BP97" s="75"/>
      <c r="BQ97" s="91"/>
      <c r="BR97" s="91"/>
      <c r="BS97" s="90"/>
      <c r="BT97" s="91"/>
      <c r="BU97" s="91"/>
      <c r="BV97" s="91"/>
      <c r="BW97" s="91"/>
      <c r="BX97" s="91"/>
      <c r="BY97" s="91"/>
      <c r="BZ97" s="90"/>
      <c r="CA97" s="91"/>
      <c r="CB97" s="75"/>
      <c r="CC97" s="91"/>
      <c r="CD97" s="91"/>
      <c r="CE97" s="90"/>
      <c r="CF97" s="91"/>
      <c r="CG97" s="91"/>
      <c r="CH97" s="91"/>
      <c r="CI97" s="91"/>
      <c r="CJ97" s="91"/>
      <c r="CK97" s="91"/>
      <c r="CL97" s="90"/>
      <c r="CM97" s="91"/>
      <c r="CN97" s="75"/>
      <c r="CO97" s="91"/>
      <c r="CP97" s="91"/>
      <c r="CQ97" s="90"/>
      <c r="CR97" s="91"/>
      <c r="CS97" s="91"/>
      <c r="CT97" s="91"/>
      <c r="CU97" s="91"/>
      <c r="CV97" s="91"/>
      <c r="CW97" s="91"/>
      <c r="CX97" s="90"/>
      <c r="CY97" s="91"/>
      <c r="CZ97" s="75"/>
      <c r="DA97" s="91"/>
      <c r="DB97" s="91"/>
      <c r="DC97" s="90"/>
      <c r="DD97" s="91"/>
      <c r="DE97" s="91"/>
      <c r="DF97" s="91"/>
      <c r="DG97" s="91"/>
      <c r="DH97" s="91"/>
      <c r="DI97" s="91"/>
      <c r="DJ97" s="90"/>
      <c r="DK97" s="91"/>
      <c r="DL97" s="75"/>
      <c r="DM97" s="75"/>
      <c r="DN97" s="75">
        <f t="shared" si="194"/>
        <v>0</v>
      </c>
      <c r="DO97" s="75" t="str">
        <f t="shared" si="196"/>
        <v/>
      </c>
      <c r="DP97" s="91" t="str">
        <f>IFERROR(#REF!/#REF!*1000,"")</f>
        <v/>
      </c>
      <c r="DQ97" s="91" t="str">
        <f>IFERROR(#REF!/#REF!*1000,"")</f>
        <v/>
      </c>
      <c r="DR97" s="90"/>
      <c r="DS97" s="91" t="str">
        <f>IFERROR(#REF!/#REF!*1000,"")</f>
        <v/>
      </c>
      <c r="DT97" s="91" t="str">
        <f>IFERROR(#REF!/#REF!*1000,"")</f>
        <v/>
      </c>
      <c r="DU97" s="91"/>
      <c r="DV97" s="91"/>
      <c r="DW97" s="91"/>
      <c r="DX97" s="91"/>
      <c r="DY97" s="90"/>
      <c r="DZ97" s="91"/>
      <c r="EA97" s="75"/>
      <c r="EB97" s="91"/>
      <c r="EC97" s="91"/>
      <c r="ED97" s="90"/>
      <c r="EE97" s="91"/>
      <c r="EF97" s="91"/>
      <c r="EG97" s="91"/>
      <c r="EH97" s="91"/>
      <c r="EI97" s="91"/>
      <c r="EJ97" s="91"/>
      <c r="EK97" s="90"/>
      <c r="EL97" s="90"/>
      <c r="EM97" s="88"/>
      <c r="EN97" s="92"/>
      <c r="EO97" s="92"/>
      <c r="EP97" s="92"/>
      <c r="EQ97" s="92"/>
      <c r="ER97" s="92"/>
      <c r="ES97" s="92"/>
      <c r="ET97" s="92"/>
      <c r="EU97" s="92"/>
      <c r="EV97" s="92"/>
      <c r="EW97" s="92"/>
      <c r="EX97" s="92"/>
      <c r="EY97" s="92"/>
      <c r="EZ97" s="92"/>
      <c r="FA97" s="92"/>
      <c r="FB97" s="92"/>
      <c r="FC97" s="92"/>
      <c r="FD97" s="92"/>
      <c r="FE97" s="92"/>
      <c r="FF97" s="92"/>
      <c r="FG97" s="92"/>
      <c r="FH97" s="92"/>
      <c r="FI97" s="92"/>
      <c r="FJ97" s="92"/>
      <c r="FK97" s="92"/>
      <c r="FL97" s="92"/>
      <c r="FM97" s="92"/>
      <c r="FN97" s="92"/>
      <c r="FO97" s="92"/>
      <c r="FP97" s="92"/>
      <c r="FQ97" s="92"/>
      <c r="FR97" s="92"/>
      <c r="FS97" s="92"/>
      <c r="FT97" s="92"/>
      <c r="FU97" s="92"/>
      <c r="FV97" s="92"/>
      <c r="FW97" s="92"/>
      <c r="FX97" s="92"/>
      <c r="FY97" s="92"/>
      <c r="FZ97" s="92"/>
      <c r="GA97" s="92"/>
      <c r="GB97" s="92"/>
      <c r="GC97" s="92"/>
      <c r="GD97" s="92"/>
      <c r="GE97" s="92"/>
      <c r="GF97" s="92"/>
      <c r="GG97" s="92"/>
      <c r="GH97" s="92"/>
      <c r="GI97" s="92"/>
      <c r="GJ97" s="92"/>
      <c r="GK97" s="92"/>
      <c r="GL97" s="92"/>
      <c r="GM97" s="92"/>
      <c r="GN97" s="92"/>
      <c r="GO97" s="92"/>
      <c r="GP97" s="92"/>
      <c r="GQ97" s="92"/>
      <c r="GR97" s="92"/>
      <c r="GS97" s="92"/>
      <c r="GT97" s="92"/>
      <c r="GU97" s="92"/>
      <c r="GV97" s="92"/>
      <c r="GW97" s="92"/>
      <c r="GX97" s="92"/>
      <c r="GY97" s="92"/>
      <c r="GZ97" s="92"/>
      <c r="HA97" s="92"/>
      <c r="HB97" s="92"/>
      <c r="HC97" s="92"/>
      <c r="HD97" s="92"/>
      <c r="HE97" s="92"/>
      <c r="HF97" s="92"/>
      <c r="HG97" s="92"/>
      <c r="HH97" s="92"/>
      <c r="HI97" s="92"/>
      <c r="HJ97" s="92"/>
      <c r="HK97" s="92"/>
      <c r="HL97" s="92"/>
      <c r="HM97" s="92"/>
      <c r="HN97" s="92"/>
      <c r="HO97" s="92"/>
      <c r="HP97" s="92"/>
      <c r="HQ97" s="92"/>
      <c r="HR97" s="92"/>
      <c r="HS97" s="92"/>
      <c r="HT97" s="92"/>
      <c r="HU97" s="92"/>
      <c r="HV97" s="92"/>
      <c r="HW97" s="92"/>
      <c r="HX97" s="92"/>
      <c r="HY97" s="92"/>
      <c r="HZ97" s="92"/>
      <c r="IA97" s="92"/>
      <c r="IB97" s="92"/>
      <c r="IC97" s="92"/>
      <c r="ID97" s="92"/>
      <c r="IE97" s="92"/>
      <c r="IF97" s="92"/>
      <c r="IG97" s="92"/>
      <c r="IH97" s="92"/>
      <c r="II97" s="92"/>
      <c r="IJ97" s="92"/>
      <c r="IK97" s="92"/>
      <c r="IL97" s="92"/>
      <c r="IM97" s="92"/>
      <c r="IN97" s="92"/>
      <c r="IO97" s="92"/>
      <c r="IP97" s="92"/>
      <c r="IQ97" s="92"/>
      <c r="IR97" s="92"/>
      <c r="IS97" s="92"/>
      <c r="IT97" s="92"/>
      <c r="IU97" s="92"/>
      <c r="IV97" s="92"/>
      <c r="IW97" s="92"/>
      <c r="IX97" s="92"/>
      <c r="IY97" s="92"/>
      <c r="IZ97" s="92"/>
      <c r="JA97" s="92"/>
      <c r="JB97" s="92"/>
      <c r="JC97" s="92"/>
      <c r="JD97" s="92"/>
      <c r="JE97" s="92"/>
      <c r="JF97" s="92"/>
      <c r="JG97" s="92"/>
      <c r="JH97" s="92"/>
      <c r="JI97" s="92"/>
      <c r="JJ97" s="92"/>
      <c r="JK97" s="92"/>
      <c r="JL97" s="92"/>
      <c r="JM97" s="92"/>
      <c r="JN97" s="92"/>
      <c r="JO97" s="92"/>
      <c r="JP97" s="92"/>
      <c r="JQ97" s="92"/>
      <c r="JR97" s="92"/>
      <c r="JS97" s="92"/>
      <c r="JT97" s="92"/>
      <c r="JU97" s="92"/>
      <c r="JV97" s="92"/>
      <c r="JW97" s="92"/>
      <c r="JX97" s="92"/>
      <c r="JY97" s="92"/>
      <c r="JZ97" s="92"/>
      <c r="KA97" s="92"/>
      <c r="KB97" s="92"/>
      <c r="KC97" s="92"/>
      <c r="KD97" s="92"/>
      <c r="KE97" s="92"/>
      <c r="KF97" s="92"/>
      <c r="KG97" s="92"/>
      <c r="KH97" s="92"/>
      <c r="KI97" s="92"/>
      <c r="KJ97" s="92"/>
      <c r="KK97" s="92"/>
      <c r="KL97" s="92"/>
      <c r="KM97" s="92"/>
      <c r="KN97" s="92"/>
      <c r="KO97" s="92"/>
      <c r="KP97" s="92"/>
      <c r="KQ97" s="88"/>
      <c r="KR97" s="92"/>
      <c r="KS97" s="92"/>
      <c r="KT97" s="92"/>
      <c r="KU97" s="93"/>
      <c r="KV97" s="92"/>
      <c r="KW97" s="93"/>
      <c r="KX97" s="92"/>
      <c r="KY97" s="93"/>
      <c r="KZ97" s="92"/>
      <c r="LA97" s="93"/>
      <c r="LB97" s="92"/>
      <c r="LC97" s="93"/>
      <c r="LD97" s="92"/>
      <c r="LE97" s="93"/>
      <c r="LF97" s="92"/>
      <c r="LG97" s="92"/>
      <c r="LH97" s="92"/>
      <c r="LI97" s="92"/>
      <c r="LJ97" s="92"/>
      <c r="LK97" s="92"/>
      <c r="LL97" s="92"/>
      <c r="LM97" s="92"/>
      <c r="LN97" s="92"/>
      <c r="LO97" s="92"/>
      <c r="LP97" s="88"/>
      <c r="LQ97" s="93"/>
      <c r="LR97" s="88"/>
      <c r="LS97" s="93"/>
      <c r="LT97" s="93"/>
      <c r="LU97" s="93"/>
      <c r="LV97" s="93"/>
      <c r="LW97" s="93"/>
      <c r="LX97" s="93"/>
      <c r="LY97" s="93"/>
      <c r="LZ97" s="93"/>
      <c r="MA97" s="93"/>
      <c r="MB97" s="93"/>
      <c r="MC97" s="94"/>
      <c r="MD97" s="94"/>
      <c r="ME97" s="94"/>
      <c r="MF97" s="94"/>
      <c r="MG97" s="94"/>
      <c r="MH97" s="94"/>
      <c r="MI97" s="94"/>
      <c r="MJ97" s="94"/>
      <c r="MK97" s="94"/>
      <c r="ML97" s="94"/>
      <c r="MM97" s="94"/>
      <c r="MN97" s="94"/>
      <c r="MO97" s="95"/>
      <c r="MP97" s="95"/>
      <c r="MQ97" s="94"/>
      <c r="MR97" s="94"/>
      <c r="MS97" s="94"/>
      <c r="MT97" s="94"/>
      <c r="MU97" s="94"/>
      <c r="MV97" s="94"/>
      <c r="MW97" s="94"/>
      <c r="MX97" s="94"/>
      <c r="MY97" s="94"/>
      <c r="MZ97" s="94"/>
      <c r="NA97" s="94"/>
      <c r="NB97" s="94"/>
      <c r="NC97" s="94"/>
      <c r="ND97" s="94"/>
      <c r="NE97" s="94"/>
      <c r="NF97" s="94"/>
      <c r="NG97" s="94"/>
      <c r="NH97" s="94"/>
      <c r="NI97" s="94"/>
      <c r="NJ97" s="94"/>
    </row>
    <row r="98" spans="1:374" x14ac:dyDescent="0.25">
      <c r="A98" s="88"/>
      <c r="B98" s="88"/>
      <c r="C98" s="88"/>
      <c r="D98" s="88"/>
      <c r="E98" s="89"/>
      <c r="F98" s="88"/>
      <c r="G98" s="88"/>
      <c r="H98" s="88" t="str">
        <f t="shared" si="195"/>
        <v xml:space="preserve">  </v>
      </c>
      <c r="I98" s="88"/>
      <c r="J98" s="88"/>
      <c r="K98" s="88"/>
      <c r="L98" s="88"/>
      <c r="M98" s="88"/>
      <c r="N98" s="88"/>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1"/>
      <c r="AR98" s="75"/>
      <c r="AS98" s="91"/>
      <c r="AT98" s="91"/>
      <c r="AU98" s="90"/>
      <c r="AV98" s="91"/>
      <c r="AW98" s="91"/>
      <c r="AX98" s="91"/>
      <c r="AY98" s="91"/>
      <c r="AZ98" s="91"/>
      <c r="BA98" s="91"/>
      <c r="BB98" s="90"/>
      <c r="BC98" s="91"/>
      <c r="BD98" s="75"/>
      <c r="BE98" s="91"/>
      <c r="BF98" s="91"/>
      <c r="BG98" s="90"/>
      <c r="BH98" s="91"/>
      <c r="BI98" s="91"/>
      <c r="BJ98" s="91"/>
      <c r="BK98" s="91"/>
      <c r="BL98" s="91"/>
      <c r="BM98" s="91"/>
      <c r="BN98" s="90"/>
      <c r="BO98" s="91"/>
      <c r="BP98" s="75"/>
      <c r="BQ98" s="91"/>
      <c r="BR98" s="91"/>
      <c r="BS98" s="90"/>
      <c r="BT98" s="91"/>
      <c r="BU98" s="91"/>
      <c r="BV98" s="91"/>
      <c r="BW98" s="91"/>
      <c r="BX98" s="91"/>
      <c r="BY98" s="91"/>
      <c r="BZ98" s="90"/>
      <c r="CA98" s="91"/>
      <c r="CB98" s="75"/>
      <c r="CC98" s="91"/>
      <c r="CD98" s="91"/>
      <c r="CE98" s="90"/>
      <c r="CF98" s="91"/>
      <c r="CG98" s="91"/>
      <c r="CH98" s="91"/>
      <c r="CI98" s="91"/>
      <c r="CJ98" s="91"/>
      <c r="CK98" s="91"/>
      <c r="CL98" s="90"/>
      <c r="CM98" s="91"/>
      <c r="CN98" s="75"/>
      <c r="CO98" s="91"/>
      <c r="CP98" s="91"/>
      <c r="CQ98" s="90"/>
      <c r="CR98" s="91"/>
      <c r="CS98" s="91"/>
      <c r="CT98" s="91"/>
      <c r="CU98" s="91"/>
      <c r="CV98" s="91"/>
      <c r="CW98" s="91"/>
      <c r="CX98" s="90"/>
      <c r="CY98" s="91"/>
      <c r="CZ98" s="75"/>
      <c r="DA98" s="91"/>
      <c r="DB98" s="91"/>
      <c r="DC98" s="90"/>
      <c r="DD98" s="91"/>
      <c r="DE98" s="91"/>
      <c r="DF98" s="91"/>
      <c r="DG98" s="91"/>
      <c r="DH98" s="91"/>
      <c r="DI98" s="91"/>
      <c r="DJ98" s="90"/>
      <c r="DK98" s="91"/>
      <c r="DL98" s="75"/>
      <c r="DM98" s="75"/>
      <c r="DN98" s="75">
        <f t="shared" si="194"/>
        <v>0</v>
      </c>
      <c r="DO98" s="75" t="str">
        <f t="shared" si="196"/>
        <v/>
      </c>
      <c r="DP98" s="91" t="str">
        <f>IFERROR(#REF!/#REF!*1000,"")</f>
        <v/>
      </c>
      <c r="DQ98" s="91" t="str">
        <f>IFERROR(#REF!/#REF!*1000,"")</f>
        <v/>
      </c>
      <c r="DR98" s="90"/>
      <c r="DS98" s="91" t="str">
        <f>IFERROR(#REF!/#REF!*1000,"")</f>
        <v/>
      </c>
      <c r="DT98" s="91" t="str">
        <f>IFERROR(#REF!/#REF!*1000,"")</f>
        <v/>
      </c>
      <c r="DU98" s="91"/>
      <c r="DV98" s="91"/>
      <c r="DW98" s="91"/>
      <c r="DX98" s="91"/>
      <c r="DY98" s="90"/>
      <c r="DZ98" s="91"/>
      <c r="EA98" s="75"/>
      <c r="EB98" s="91"/>
      <c r="EC98" s="91"/>
      <c r="ED98" s="90"/>
      <c r="EE98" s="91"/>
      <c r="EF98" s="91"/>
      <c r="EG98" s="91"/>
      <c r="EH98" s="91"/>
      <c r="EI98" s="91"/>
      <c r="EJ98" s="91"/>
      <c r="EK98" s="90"/>
      <c r="EL98" s="90"/>
      <c r="EM98" s="88"/>
      <c r="EN98" s="92"/>
      <c r="EO98" s="92"/>
      <c r="EP98" s="92"/>
      <c r="EQ98" s="92"/>
      <c r="ER98" s="92"/>
      <c r="ES98" s="92"/>
      <c r="ET98" s="92"/>
      <c r="EU98" s="92"/>
      <c r="EV98" s="92"/>
      <c r="EW98" s="92"/>
      <c r="EX98" s="92"/>
      <c r="EY98" s="92"/>
      <c r="EZ98" s="92"/>
      <c r="FA98" s="92"/>
      <c r="FB98" s="92"/>
      <c r="FC98" s="92"/>
      <c r="FD98" s="92"/>
      <c r="FE98" s="92"/>
      <c r="FF98" s="92"/>
      <c r="FG98" s="92"/>
      <c r="FH98" s="92"/>
      <c r="FI98" s="92"/>
      <c r="FJ98" s="92"/>
      <c r="FK98" s="92"/>
      <c r="FL98" s="92"/>
      <c r="FM98" s="92"/>
      <c r="FN98" s="92"/>
      <c r="FO98" s="92"/>
      <c r="FP98" s="92"/>
      <c r="FQ98" s="92"/>
      <c r="FR98" s="92"/>
      <c r="FS98" s="92"/>
      <c r="FT98" s="92"/>
      <c r="FU98" s="92"/>
      <c r="FV98" s="92"/>
      <c r="FW98" s="92"/>
      <c r="FX98" s="92"/>
      <c r="FY98" s="92"/>
      <c r="FZ98" s="92"/>
      <c r="GA98" s="92"/>
      <c r="GB98" s="92"/>
      <c r="GC98" s="92"/>
      <c r="GD98" s="92"/>
      <c r="GE98" s="92"/>
      <c r="GF98" s="92"/>
      <c r="GG98" s="92"/>
      <c r="GH98" s="92"/>
      <c r="GI98" s="92"/>
      <c r="GJ98" s="92"/>
      <c r="GK98" s="92"/>
      <c r="GL98" s="92"/>
      <c r="GM98" s="92"/>
      <c r="GN98" s="92"/>
      <c r="GO98" s="92"/>
      <c r="GP98" s="92"/>
      <c r="GQ98" s="92"/>
      <c r="GR98" s="92"/>
      <c r="GS98" s="92"/>
      <c r="GT98" s="92"/>
      <c r="GU98" s="92"/>
      <c r="GV98" s="92"/>
      <c r="GW98" s="92"/>
      <c r="GX98" s="92"/>
      <c r="GY98" s="92"/>
      <c r="GZ98" s="92"/>
      <c r="HA98" s="92"/>
      <c r="HB98" s="92"/>
      <c r="HC98" s="92"/>
      <c r="HD98" s="92"/>
      <c r="HE98" s="92"/>
      <c r="HF98" s="92"/>
      <c r="HG98" s="92"/>
      <c r="HH98" s="92"/>
      <c r="HI98" s="92"/>
      <c r="HJ98" s="92"/>
      <c r="HK98" s="92"/>
      <c r="HL98" s="92"/>
      <c r="HM98" s="92"/>
      <c r="HN98" s="92"/>
      <c r="HO98" s="92"/>
      <c r="HP98" s="92"/>
      <c r="HQ98" s="92"/>
      <c r="HR98" s="92"/>
      <c r="HS98" s="92"/>
      <c r="HT98" s="92"/>
      <c r="HU98" s="92"/>
      <c r="HV98" s="92"/>
      <c r="HW98" s="92"/>
      <c r="HX98" s="92"/>
      <c r="HY98" s="92"/>
      <c r="HZ98" s="92"/>
      <c r="IA98" s="92"/>
      <c r="IB98" s="92"/>
      <c r="IC98" s="92"/>
      <c r="ID98" s="92"/>
      <c r="IE98" s="92"/>
      <c r="IF98" s="92"/>
      <c r="IG98" s="92"/>
      <c r="IH98" s="92"/>
      <c r="II98" s="92"/>
      <c r="IJ98" s="92"/>
      <c r="IK98" s="92"/>
      <c r="IL98" s="92"/>
      <c r="IM98" s="92"/>
      <c r="IN98" s="92"/>
      <c r="IO98" s="92"/>
      <c r="IP98" s="92"/>
      <c r="IQ98" s="92"/>
      <c r="IR98" s="92"/>
      <c r="IS98" s="92"/>
      <c r="IT98" s="92"/>
      <c r="IU98" s="92"/>
      <c r="IV98" s="92"/>
      <c r="IW98" s="92"/>
      <c r="IX98" s="92"/>
      <c r="IY98" s="92"/>
      <c r="IZ98" s="92"/>
      <c r="JA98" s="92"/>
      <c r="JB98" s="92"/>
      <c r="JC98" s="92"/>
      <c r="JD98" s="92"/>
      <c r="JE98" s="92"/>
      <c r="JF98" s="92"/>
      <c r="JG98" s="92"/>
      <c r="JH98" s="92"/>
      <c r="JI98" s="92"/>
      <c r="JJ98" s="92"/>
      <c r="JK98" s="92"/>
      <c r="JL98" s="92"/>
      <c r="JM98" s="92"/>
      <c r="JN98" s="92"/>
      <c r="JO98" s="92"/>
      <c r="JP98" s="92"/>
      <c r="JQ98" s="92"/>
      <c r="JR98" s="92"/>
      <c r="JS98" s="92"/>
      <c r="JT98" s="92"/>
      <c r="JU98" s="92"/>
      <c r="JV98" s="92"/>
      <c r="JW98" s="92"/>
      <c r="JX98" s="92"/>
      <c r="JY98" s="92"/>
      <c r="JZ98" s="92"/>
      <c r="KA98" s="92"/>
      <c r="KB98" s="92"/>
      <c r="KC98" s="92"/>
      <c r="KD98" s="92"/>
      <c r="KE98" s="92"/>
      <c r="KF98" s="92"/>
      <c r="KG98" s="92"/>
      <c r="KH98" s="92"/>
      <c r="KI98" s="92"/>
      <c r="KJ98" s="92"/>
      <c r="KK98" s="92"/>
      <c r="KL98" s="92"/>
      <c r="KM98" s="92"/>
      <c r="KN98" s="92"/>
      <c r="KO98" s="92"/>
      <c r="KP98" s="92"/>
      <c r="KQ98" s="88"/>
      <c r="KR98" s="92"/>
      <c r="KS98" s="92"/>
      <c r="KT98" s="92"/>
      <c r="KU98" s="93"/>
      <c r="KV98" s="92"/>
      <c r="KW98" s="93"/>
      <c r="KX98" s="92"/>
      <c r="KY98" s="93"/>
      <c r="KZ98" s="92"/>
      <c r="LA98" s="93"/>
      <c r="LB98" s="92"/>
      <c r="LC98" s="93"/>
      <c r="LD98" s="92"/>
      <c r="LE98" s="93"/>
      <c r="LF98" s="92"/>
      <c r="LG98" s="92"/>
      <c r="LH98" s="92"/>
      <c r="LI98" s="92"/>
      <c r="LJ98" s="92"/>
      <c r="LK98" s="92"/>
      <c r="LL98" s="92"/>
      <c r="LM98" s="92"/>
      <c r="LN98" s="92"/>
      <c r="LO98" s="92"/>
      <c r="LP98" s="88"/>
      <c r="LQ98" s="93"/>
      <c r="LR98" s="88"/>
      <c r="LS98" s="93"/>
      <c r="LT98" s="93"/>
      <c r="LU98" s="93"/>
      <c r="LV98" s="93"/>
      <c r="LW98" s="93"/>
      <c r="LX98" s="93"/>
      <c r="LY98" s="93"/>
      <c r="LZ98" s="93"/>
      <c r="MA98" s="93"/>
      <c r="MB98" s="93"/>
      <c r="MC98" s="94"/>
      <c r="MD98" s="94"/>
      <c r="ME98" s="94"/>
      <c r="MF98" s="94"/>
      <c r="MG98" s="94"/>
      <c r="MH98" s="94"/>
      <c r="MI98" s="94"/>
      <c r="MJ98" s="94"/>
      <c r="MK98" s="94"/>
      <c r="ML98" s="94"/>
      <c r="MM98" s="94"/>
      <c r="MN98" s="94"/>
      <c r="MO98" s="95"/>
      <c r="MP98" s="95"/>
      <c r="MQ98" s="94"/>
      <c r="MR98" s="94"/>
      <c r="MS98" s="94"/>
      <c r="MT98" s="94"/>
      <c r="MU98" s="94"/>
      <c r="MV98" s="94"/>
      <c r="MW98" s="94"/>
      <c r="MX98" s="94"/>
      <c r="MY98" s="94"/>
      <c r="MZ98" s="94"/>
      <c r="NA98" s="94"/>
      <c r="NB98" s="94"/>
      <c r="NC98" s="94"/>
      <c r="ND98" s="94"/>
      <c r="NE98" s="94"/>
      <c r="NF98" s="94"/>
      <c r="NG98" s="94"/>
      <c r="NH98" s="94"/>
      <c r="NI98" s="94"/>
      <c r="NJ98" s="94"/>
    </row>
    <row r="99" spans="1:374" x14ac:dyDescent="0.25">
      <c r="A99" s="88"/>
      <c r="B99" s="88"/>
      <c r="C99" s="88"/>
      <c r="D99" s="88"/>
      <c r="E99" s="89"/>
      <c r="F99" s="88"/>
      <c r="G99" s="88"/>
      <c r="H99" s="88" t="str">
        <f t="shared" si="195"/>
        <v xml:space="preserve">  </v>
      </c>
      <c r="I99" s="88"/>
      <c r="J99" s="88"/>
      <c r="K99" s="88"/>
      <c r="L99" s="88"/>
      <c r="M99" s="88"/>
      <c r="N99" s="88"/>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1"/>
      <c r="AR99" s="75"/>
      <c r="AS99" s="91"/>
      <c r="AT99" s="91"/>
      <c r="AU99" s="90"/>
      <c r="AV99" s="91"/>
      <c r="AW99" s="91"/>
      <c r="AX99" s="91"/>
      <c r="AY99" s="91"/>
      <c r="AZ99" s="91"/>
      <c r="BA99" s="91"/>
      <c r="BB99" s="90"/>
      <c r="BC99" s="91"/>
      <c r="BD99" s="75"/>
      <c r="BE99" s="91"/>
      <c r="BF99" s="91"/>
      <c r="BG99" s="90"/>
      <c r="BH99" s="91"/>
      <c r="BI99" s="91"/>
      <c r="BJ99" s="91"/>
      <c r="BK99" s="91"/>
      <c r="BL99" s="91"/>
      <c r="BM99" s="91"/>
      <c r="BN99" s="90"/>
      <c r="BO99" s="91"/>
      <c r="BP99" s="75"/>
      <c r="BQ99" s="91"/>
      <c r="BR99" s="91"/>
      <c r="BS99" s="90"/>
      <c r="BT99" s="91"/>
      <c r="BU99" s="91"/>
      <c r="BV99" s="91"/>
      <c r="BW99" s="91"/>
      <c r="BX99" s="91"/>
      <c r="BY99" s="91"/>
      <c r="BZ99" s="90"/>
      <c r="CA99" s="91"/>
      <c r="CB99" s="75"/>
      <c r="CC99" s="91"/>
      <c r="CD99" s="91"/>
      <c r="CE99" s="90"/>
      <c r="CF99" s="91"/>
      <c r="CG99" s="91"/>
      <c r="CH99" s="91"/>
      <c r="CI99" s="91"/>
      <c r="CJ99" s="91"/>
      <c r="CK99" s="91"/>
      <c r="CL99" s="90"/>
      <c r="CM99" s="91"/>
      <c r="CN99" s="75"/>
      <c r="CO99" s="91"/>
      <c r="CP99" s="91"/>
      <c r="CQ99" s="90"/>
      <c r="CR99" s="91"/>
      <c r="CS99" s="91"/>
      <c r="CT99" s="91"/>
      <c r="CU99" s="91"/>
      <c r="CV99" s="91"/>
      <c r="CW99" s="91"/>
      <c r="CX99" s="90"/>
      <c r="CY99" s="91"/>
      <c r="CZ99" s="75"/>
      <c r="DA99" s="91"/>
      <c r="DB99" s="91"/>
      <c r="DC99" s="90"/>
      <c r="DD99" s="91"/>
      <c r="DE99" s="91"/>
      <c r="DF99" s="91"/>
      <c r="DG99" s="91"/>
      <c r="DH99" s="91"/>
      <c r="DI99" s="91"/>
      <c r="DJ99" s="90"/>
      <c r="DK99" s="91"/>
      <c r="DL99" s="75"/>
      <c r="DM99" s="75"/>
      <c r="DN99" s="75">
        <f t="shared" si="194"/>
        <v>0</v>
      </c>
      <c r="DO99" s="75" t="str">
        <f t="shared" si="196"/>
        <v/>
      </c>
      <c r="DP99" s="91" t="str">
        <f>IFERROR(#REF!/#REF!*1000,"")</f>
        <v/>
      </c>
      <c r="DQ99" s="91" t="str">
        <f>IFERROR(#REF!/#REF!*1000,"")</f>
        <v/>
      </c>
      <c r="DR99" s="90"/>
      <c r="DS99" s="91" t="str">
        <f>IFERROR(#REF!/#REF!*1000,"")</f>
        <v/>
      </c>
      <c r="DT99" s="91" t="str">
        <f>IFERROR(#REF!/#REF!*1000,"")</f>
        <v/>
      </c>
      <c r="DU99" s="91"/>
      <c r="DV99" s="91"/>
      <c r="DW99" s="91"/>
      <c r="DX99" s="91"/>
      <c r="DY99" s="90"/>
      <c r="DZ99" s="91"/>
      <c r="EA99" s="75"/>
      <c r="EB99" s="91"/>
      <c r="EC99" s="91"/>
      <c r="ED99" s="90"/>
      <c r="EE99" s="91"/>
      <c r="EF99" s="91"/>
      <c r="EG99" s="91"/>
      <c r="EH99" s="91"/>
      <c r="EI99" s="91"/>
      <c r="EJ99" s="91"/>
      <c r="EK99" s="90"/>
      <c r="EL99" s="90"/>
      <c r="EM99" s="88"/>
      <c r="EN99" s="92"/>
      <c r="EO99" s="92"/>
      <c r="EP99" s="92"/>
      <c r="EQ99" s="92"/>
      <c r="ER99" s="92"/>
      <c r="ES99" s="92"/>
      <c r="ET99" s="92"/>
      <c r="EU99" s="92"/>
      <c r="EV99" s="92"/>
      <c r="EW99" s="92"/>
      <c r="EX99" s="92"/>
      <c r="EY99" s="92"/>
      <c r="EZ99" s="92"/>
      <c r="FA99" s="92"/>
      <c r="FB99" s="92"/>
      <c r="FC99" s="92"/>
      <c r="FD99" s="92"/>
      <c r="FE99" s="92"/>
      <c r="FF99" s="92"/>
      <c r="FG99" s="92"/>
      <c r="FH99" s="92"/>
      <c r="FI99" s="92"/>
      <c r="FJ99" s="92"/>
      <c r="FK99" s="92"/>
      <c r="FL99" s="92"/>
      <c r="FM99" s="92"/>
      <c r="FN99" s="92"/>
      <c r="FO99" s="92"/>
      <c r="FP99" s="92"/>
      <c r="FQ99" s="92"/>
      <c r="FR99" s="92"/>
      <c r="FS99" s="92"/>
      <c r="FT99" s="92"/>
      <c r="FU99" s="92"/>
      <c r="FV99" s="92"/>
      <c r="FW99" s="92"/>
      <c r="FX99" s="92"/>
      <c r="FY99" s="92"/>
      <c r="FZ99" s="92"/>
      <c r="GA99" s="92"/>
      <c r="GB99" s="92"/>
      <c r="GC99" s="92"/>
      <c r="GD99" s="92"/>
      <c r="GE99" s="92"/>
      <c r="GF99" s="92"/>
      <c r="GG99" s="92"/>
      <c r="GH99" s="92"/>
      <c r="GI99" s="92"/>
      <c r="GJ99" s="92"/>
      <c r="GK99" s="92"/>
      <c r="GL99" s="92"/>
      <c r="GM99" s="92"/>
      <c r="GN99" s="92"/>
      <c r="GO99" s="92"/>
      <c r="GP99" s="92"/>
      <c r="GQ99" s="92"/>
      <c r="GR99" s="92"/>
      <c r="GS99" s="92"/>
      <c r="GT99" s="92"/>
      <c r="GU99" s="92"/>
      <c r="GV99" s="92"/>
      <c r="GW99" s="92"/>
      <c r="GX99" s="92"/>
      <c r="GY99" s="92"/>
      <c r="GZ99" s="92"/>
      <c r="HA99" s="92"/>
      <c r="HB99" s="92"/>
      <c r="HC99" s="92"/>
      <c r="HD99" s="92"/>
      <c r="HE99" s="92"/>
      <c r="HF99" s="92"/>
      <c r="HG99" s="92"/>
      <c r="HH99" s="92"/>
      <c r="HI99" s="92"/>
      <c r="HJ99" s="92"/>
      <c r="HK99" s="92"/>
      <c r="HL99" s="92"/>
      <c r="HM99" s="92"/>
      <c r="HN99" s="92"/>
      <c r="HO99" s="92"/>
      <c r="HP99" s="92"/>
      <c r="HQ99" s="92"/>
      <c r="HR99" s="92"/>
      <c r="HS99" s="92"/>
      <c r="HT99" s="92"/>
      <c r="HU99" s="92"/>
      <c r="HV99" s="92"/>
      <c r="HW99" s="92"/>
      <c r="HX99" s="92"/>
      <c r="HY99" s="92"/>
      <c r="HZ99" s="92"/>
      <c r="IA99" s="92"/>
      <c r="IB99" s="92"/>
      <c r="IC99" s="92"/>
      <c r="ID99" s="92"/>
      <c r="IE99" s="92"/>
      <c r="IF99" s="92"/>
      <c r="IG99" s="92"/>
      <c r="IH99" s="92"/>
      <c r="II99" s="92"/>
      <c r="IJ99" s="92"/>
      <c r="IK99" s="92"/>
      <c r="IL99" s="92"/>
      <c r="IM99" s="92"/>
      <c r="IN99" s="92"/>
      <c r="IO99" s="92"/>
      <c r="IP99" s="92"/>
      <c r="IQ99" s="92"/>
      <c r="IR99" s="92"/>
      <c r="IS99" s="92"/>
      <c r="IT99" s="92"/>
      <c r="IU99" s="92"/>
      <c r="IV99" s="92"/>
      <c r="IW99" s="92"/>
      <c r="IX99" s="92"/>
      <c r="IY99" s="92"/>
      <c r="IZ99" s="92"/>
      <c r="JA99" s="92"/>
      <c r="JB99" s="92"/>
      <c r="JC99" s="92"/>
      <c r="JD99" s="92"/>
      <c r="JE99" s="92"/>
      <c r="JF99" s="92"/>
      <c r="JG99" s="92"/>
      <c r="JH99" s="92"/>
      <c r="JI99" s="92"/>
      <c r="JJ99" s="92"/>
      <c r="JK99" s="92"/>
      <c r="JL99" s="92"/>
      <c r="JM99" s="92"/>
      <c r="JN99" s="92"/>
      <c r="JO99" s="92"/>
      <c r="JP99" s="92"/>
      <c r="JQ99" s="92"/>
      <c r="JR99" s="92"/>
      <c r="JS99" s="92"/>
      <c r="JT99" s="92"/>
      <c r="JU99" s="92"/>
      <c r="JV99" s="92"/>
      <c r="JW99" s="92"/>
      <c r="JX99" s="92"/>
      <c r="JY99" s="92"/>
      <c r="JZ99" s="92"/>
      <c r="KA99" s="92"/>
      <c r="KB99" s="92"/>
      <c r="KC99" s="92"/>
      <c r="KD99" s="92"/>
      <c r="KE99" s="92"/>
      <c r="KF99" s="92"/>
      <c r="KG99" s="92"/>
      <c r="KH99" s="92"/>
      <c r="KI99" s="92"/>
      <c r="KJ99" s="92"/>
      <c r="KK99" s="92"/>
      <c r="KL99" s="92"/>
      <c r="KM99" s="92"/>
      <c r="KN99" s="92"/>
      <c r="KO99" s="92"/>
      <c r="KP99" s="92"/>
      <c r="KQ99" s="88"/>
      <c r="KR99" s="92"/>
      <c r="KS99" s="92"/>
      <c r="KT99" s="92"/>
      <c r="KU99" s="93"/>
      <c r="KV99" s="92"/>
      <c r="KW99" s="93"/>
      <c r="KX99" s="92"/>
      <c r="KY99" s="93"/>
      <c r="KZ99" s="92"/>
      <c r="LA99" s="93"/>
      <c r="LB99" s="92"/>
      <c r="LC99" s="93"/>
      <c r="LD99" s="92"/>
      <c r="LE99" s="93"/>
      <c r="LF99" s="92"/>
      <c r="LG99" s="92"/>
      <c r="LH99" s="92"/>
      <c r="LI99" s="92"/>
      <c r="LJ99" s="92"/>
      <c r="LK99" s="92"/>
      <c r="LL99" s="92"/>
      <c r="LM99" s="92"/>
      <c r="LN99" s="92"/>
      <c r="LO99" s="92"/>
      <c r="LP99" s="88"/>
      <c r="LQ99" s="93"/>
      <c r="LR99" s="88"/>
      <c r="LS99" s="93"/>
      <c r="LT99" s="93"/>
      <c r="LU99" s="93"/>
      <c r="LV99" s="93"/>
      <c r="LW99" s="93"/>
      <c r="LX99" s="93"/>
      <c r="LY99" s="93"/>
      <c r="LZ99" s="93"/>
      <c r="MA99" s="93"/>
      <c r="MB99" s="93"/>
      <c r="MC99" s="94"/>
      <c r="MD99" s="94"/>
      <c r="ME99" s="94"/>
      <c r="MF99" s="94"/>
      <c r="MG99" s="94"/>
      <c r="MH99" s="94"/>
      <c r="MI99" s="94"/>
      <c r="MJ99" s="94"/>
      <c r="MK99" s="94"/>
      <c r="ML99" s="94"/>
      <c r="MM99" s="94"/>
      <c r="MN99" s="94"/>
      <c r="MO99" s="95"/>
      <c r="MP99" s="95"/>
      <c r="MQ99" s="94"/>
      <c r="MR99" s="94"/>
      <c r="MS99" s="94"/>
      <c r="MT99" s="94"/>
      <c r="MU99" s="94"/>
      <c r="MV99" s="94"/>
      <c r="MW99" s="94"/>
      <c r="MX99" s="94"/>
      <c r="MY99" s="94"/>
      <c r="MZ99" s="94"/>
      <c r="NA99" s="94"/>
      <c r="NB99" s="94"/>
      <c r="NC99" s="94"/>
      <c r="ND99" s="94"/>
      <c r="NE99" s="94"/>
      <c r="NF99" s="94"/>
      <c r="NG99" s="94"/>
      <c r="NH99" s="94"/>
      <c r="NI99" s="94"/>
      <c r="NJ99" s="94"/>
    </row>
    <row r="100" spans="1:374" x14ac:dyDescent="0.25">
      <c r="A100" s="88"/>
      <c r="B100" s="88"/>
      <c r="C100" s="88"/>
      <c r="D100" s="88"/>
      <c r="E100" s="89"/>
      <c r="F100" s="88"/>
      <c r="G100" s="88"/>
      <c r="H100" s="88" t="str">
        <f t="shared" si="195"/>
        <v xml:space="preserve">  </v>
      </c>
      <c r="I100" s="88"/>
      <c r="J100" s="88"/>
      <c r="K100" s="88"/>
      <c r="L100" s="88"/>
      <c r="M100" s="88"/>
      <c r="N100" s="88"/>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1"/>
      <c r="AR100" s="75"/>
      <c r="AS100" s="91"/>
      <c r="AT100" s="91"/>
      <c r="AU100" s="90"/>
      <c r="AV100" s="91"/>
      <c r="AW100" s="91"/>
      <c r="AX100" s="91"/>
      <c r="AY100" s="91"/>
      <c r="AZ100" s="91"/>
      <c r="BA100" s="91"/>
      <c r="BB100" s="90"/>
      <c r="BC100" s="91"/>
      <c r="BD100" s="75"/>
      <c r="BE100" s="91"/>
      <c r="BF100" s="91"/>
      <c r="BG100" s="90"/>
      <c r="BH100" s="91"/>
      <c r="BI100" s="91"/>
      <c r="BJ100" s="91"/>
      <c r="BK100" s="91"/>
      <c r="BL100" s="91"/>
      <c r="BM100" s="91"/>
      <c r="BN100" s="90"/>
      <c r="BO100" s="91"/>
      <c r="BP100" s="75"/>
      <c r="BQ100" s="91"/>
      <c r="BR100" s="91"/>
      <c r="BS100" s="90"/>
      <c r="BT100" s="91"/>
      <c r="BU100" s="91"/>
      <c r="BV100" s="91"/>
      <c r="BW100" s="91"/>
      <c r="BX100" s="91"/>
      <c r="BY100" s="91"/>
      <c r="BZ100" s="90"/>
      <c r="CA100" s="91"/>
      <c r="CB100" s="75"/>
      <c r="CC100" s="91"/>
      <c r="CD100" s="91"/>
      <c r="CE100" s="90"/>
      <c r="CF100" s="91"/>
      <c r="CG100" s="91"/>
      <c r="CH100" s="91"/>
      <c r="CI100" s="91"/>
      <c r="CJ100" s="91"/>
      <c r="CK100" s="91"/>
      <c r="CL100" s="90"/>
      <c r="CM100" s="91"/>
      <c r="CN100" s="75"/>
      <c r="CO100" s="91"/>
      <c r="CP100" s="91"/>
      <c r="CQ100" s="90"/>
      <c r="CR100" s="91"/>
      <c r="CS100" s="91"/>
      <c r="CT100" s="91"/>
      <c r="CU100" s="91"/>
      <c r="CV100" s="91"/>
      <c r="CW100" s="91"/>
      <c r="CX100" s="90"/>
      <c r="CY100" s="91"/>
      <c r="CZ100" s="75"/>
      <c r="DA100" s="91"/>
      <c r="DB100" s="91"/>
      <c r="DC100" s="90"/>
      <c r="DD100" s="91"/>
      <c r="DE100" s="91"/>
      <c r="DF100" s="91"/>
      <c r="DG100" s="91"/>
      <c r="DH100" s="91"/>
      <c r="DI100" s="91"/>
      <c r="DJ100" s="90"/>
      <c r="DK100" s="91"/>
      <c r="DL100" s="75"/>
      <c r="DM100" s="75"/>
      <c r="DN100" s="75">
        <f t="shared" si="194"/>
        <v>0</v>
      </c>
      <c r="DO100" s="75" t="str">
        <f t="shared" si="196"/>
        <v/>
      </c>
      <c r="DP100" s="91" t="str">
        <f>IFERROR(#REF!/#REF!*1000,"")</f>
        <v/>
      </c>
      <c r="DQ100" s="91" t="str">
        <f>IFERROR(#REF!/#REF!*1000,"")</f>
        <v/>
      </c>
      <c r="DR100" s="90"/>
      <c r="DS100" s="91" t="str">
        <f>IFERROR(#REF!/#REF!*1000,"")</f>
        <v/>
      </c>
      <c r="DT100" s="91" t="str">
        <f>IFERROR(#REF!/#REF!*1000,"")</f>
        <v/>
      </c>
      <c r="DU100" s="91"/>
      <c r="DV100" s="91"/>
      <c r="DW100" s="91"/>
      <c r="DX100" s="91"/>
      <c r="DY100" s="90"/>
      <c r="DZ100" s="91"/>
      <c r="EA100" s="75"/>
      <c r="EB100" s="91"/>
      <c r="EC100" s="91"/>
      <c r="ED100" s="90"/>
      <c r="EE100" s="91"/>
      <c r="EF100" s="91"/>
      <c r="EG100" s="91"/>
      <c r="EH100" s="91"/>
      <c r="EI100" s="91"/>
      <c r="EJ100" s="91"/>
      <c r="EK100" s="90"/>
      <c r="EL100" s="90"/>
      <c r="EM100" s="88"/>
      <c r="EN100" s="92"/>
      <c r="EO100" s="92"/>
      <c r="EP100" s="92"/>
      <c r="EQ100" s="92"/>
      <c r="ER100" s="92"/>
      <c r="ES100" s="92"/>
      <c r="ET100" s="92"/>
      <c r="EU100" s="92"/>
      <c r="EV100" s="92"/>
      <c r="EW100" s="92"/>
      <c r="EX100" s="92"/>
      <c r="EY100" s="92"/>
      <c r="EZ100" s="92"/>
      <c r="FA100" s="92"/>
      <c r="FB100" s="92"/>
      <c r="FC100" s="92"/>
      <c r="FD100" s="92"/>
      <c r="FE100" s="92"/>
      <c r="FF100" s="92"/>
      <c r="FG100" s="92"/>
      <c r="FH100" s="92"/>
      <c r="FI100" s="92"/>
      <c r="FJ100" s="92"/>
      <c r="FK100" s="92"/>
      <c r="FL100" s="92"/>
      <c r="FM100" s="92"/>
      <c r="FN100" s="92"/>
      <c r="FO100" s="92"/>
      <c r="FP100" s="92"/>
      <c r="FQ100" s="92"/>
      <c r="FR100" s="92"/>
      <c r="FS100" s="92"/>
      <c r="FT100" s="92"/>
      <c r="FU100" s="92"/>
      <c r="FV100" s="92"/>
      <c r="FW100" s="92"/>
      <c r="FX100" s="92"/>
      <c r="FY100" s="92"/>
      <c r="FZ100" s="92"/>
      <c r="GA100" s="92"/>
      <c r="GB100" s="92"/>
      <c r="GC100" s="92"/>
      <c r="GD100" s="92"/>
      <c r="GE100" s="92"/>
      <c r="GF100" s="92"/>
      <c r="GG100" s="92"/>
      <c r="GH100" s="92"/>
      <c r="GI100" s="92"/>
      <c r="GJ100" s="92"/>
      <c r="GK100" s="92"/>
      <c r="GL100" s="92"/>
      <c r="GM100" s="92"/>
      <c r="GN100" s="92"/>
      <c r="GO100" s="92"/>
      <c r="GP100" s="92"/>
      <c r="GQ100" s="92"/>
      <c r="GR100" s="92"/>
      <c r="GS100" s="92"/>
      <c r="GT100" s="92"/>
      <c r="GU100" s="92"/>
      <c r="GV100" s="92"/>
      <c r="GW100" s="92"/>
      <c r="GX100" s="92"/>
      <c r="GY100" s="92"/>
      <c r="GZ100" s="92"/>
      <c r="HA100" s="92"/>
      <c r="HB100" s="92"/>
      <c r="HC100" s="92"/>
      <c r="HD100" s="92"/>
      <c r="HE100" s="92"/>
      <c r="HF100" s="92"/>
      <c r="HG100" s="92"/>
      <c r="HH100" s="92"/>
      <c r="HI100" s="92"/>
      <c r="HJ100" s="92"/>
      <c r="HK100" s="92"/>
      <c r="HL100" s="92"/>
      <c r="HM100" s="92"/>
      <c r="HN100" s="92"/>
      <c r="HO100" s="92"/>
      <c r="HP100" s="92"/>
      <c r="HQ100" s="92"/>
      <c r="HR100" s="92"/>
      <c r="HS100" s="92"/>
      <c r="HT100" s="92"/>
      <c r="HU100" s="92"/>
      <c r="HV100" s="92"/>
      <c r="HW100" s="92"/>
      <c r="HX100" s="92"/>
      <c r="HY100" s="92"/>
      <c r="HZ100" s="92"/>
      <c r="IA100" s="92"/>
      <c r="IB100" s="92"/>
      <c r="IC100" s="92"/>
      <c r="ID100" s="92"/>
      <c r="IE100" s="92"/>
      <c r="IF100" s="92"/>
      <c r="IG100" s="92"/>
      <c r="IH100" s="92"/>
      <c r="II100" s="92"/>
      <c r="IJ100" s="92"/>
      <c r="IK100" s="92"/>
      <c r="IL100" s="92"/>
      <c r="IM100" s="92"/>
      <c r="IN100" s="92"/>
      <c r="IO100" s="92"/>
      <c r="IP100" s="92"/>
      <c r="IQ100" s="92"/>
      <c r="IR100" s="92"/>
      <c r="IS100" s="92"/>
      <c r="IT100" s="92"/>
      <c r="IU100" s="92"/>
      <c r="IV100" s="92"/>
      <c r="IW100" s="92"/>
      <c r="IX100" s="92"/>
      <c r="IY100" s="92"/>
      <c r="IZ100" s="92"/>
      <c r="JA100" s="92"/>
      <c r="JB100" s="92"/>
      <c r="JC100" s="92"/>
      <c r="JD100" s="92"/>
      <c r="JE100" s="92"/>
      <c r="JF100" s="92"/>
      <c r="JG100" s="92"/>
      <c r="JH100" s="92"/>
      <c r="JI100" s="92"/>
      <c r="JJ100" s="92"/>
      <c r="JK100" s="92"/>
      <c r="JL100" s="92"/>
      <c r="JM100" s="92"/>
      <c r="JN100" s="92"/>
      <c r="JO100" s="92"/>
      <c r="JP100" s="92"/>
      <c r="JQ100" s="92"/>
      <c r="JR100" s="92"/>
      <c r="JS100" s="92"/>
      <c r="JT100" s="92"/>
      <c r="JU100" s="92"/>
      <c r="JV100" s="92"/>
      <c r="JW100" s="92"/>
      <c r="JX100" s="92"/>
      <c r="JY100" s="92"/>
      <c r="JZ100" s="92"/>
      <c r="KA100" s="92"/>
      <c r="KB100" s="92"/>
      <c r="KC100" s="92"/>
      <c r="KD100" s="92"/>
      <c r="KE100" s="92"/>
      <c r="KF100" s="92"/>
      <c r="KG100" s="92"/>
      <c r="KH100" s="92"/>
      <c r="KI100" s="92"/>
      <c r="KJ100" s="92"/>
      <c r="KK100" s="92"/>
      <c r="KL100" s="92"/>
      <c r="KM100" s="92"/>
      <c r="KN100" s="92"/>
      <c r="KO100" s="92"/>
      <c r="KP100" s="92"/>
      <c r="KQ100" s="88"/>
      <c r="KR100" s="92"/>
      <c r="KS100" s="92"/>
      <c r="KT100" s="92"/>
      <c r="KU100" s="93"/>
      <c r="KV100" s="92"/>
      <c r="KW100" s="93"/>
      <c r="KX100" s="92"/>
      <c r="KY100" s="93"/>
      <c r="KZ100" s="92"/>
      <c r="LA100" s="93"/>
      <c r="LB100" s="92"/>
      <c r="LC100" s="93"/>
      <c r="LD100" s="92"/>
      <c r="LE100" s="93"/>
      <c r="LF100" s="92"/>
      <c r="LG100" s="92"/>
      <c r="LH100" s="92"/>
      <c r="LI100" s="92"/>
      <c r="LJ100" s="92"/>
      <c r="LK100" s="92"/>
      <c r="LL100" s="92"/>
      <c r="LM100" s="92"/>
      <c r="LN100" s="92"/>
      <c r="LO100" s="92"/>
      <c r="LP100" s="88"/>
      <c r="LQ100" s="93"/>
      <c r="LR100" s="88"/>
      <c r="LS100" s="93"/>
      <c r="LT100" s="93"/>
      <c r="LU100" s="93"/>
      <c r="LV100" s="93"/>
      <c r="LW100" s="93"/>
      <c r="LX100" s="93"/>
      <c r="LY100" s="93"/>
      <c r="LZ100" s="93"/>
      <c r="MA100" s="93"/>
      <c r="MB100" s="93"/>
      <c r="MC100" s="94"/>
      <c r="MD100" s="94"/>
      <c r="ME100" s="94"/>
      <c r="MF100" s="94"/>
      <c r="MG100" s="94"/>
      <c r="MH100" s="94"/>
      <c r="MI100" s="94"/>
      <c r="MJ100" s="94"/>
      <c r="MK100" s="94"/>
      <c r="ML100" s="94"/>
      <c r="MM100" s="94"/>
      <c r="MN100" s="94"/>
      <c r="MO100" s="95"/>
      <c r="MP100" s="95"/>
      <c r="MQ100" s="94"/>
      <c r="MR100" s="94"/>
      <c r="MS100" s="94"/>
      <c r="MT100" s="94"/>
      <c r="MU100" s="94"/>
      <c r="MV100" s="94"/>
      <c r="MW100" s="94"/>
      <c r="MX100" s="94"/>
      <c r="MY100" s="94"/>
      <c r="MZ100" s="94"/>
      <c r="NA100" s="94"/>
      <c r="NB100" s="94"/>
      <c r="NC100" s="94"/>
      <c r="ND100" s="94"/>
      <c r="NE100" s="94"/>
      <c r="NF100" s="94"/>
      <c r="NG100" s="94"/>
      <c r="NH100" s="94"/>
      <c r="NI100" s="94"/>
      <c r="NJ100" s="94"/>
    </row>
    <row r="101" spans="1:374" x14ac:dyDescent="0.25">
      <c r="A101" s="88"/>
      <c r="B101" s="88"/>
      <c r="C101" s="88"/>
      <c r="D101" s="88"/>
      <c r="E101" s="89"/>
      <c r="F101" s="88"/>
      <c r="G101" s="88"/>
      <c r="H101" s="88" t="str">
        <f t="shared" si="195"/>
        <v xml:space="preserve">  </v>
      </c>
      <c r="I101" s="88"/>
      <c r="J101" s="88"/>
      <c r="K101" s="88"/>
      <c r="L101" s="88"/>
      <c r="M101" s="88"/>
      <c r="N101" s="88"/>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1"/>
      <c r="AR101" s="75"/>
      <c r="AS101" s="91"/>
      <c r="AT101" s="91"/>
      <c r="AU101" s="90"/>
      <c r="AV101" s="91"/>
      <c r="AW101" s="91"/>
      <c r="AX101" s="91"/>
      <c r="AY101" s="91"/>
      <c r="AZ101" s="91"/>
      <c r="BA101" s="91"/>
      <c r="BB101" s="90"/>
      <c r="BC101" s="91"/>
      <c r="BD101" s="75"/>
      <c r="BE101" s="91"/>
      <c r="BF101" s="91"/>
      <c r="BG101" s="90"/>
      <c r="BH101" s="91"/>
      <c r="BI101" s="91"/>
      <c r="BJ101" s="91"/>
      <c r="BK101" s="91"/>
      <c r="BL101" s="91"/>
      <c r="BM101" s="91"/>
      <c r="BN101" s="90"/>
      <c r="BO101" s="91"/>
      <c r="BP101" s="75"/>
      <c r="BQ101" s="91"/>
      <c r="BR101" s="91"/>
      <c r="BS101" s="90"/>
      <c r="BT101" s="91"/>
      <c r="BU101" s="91"/>
      <c r="BV101" s="91"/>
      <c r="BW101" s="91"/>
      <c r="BX101" s="91"/>
      <c r="BY101" s="91"/>
      <c r="BZ101" s="90"/>
      <c r="CA101" s="91"/>
      <c r="CB101" s="75"/>
      <c r="CC101" s="91"/>
      <c r="CD101" s="91"/>
      <c r="CE101" s="90"/>
      <c r="CF101" s="91"/>
      <c r="CG101" s="91"/>
      <c r="CH101" s="91"/>
      <c r="CI101" s="91"/>
      <c r="CJ101" s="91"/>
      <c r="CK101" s="91"/>
      <c r="CL101" s="90"/>
      <c r="CM101" s="91"/>
      <c r="CN101" s="75"/>
      <c r="CO101" s="91"/>
      <c r="CP101" s="91"/>
      <c r="CQ101" s="90"/>
      <c r="CR101" s="91"/>
      <c r="CS101" s="91"/>
      <c r="CT101" s="91"/>
      <c r="CU101" s="91"/>
      <c r="CV101" s="91"/>
      <c r="CW101" s="91"/>
      <c r="CX101" s="90"/>
      <c r="CY101" s="91"/>
      <c r="CZ101" s="75"/>
      <c r="DA101" s="91"/>
      <c r="DB101" s="91"/>
      <c r="DC101" s="90"/>
      <c r="DD101" s="91"/>
      <c r="DE101" s="91"/>
      <c r="DF101" s="91"/>
      <c r="DG101" s="91"/>
      <c r="DH101" s="91"/>
      <c r="DI101" s="91"/>
      <c r="DJ101" s="90"/>
      <c r="DK101" s="91"/>
      <c r="DL101" s="75"/>
      <c r="DM101" s="75"/>
      <c r="DN101" s="75">
        <f t="shared" si="194"/>
        <v>0</v>
      </c>
      <c r="DO101" s="75" t="str">
        <f t="shared" si="196"/>
        <v/>
      </c>
      <c r="DP101" s="91" t="str">
        <f>IFERROR(#REF!/#REF!*1000,"")</f>
        <v/>
      </c>
      <c r="DQ101" s="91" t="str">
        <f>IFERROR(#REF!/#REF!*1000,"")</f>
        <v/>
      </c>
      <c r="DR101" s="90"/>
      <c r="DS101" s="91" t="str">
        <f>IFERROR(#REF!/#REF!*1000,"")</f>
        <v/>
      </c>
      <c r="DT101" s="91" t="str">
        <f>IFERROR(#REF!/#REF!*1000,"")</f>
        <v/>
      </c>
      <c r="DU101" s="91"/>
      <c r="DV101" s="91"/>
      <c r="DW101" s="91"/>
      <c r="DX101" s="91"/>
      <c r="DY101" s="90"/>
      <c r="DZ101" s="91"/>
      <c r="EA101" s="75"/>
      <c r="EB101" s="91"/>
      <c r="EC101" s="91"/>
      <c r="ED101" s="90"/>
      <c r="EE101" s="91"/>
      <c r="EF101" s="91"/>
      <c r="EG101" s="91"/>
      <c r="EH101" s="91"/>
      <c r="EI101" s="91"/>
      <c r="EJ101" s="91"/>
      <c r="EK101" s="90"/>
      <c r="EL101" s="90"/>
      <c r="EM101" s="88"/>
      <c r="EN101" s="92"/>
      <c r="EO101" s="92"/>
      <c r="EP101" s="92"/>
      <c r="EQ101" s="92"/>
      <c r="ER101" s="92"/>
      <c r="ES101" s="92"/>
      <c r="ET101" s="92"/>
      <c r="EU101" s="92"/>
      <c r="EV101" s="92"/>
      <c r="EW101" s="92"/>
      <c r="EX101" s="92"/>
      <c r="EY101" s="92"/>
      <c r="EZ101" s="92"/>
      <c r="FA101" s="92"/>
      <c r="FB101" s="92"/>
      <c r="FC101" s="92"/>
      <c r="FD101" s="92"/>
      <c r="FE101" s="92"/>
      <c r="FF101" s="92"/>
      <c r="FG101" s="92"/>
      <c r="FH101" s="92"/>
      <c r="FI101" s="92"/>
      <c r="FJ101" s="92"/>
      <c r="FK101" s="92"/>
      <c r="FL101" s="92"/>
      <c r="FM101" s="92"/>
      <c r="FN101" s="92"/>
      <c r="FO101" s="92"/>
      <c r="FP101" s="92"/>
      <c r="FQ101" s="92"/>
      <c r="FR101" s="92"/>
      <c r="FS101" s="92"/>
      <c r="FT101" s="92"/>
      <c r="FU101" s="92"/>
      <c r="FV101" s="92"/>
      <c r="FW101" s="92"/>
      <c r="FX101" s="92"/>
      <c r="FY101" s="92"/>
      <c r="FZ101" s="92"/>
      <c r="GA101" s="92"/>
      <c r="GB101" s="92"/>
      <c r="GC101" s="92"/>
      <c r="GD101" s="92"/>
      <c r="GE101" s="92"/>
      <c r="GF101" s="92"/>
      <c r="GG101" s="92"/>
      <c r="GH101" s="92"/>
      <c r="GI101" s="92"/>
      <c r="GJ101" s="92"/>
      <c r="GK101" s="92"/>
      <c r="GL101" s="92"/>
      <c r="GM101" s="92"/>
      <c r="GN101" s="92"/>
      <c r="GO101" s="92"/>
      <c r="GP101" s="92"/>
      <c r="GQ101" s="92"/>
      <c r="GR101" s="92"/>
      <c r="GS101" s="92"/>
      <c r="GT101" s="92"/>
      <c r="GU101" s="92"/>
      <c r="GV101" s="92"/>
      <c r="GW101" s="92"/>
      <c r="GX101" s="92"/>
      <c r="GY101" s="92"/>
      <c r="GZ101" s="92"/>
      <c r="HA101" s="92"/>
      <c r="HB101" s="92"/>
      <c r="HC101" s="92"/>
      <c r="HD101" s="92"/>
      <c r="HE101" s="92"/>
      <c r="HF101" s="92"/>
      <c r="HG101" s="92"/>
      <c r="HH101" s="92"/>
      <c r="HI101" s="92"/>
      <c r="HJ101" s="92"/>
      <c r="HK101" s="92"/>
      <c r="HL101" s="92"/>
      <c r="HM101" s="92"/>
      <c r="HN101" s="92"/>
      <c r="HO101" s="92"/>
      <c r="HP101" s="92"/>
      <c r="HQ101" s="92"/>
      <c r="HR101" s="92"/>
      <c r="HS101" s="92"/>
      <c r="HT101" s="92"/>
      <c r="HU101" s="92"/>
      <c r="HV101" s="92"/>
      <c r="HW101" s="92"/>
      <c r="HX101" s="92"/>
      <c r="HY101" s="92"/>
      <c r="HZ101" s="92"/>
      <c r="IA101" s="92"/>
      <c r="IB101" s="92"/>
      <c r="IC101" s="92"/>
      <c r="ID101" s="92"/>
      <c r="IE101" s="92"/>
      <c r="IF101" s="92"/>
      <c r="IG101" s="92"/>
      <c r="IH101" s="92"/>
      <c r="II101" s="92"/>
      <c r="IJ101" s="92"/>
      <c r="IK101" s="92"/>
      <c r="IL101" s="92"/>
      <c r="IM101" s="92"/>
      <c r="IN101" s="92"/>
      <c r="IO101" s="92"/>
      <c r="IP101" s="92"/>
      <c r="IQ101" s="92"/>
      <c r="IR101" s="92"/>
      <c r="IS101" s="92"/>
      <c r="IT101" s="92"/>
      <c r="IU101" s="92"/>
      <c r="IV101" s="92"/>
      <c r="IW101" s="92"/>
      <c r="IX101" s="92"/>
      <c r="IY101" s="92"/>
      <c r="IZ101" s="92"/>
      <c r="JA101" s="92"/>
      <c r="JB101" s="92"/>
      <c r="JC101" s="92"/>
      <c r="JD101" s="92"/>
      <c r="JE101" s="92"/>
      <c r="JF101" s="92"/>
      <c r="JG101" s="92"/>
      <c r="JH101" s="92"/>
      <c r="JI101" s="92"/>
      <c r="JJ101" s="92"/>
      <c r="JK101" s="92"/>
      <c r="JL101" s="92"/>
      <c r="JM101" s="92"/>
      <c r="JN101" s="92"/>
      <c r="JO101" s="92"/>
      <c r="JP101" s="92"/>
      <c r="JQ101" s="92"/>
      <c r="JR101" s="92"/>
      <c r="JS101" s="92"/>
      <c r="JT101" s="92"/>
      <c r="JU101" s="92"/>
      <c r="JV101" s="92"/>
      <c r="JW101" s="92"/>
      <c r="JX101" s="92"/>
      <c r="JY101" s="92"/>
      <c r="JZ101" s="92"/>
      <c r="KA101" s="92"/>
      <c r="KB101" s="92"/>
      <c r="KC101" s="92"/>
      <c r="KD101" s="92"/>
      <c r="KE101" s="92"/>
      <c r="KF101" s="92"/>
      <c r="KG101" s="92"/>
      <c r="KH101" s="92"/>
      <c r="KI101" s="92"/>
      <c r="KJ101" s="92"/>
      <c r="KK101" s="92"/>
      <c r="KL101" s="92"/>
      <c r="KM101" s="92"/>
      <c r="KN101" s="92"/>
      <c r="KO101" s="92"/>
      <c r="KP101" s="92"/>
      <c r="KQ101" s="88"/>
      <c r="KR101" s="92"/>
      <c r="KS101" s="92"/>
      <c r="KT101" s="92"/>
      <c r="KU101" s="93"/>
      <c r="KV101" s="92"/>
      <c r="KW101" s="93"/>
      <c r="KX101" s="92"/>
      <c r="KY101" s="93"/>
      <c r="KZ101" s="92"/>
      <c r="LA101" s="93"/>
      <c r="LB101" s="92"/>
      <c r="LC101" s="93"/>
      <c r="LD101" s="92"/>
      <c r="LE101" s="93"/>
      <c r="LF101" s="92"/>
      <c r="LG101" s="92"/>
      <c r="LH101" s="92"/>
      <c r="LI101" s="92"/>
      <c r="LJ101" s="92"/>
      <c r="LK101" s="92"/>
      <c r="LL101" s="92"/>
      <c r="LM101" s="92"/>
      <c r="LN101" s="92"/>
      <c r="LO101" s="92"/>
      <c r="LP101" s="88"/>
      <c r="LQ101" s="93"/>
      <c r="LR101" s="88"/>
      <c r="LS101" s="93"/>
      <c r="LT101" s="93"/>
      <c r="LU101" s="93"/>
      <c r="LV101" s="93"/>
      <c r="LW101" s="93"/>
      <c r="LX101" s="93"/>
      <c r="LY101" s="93"/>
      <c r="LZ101" s="93"/>
      <c r="MA101" s="93"/>
      <c r="MB101" s="93"/>
      <c r="MC101" s="94"/>
      <c r="MD101" s="94"/>
      <c r="ME101" s="94"/>
      <c r="MF101" s="94"/>
      <c r="MG101" s="94"/>
      <c r="MH101" s="94"/>
      <c r="MI101" s="94"/>
      <c r="MJ101" s="94"/>
      <c r="MK101" s="94"/>
      <c r="ML101" s="94"/>
      <c r="MM101" s="94"/>
      <c r="MN101" s="94"/>
      <c r="MO101" s="95"/>
      <c r="MP101" s="95"/>
      <c r="MQ101" s="94"/>
      <c r="MR101" s="94"/>
      <c r="MS101" s="94"/>
      <c r="MT101" s="94"/>
      <c r="MU101" s="94"/>
      <c r="MV101" s="94"/>
      <c r="MW101" s="94"/>
      <c r="MX101" s="94"/>
      <c r="MY101" s="94"/>
      <c r="MZ101" s="94"/>
      <c r="NA101" s="94"/>
      <c r="NB101" s="94"/>
      <c r="NC101" s="94"/>
      <c r="ND101" s="94"/>
      <c r="NE101" s="94"/>
      <c r="NF101" s="94"/>
      <c r="NG101" s="94"/>
      <c r="NH101" s="94"/>
      <c r="NI101" s="94"/>
      <c r="NJ101" s="94"/>
    </row>
    <row r="102" spans="1:374" x14ac:dyDescent="0.25">
      <c r="A102" s="88"/>
      <c r="B102" s="88"/>
      <c r="C102" s="88"/>
      <c r="D102" s="88"/>
      <c r="E102" s="89"/>
      <c r="F102" s="88"/>
      <c r="G102" s="88"/>
      <c r="H102" s="88" t="str">
        <f t="shared" si="195"/>
        <v xml:space="preserve">  </v>
      </c>
      <c r="I102" s="88"/>
      <c r="J102" s="88"/>
      <c r="K102" s="88"/>
      <c r="L102" s="88"/>
      <c r="M102" s="88"/>
      <c r="N102" s="88"/>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1"/>
      <c r="AR102" s="75"/>
      <c r="AS102" s="91"/>
      <c r="AT102" s="91"/>
      <c r="AU102" s="90"/>
      <c r="AV102" s="91"/>
      <c r="AW102" s="91"/>
      <c r="AX102" s="91"/>
      <c r="AY102" s="91"/>
      <c r="AZ102" s="91"/>
      <c r="BA102" s="91"/>
      <c r="BB102" s="90"/>
      <c r="BC102" s="91"/>
      <c r="BD102" s="75"/>
      <c r="BE102" s="91"/>
      <c r="BF102" s="91"/>
      <c r="BG102" s="90"/>
      <c r="BH102" s="91"/>
      <c r="BI102" s="91"/>
      <c r="BJ102" s="91"/>
      <c r="BK102" s="91"/>
      <c r="BL102" s="91"/>
      <c r="BM102" s="91"/>
      <c r="BN102" s="90"/>
      <c r="BO102" s="91"/>
      <c r="BP102" s="75"/>
      <c r="BQ102" s="91"/>
      <c r="BR102" s="91"/>
      <c r="BS102" s="90"/>
      <c r="BT102" s="91"/>
      <c r="BU102" s="91"/>
      <c r="BV102" s="91"/>
      <c r="BW102" s="91"/>
      <c r="BX102" s="91"/>
      <c r="BY102" s="91"/>
      <c r="BZ102" s="90"/>
      <c r="CA102" s="91"/>
      <c r="CB102" s="75"/>
      <c r="CC102" s="91"/>
      <c r="CD102" s="91"/>
      <c r="CE102" s="90"/>
      <c r="CF102" s="91"/>
      <c r="CG102" s="91"/>
      <c r="CH102" s="91"/>
      <c r="CI102" s="91"/>
      <c r="CJ102" s="91"/>
      <c r="CK102" s="91"/>
      <c r="CL102" s="90"/>
      <c r="CM102" s="91"/>
      <c r="CN102" s="75"/>
      <c r="CO102" s="91"/>
      <c r="CP102" s="91"/>
      <c r="CQ102" s="90"/>
      <c r="CR102" s="91"/>
      <c r="CS102" s="91"/>
      <c r="CT102" s="91"/>
      <c r="CU102" s="91"/>
      <c r="CV102" s="91"/>
      <c r="CW102" s="91"/>
      <c r="CX102" s="90"/>
      <c r="CY102" s="91"/>
      <c r="CZ102" s="75"/>
      <c r="DA102" s="91"/>
      <c r="DB102" s="91"/>
      <c r="DC102" s="90"/>
      <c r="DD102" s="91"/>
      <c r="DE102" s="91"/>
      <c r="DF102" s="91"/>
      <c r="DG102" s="91"/>
      <c r="DH102" s="91"/>
      <c r="DI102" s="91"/>
      <c r="DJ102" s="90"/>
      <c r="DK102" s="91"/>
      <c r="DL102" s="75"/>
      <c r="DM102" s="75"/>
      <c r="DN102" s="75">
        <f t="shared" si="194"/>
        <v>0</v>
      </c>
      <c r="DO102" s="75" t="str">
        <f t="shared" si="196"/>
        <v/>
      </c>
      <c r="DP102" s="91" t="str">
        <f>IFERROR(#REF!/#REF!*1000,"")</f>
        <v/>
      </c>
      <c r="DQ102" s="91" t="str">
        <f>IFERROR(#REF!/#REF!*1000,"")</f>
        <v/>
      </c>
      <c r="DR102" s="90"/>
      <c r="DS102" s="91" t="str">
        <f>IFERROR(#REF!/#REF!*1000,"")</f>
        <v/>
      </c>
      <c r="DT102" s="91" t="str">
        <f>IFERROR(#REF!/#REF!*1000,"")</f>
        <v/>
      </c>
      <c r="DU102" s="91"/>
      <c r="DV102" s="91"/>
      <c r="DW102" s="91"/>
      <c r="DX102" s="91"/>
      <c r="DY102" s="90"/>
      <c r="DZ102" s="91"/>
      <c r="EA102" s="75"/>
      <c r="EB102" s="91"/>
      <c r="EC102" s="91"/>
      <c r="ED102" s="90"/>
      <c r="EE102" s="91"/>
      <c r="EF102" s="91"/>
      <c r="EG102" s="91"/>
      <c r="EH102" s="91"/>
      <c r="EI102" s="91"/>
      <c r="EJ102" s="91"/>
      <c r="EK102" s="90"/>
      <c r="EL102" s="90"/>
      <c r="EM102" s="88"/>
      <c r="EN102" s="92"/>
      <c r="EO102" s="92"/>
      <c r="EP102" s="92"/>
      <c r="EQ102" s="92"/>
      <c r="ER102" s="92"/>
      <c r="ES102" s="92"/>
      <c r="ET102" s="92"/>
      <c r="EU102" s="92"/>
      <c r="EV102" s="92"/>
      <c r="EW102" s="92"/>
      <c r="EX102" s="92"/>
      <c r="EY102" s="92"/>
      <c r="EZ102" s="92"/>
      <c r="FA102" s="92"/>
      <c r="FB102" s="92"/>
      <c r="FC102" s="92"/>
      <c r="FD102" s="92"/>
      <c r="FE102" s="92"/>
      <c r="FF102" s="92"/>
      <c r="FG102" s="92"/>
      <c r="FH102" s="92"/>
      <c r="FI102" s="92"/>
      <c r="FJ102" s="92"/>
      <c r="FK102" s="92"/>
      <c r="FL102" s="92"/>
      <c r="FM102" s="92"/>
      <c r="FN102" s="92"/>
      <c r="FO102" s="92"/>
      <c r="FP102" s="92"/>
      <c r="FQ102" s="92"/>
      <c r="FR102" s="92"/>
      <c r="FS102" s="92"/>
      <c r="FT102" s="92"/>
      <c r="FU102" s="92"/>
      <c r="FV102" s="92"/>
      <c r="FW102" s="92"/>
      <c r="FX102" s="92"/>
      <c r="FY102" s="92"/>
      <c r="FZ102" s="92"/>
      <c r="GA102" s="92"/>
      <c r="GB102" s="92"/>
      <c r="GC102" s="92"/>
      <c r="GD102" s="92"/>
      <c r="GE102" s="92"/>
      <c r="GF102" s="92"/>
      <c r="GG102" s="92"/>
      <c r="GH102" s="92"/>
      <c r="GI102" s="92"/>
      <c r="GJ102" s="92"/>
      <c r="GK102" s="92"/>
      <c r="GL102" s="92"/>
      <c r="GM102" s="92"/>
      <c r="GN102" s="92"/>
      <c r="GO102" s="92"/>
      <c r="GP102" s="92"/>
      <c r="GQ102" s="92"/>
      <c r="GR102" s="92"/>
      <c r="GS102" s="92"/>
      <c r="GT102" s="92"/>
      <c r="GU102" s="92"/>
      <c r="GV102" s="92"/>
      <c r="GW102" s="92"/>
      <c r="GX102" s="92"/>
      <c r="GY102" s="92"/>
      <c r="GZ102" s="92"/>
      <c r="HA102" s="92"/>
      <c r="HB102" s="92"/>
      <c r="HC102" s="92"/>
      <c r="HD102" s="92"/>
      <c r="HE102" s="92"/>
      <c r="HF102" s="92"/>
      <c r="HG102" s="92"/>
      <c r="HH102" s="92"/>
      <c r="HI102" s="92"/>
      <c r="HJ102" s="92"/>
      <c r="HK102" s="92"/>
      <c r="HL102" s="92"/>
      <c r="HM102" s="92"/>
      <c r="HN102" s="92"/>
      <c r="HO102" s="92"/>
      <c r="HP102" s="92"/>
      <c r="HQ102" s="92"/>
      <c r="HR102" s="92"/>
      <c r="HS102" s="92"/>
      <c r="HT102" s="92"/>
      <c r="HU102" s="92"/>
      <c r="HV102" s="92"/>
      <c r="HW102" s="92"/>
      <c r="HX102" s="92"/>
      <c r="HY102" s="92"/>
      <c r="HZ102" s="92"/>
      <c r="IA102" s="92"/>
      <c r="IB102" s="92"/>
      <c r="IC102" s="92"/>
      <c r="ID102" s="92"/>
      <c r="IE102" s="92"/>
      <c r="IF102" s="92"/>
      <c r="IG102" s="92"/>
      <c r="IH102" s="92"/>
      <c r="II102" s="92"/>
      <c r="IJ102" s="92"/>
      <c r="IK102" s="92"/>
      <c r="IL102" s="92"/>
      <c r="IM102" s="92"/>
      <c r="IN102" s="92"/>
      <c r="IO102" s="92"/>
      <c r="IP102" s="92"/>
      <c r="IQ102" s="92"/>
      <c r="IR102" s="92"/>
      <c r="IS102" s="92"/>
      <c r="IT102" s="92"/>
      <c r="IU102" s="92"/>
      <c r="IV102" s="92"/>
      <c r="IW102" s="92"/>
      <c r="IX102" s="92"/>
      <c r="IY102" s="92"/>
      <c r="IZ102" s="92"/>
      <c r="JA102" s="92"/>
      <c r="JB102" s="92"/>
      <c r="JC102" s="92"/>
      <c r="JD102" s="92"/>
      <c r="JE102" s="92"/>
      <c r="JF102" s="92"/>
      <c r="JG102" s="92"/>
      <c r="JH102" s="92"/>
      <c r="JI102" s="92"/>
      <c r="JJ102" s="92"/>
      <c r="JK102" s="92"/>
      <c r="JL102" s="92"/>
      <c r="JM102" s="92"/>
      <c r="JN102" s="92"/>
      <c r="JO102" s="92"/>
      <c r="JP102" s="92"/>
      <c r="JQ102" s="92"/>
      <c r="JR102" s="92"/>
      <c r="JS102" s="92"/>
      <c r="JT102" s="92"/>
      <c r="JU102" s="92"/>
      <c r="JV102" s="92"/>
      <c r="JW102" s="92"/>
      <c r="JX102" s="92"/>
      <c r="JY102" s="92"/>
      <c r="JZ102" s="92"/>
      <c r="KA102" s="92"/>
      <c r="KB102" s="92"/>
      <c r="KC102" s="92"/>
      <c r="KD102" s="92"/>
      <c r="KE102" s="92"/>
      <c r="KF102" s="92"/>
      <c r="KG102" s="92"/>
      <c r="KH102" s="92"/>
      <c r="KI102" s="92"/>
      <c r="KJ102" s="92"/>
      <c r="KK102" s="92"/>
      <c r="KL102" s="92"/>
      <c r="KM102" s="92"/>
      <c r="KN102" s="92"/>
      <c r="KO102" s="92"/>
      <c r="KP102" s="92"/>
      <c r="KQ102" s="88"/>
      <c r="KR102" s="92"/>
      <c r="KS102" s="92"/>
      <c r="KT102" s="92"/>
      <c r="KU102" s="93"/>
      <c r="KV102" s="92"/>
      <c r="KW102" s="93"/>
      <c r="KX102" s="92"/>
      <c r="KY102" s="93"/>
      <c r="KZ102" s="92"/>
      <c r="LA102" s="93"/>
      <c r="LB102" s="92"/>
      <c r="LC102" s="93"/>
      <c r="LD102" s="92"/>
      <c r="LE102" s="93"/>
      <c r="LF102" s="92"/>
      <c r="LG102" s="92"/>
      <c r="LH102" s="92"/>
      <c r="LI102" s="92"/>
      <c r="LJ102" s="92"/>
      <c r="LK102" s="92"/>
      <c r="LL102" s="92"/>
      <c r="LM102" s="92"/>
      <c r="LN102" s="92"/>
      <c r="LO102" s="92"/>
      <c r="LP102" s="88"/>
      <c r="LQ102" s="93"/>
      <c r="LR102" s="88"/>
      <c r="LS102" s="93"/>
      <c r="LT102" s="93"/>
      <c r="LU102" s="93"/>
      <c r="LV102" s="93"/>
      <c r="LW102" s="93"/>
      <c r="LX102" s="93"/>
      <c r="LY102" s="93"/>
      <c r="LZ102" s="93"/>
      <c r="MA102" s="93"/>
      <c r="MB102" s="93"/>
      <c r="MC102" s="94"/>
      <c r="MD102" s="94"/>
      <c r="ME102" s="94"/>
      <c r="MF102" s="94"/>
      <c r="MG102" s="94"/>
      <c r="MH102" s="94"/>
      <c r="MI102" s="94"/>
      <c r="MJ102" s="94"/>
      <c r="MK102" s="94"/>
      <c r="ML102" s="94"/>
      <c r="MM102" s="94"/>
      <c r="MN102" s="94"/>
      <c r="MO102" s="95"/>
      <c r="MP102" s="95"/>
      <c r="MQ102" s="94"/>
      <c r="MR102" s="94"/>
      <c r="MS102" s="94"/>
      <c r="MT102" s="94"/>
      <c r="MU102" s="94"/>
      <c r="MV102" s="94"/>
      <c r="MW102" s="94"/>
      <c r="MX102" s="94"/>
      <c r="MY102" s="94"/>
      <c r="MZ102" s="94"/>
      <c r="NA102" s="94"/>
      <c r="NB102" s="94"/>
      <c r="NC102" s="94"/>
      <c r="ND102" s="94"/>
      <c r="NE102" s="94"/>
      <c r="NF102" s="94"/>
      <c r="NG102" s="94"/>
      <c r="NH102" s="94"/>
      <c r="NI102" s="94"/>
      <c r="NJ102" s="94"/>
    </row>
    <row r="103" spans="1:374" x14ac:dyDescent="0.25">
      <c r="A103" s="88"/>
      <c r="B103" s="88"/>
      <c r="C103" s="88"/>
      <c r="D103" s="88"/>
      <c r="E103" s="89"/>
      <c r="F103" s="88"/>
      <c r="G103" s="88"/>
      <c r="H103" s="88" t="str">
        <f t="shared" si="195"/>
        <v xml:space="preserve">  </v>
      </c>
      <c r="I103" s="88"/>
      <c r="J103" s="88"/>
      <c r="K103" s="88"/>
      <c r="L103" s="88"/>
      <c r="M103" s="88"/>
      <c r="N103" s="88"/>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1"/>
      <c r="AR103" s="75"/>
      <c r="AS103" s="91"/>
      <c r="AT103" s="91"/>
      <c r="AU103" s="90"/>
      <c r="AV103" s="91"/>
      <c r="AW103" s="91"/>
      <c r="AX103" s="91"/>
      <c r="AY103" s="91"/>
      <c r="AZ103" s="91"/>
      <c r="BA103" s="91"/>
      <c r="BB103" s="90"/>
      <c r="BC103" s="91"/>
      <c r="BD103" s="75"/>
      <c r="BE103" s="91"/>
      <c r="BF103" s="91"/>
      <c r="BG103" s="90"/>
      <c r="BH103" s="91"/>
      <c r="BI103" s="91"/>
      <c r="BJ103" s="91"/>
      <c r="BK103" s="91"/>
      <c r="BL103" s="91"/>
      <c r="BM103" s="91"/>
      <c r="BN103" s="90"/>
      <c r="BO103" s="91"/>
      <c r="BP103" s="75"/>
      <c r="BQ103" s="91"/>
      <c r="BR103" s="91"/>
      <c r="BS103" s="90"/>
      <c r="BT103" s="91"/>
      <c r="BU103" s="91"/>
      <c r="BV103" s="91"/>
      <c r="BW103" s="91"/>
      <c r="BX103" s="91"/>
      <c r="BY103" s="91"/>
      <c r="BZ103" s="90"/>
      <c r="CA103" s="91"/>
      <c r="CB103" s="75"/>
      <c r="CC103" s="91"/>
      <c r="CD103" s="91"/>
      <c r="CE103" s="90"/>
      <c r="CF103" s="91"/>
      <c r="CG103" s="91"/>
      <c r="CH103" s="91"/>
      <c r="CI103" s="91"/>
      <c r="CJ103" s="91"/>
      <c r="CK103" s="91"/>
      <c r="CL103" s="90"/>
      <c r="CM103" s="91"/>
      <c r="CN103" s="75"/>
      <c r="CO103" s="91"/>
      <c r="CP103" s="91"/>
      <c r="CQ103" s="90"/>
      <c r="CR103" s="91"/>
      <c r="CS103" s="91"/>
      <c r="CT103" s="91"/>
      <c r="CU103" s="91"/>
      <c r="CV103" s="91"/>
      <c r="CW103" s="91"/>
      <c r="CX103" s="90"/>
      <c r="CY103" s="91"/>
      <c r="CZ103" s="75"/>
      <c r="DA103" s="91"/>
      <c r="DB103" s="91"/>
      <c r="DC103" s="90"/>
      <c r="DD103" s="91"/>
      <c r="DE103" s="91"/>
      <c r="DF103" s="91"/>
      <c r="DG103" s="91"/>
      <c r="DH103" s="91"/>
      <c r="DI103" s="91"/>
      <c r="DJ103" s="90"/>
      <c r="DK103" s="91"/>
      <c r="DL103" s="75"/>
      <c r="DM103" s="75"/>
      <c r="DN103" s="75">
        <f t="shared" si="194"/>
        <v>0</v>
      </c>
      <c r="DO103" s="75" t="str">
        <f t="shared" si="196"/>
        <v/>
      </c>
      <c r="DP103" s="91" t="str">
        <f>IFERROR(#REF!/#REF!*1000,"")</f>
        <v/>
      </c>
      <c r="DQ103" s="91" t="str">
        <f>IFERROR(#REF!/#REF!*1000,"")</f>
        <v/>
      </c>
      <c r="DR103" s="90"/>
      <c r="DS103" s="91" t="str">
        <f>IFERROR(#REF!/#REF!*1000,"")</f>
        <v/>
      </c>
      <c r="DT103" s="91" t="str">
        <f>IFERROR(#REF!/#REF!*1000,"")</f>
        <v/>
      </c>
      <c r="DU103" s="91"/>
      <c r="DV103" s="91"/>
      <c r="DW103" s="91"/>
      <c r="DX103" s="91"/>
      <c r="DY103" s="90"/>
      <c r="DZ103" s="91"/>
      <c r="EA103" s="75"/>
      <c r="EB103" s="91"/>
      <c r="EC103" s="91"/>
      <c r="ED103" s="90"/>
      <c r="EE103" s="91"/>
      <c r="EF103" s="91"/>
      <c r="EG103" s="91"/>
      <c r="EH103" s="91"/>
      <c r="EI103" s="91"/>
      <c r="EJ103" s="91"/>
      <c r="EK103" s="90"/>
      <c r="EL103" s="90"/>
      <c r="EM103" s="88"/>
      <c r="EN103" s="92"/>
      <c r="EO103" s="92"/>
      <c r="EP103" s="92"/>
      <c r="EQ103" s="92"/>
      <c r="ER103" s="92"/>
      <c r="ES103" s="92"/>
      <c r="ET103" s="92"/>
      <c r="EU103" s="92"/>
      <c r="EV103" s="92"/>
      <c r="EW103" s="92"/>
      <c r="EX103" s="92"/>
      <c r="EY103" s="92"/>
      <c r="EZ103" s="92"/>
      <c r="FA103" s="92"/>
      <c r="FB103" s="92"/>
      <c r="FC103" s="92"/>
      <c r="FD103" s="92"/>
      <c r="FE103" s="92"/>
      <c r="FF103" s="92"/>
      <c r="FG103" s="92"/>
      <c r="FH103" s="92"/>
      <c r="FI103" s="92"/>
      <c r="FJ103" s="92"/>
      <c r="FK103" s="92"/>
      <c r="FL103" s="92"/>
      <c r="FM103" s="92"/>
      <c r="FN103" s="92"/>
      <c r="FO103" s="92"/>
      <c r="FP103" s="92"/>
      <c r="FQ103" s="92"/>
      <c r="FR103" s="92"/>
      <c r="FS103" s="92"/>
      <c r="FT103" s="92"/>
      <c r="FU103" s="92"/>
      <c r="FV103" s="92"/>
      <c r="FW103" s="92"/>
      <c r="FX103" s="92"/>
      <c r="FY103" s="92"/>
      <c r="FZ103" s="92"/>
      <c r="GA103" s="92"/>
      <c r="GB103" s="92"/>
      <c r="GC103" s="92"/>
      <c r="GD103" s="92"/>
      <c r="GE103" s="92"/>
      <c r="GF103" s="92"/>
      <c r="GG103" s="92"/>
      <c r="GH103" s="92"/>
      <c r="GI103" s="92"/>
      <c r="GJ103" s="92"/>
      <c r="GK103" s="92"/>
      <c r="GL103" s="92"/>
      <c r="GM103" s="92"/>
      <c r="GN103" s="92"/>
      <c r="GO103" s="92"/>
      <c r="GP103" s="92"/>
      <c r="GQ103" s="92"/>
      <c r="GR103" s="92"/>
      <c r="GS103" s="92"/>
      <c r="GT103" s="92"/>
      <c r="GU103" s="92"/>
      <c r="GV103" s="92"/>
      <c r="GW103" s="92"/>
      <c r="GX103" s="92"/>
      <c r="GY103" s="92"/>
      <c r="GZ103" s="92"/>
      <c r="HA103" s="92"/>
      <c r="HB103" s="92"/>
      <c r="HC103" s="92"/>
      <c r="HD103" s="92"/>
      <c r="HE103" s="92"/>
      <c r="HF103" s="92"/>
      <c r="HG103" s="92"/>
      <c r="HH103" s="92"/>
      <c r="HI103" s="92"/>
      <c r="HJ103" s="92"/>
      <c r="HK103" s="92"/>
      <c r="HL103" s="92"/>
      <c r="HM103" s="92"/>
      <c r="HN103" s="92"/>
      <c r="HO103" s="92"/>
      <c r="HP103" s="92"/>
      <c r="HQ103" s="92"/>
      <c r="HR103" s="92"/>
      <c r="HS103" s="92"/>
      <c r="HT103" s="92"/>
      <c r="HU103" s="92"/>
      <c r="HV103" s="92"/>
      <c r="HW103" s="92"/>
      <c r="HX103" s="92"/>
      <c r="HY103" s="92"/>
      <c r="HZ103" s="92"/>
      <c r="IA103" s="92"/>
      <c r="IB103" s="92"/>
      <c r="IC103" s="92"/>
      <c r="ID103" s="92"/>
      <c r="IE103" s="92"/>
      <c r="IF103" s="92"/>
      <c r="IG103" s="92"/>
      <c r="IH103" s="92"/>
      <c r="II103" s="92"/>
      <c r="IJ103" s="92"/>
      <c r="IK103" s="92"/>
      <c r="IL103" s="92"/>
      <c r="IM103" s="92"/>
      <c r="IN103" s="92"/>
      <c r="IO103" s="92"/>
      <c r="IP103" s="92"/>
      <c r="IQ103" s="92"/>
      <c r="IR103" s="92"/>
      <c r="IS103" s="92"/>
      <c r="IT103" s="92"/>
      <c r="IU103" s="92"/>
      <c r="IV103" s="92"/>
      <c r="IW103" s="92"/>
      <c r="IX103" s="92"/>
      <c r="IY103" s="92"/>
      <c r="IZ103" s="92"/>
      <c r="JA103" s="92"/>
      <c r="JB103" s="92"/>
      <c r="JC103" s="92"/>
      <c r="JD103" s="92"/>
      <c r="JE103" s="92"/>
      <c r="JF103" s="92"/>
      <c r="JG103" s="92"/>
      <c r="JH103" s="92"/>
      <c r="JI103" s="92"/>
      <c r="JJ103" s="92"/>
      <c r="JK103" s="92"/>
      <c r="JL103" s="92"/>
      <c r="JM103" s="92"/>
      <c r="JN103" s="92"/>
      <c r="JO103" s="92"/>
      <c r="JP103" s="92"/>
      <c r="JQ103" s="92"/>
      <c r="JR103" s="92"/>
      <c r="JS103" s="92"/>
      <c r="JT103" s="92"/>
      <c r="JU103" s="92"/>
      <c r="JV103" s="92"/>
      <c r="JW103" s="92"/>
      <c r="JX103" s="92"/>
      <c r="JY103" s="92"/>
      <c r="JZ103" s="92"/>
      <c r="KA103" s="92"/>
      <c r="KB103" s="92"/>
      <c r="KC103" s="92"/>
      <c r="KD103" s="92"/>
      <c r="KE103" s="92"/>
      <c r="KF103" s="92"/>
      <c r="KG103" s="92"/>
      <c r="KH103" s="92"/>
      <c r="KI103" s="92"/>
      <c r="KJ103" s="92"/>
      <c r="KK103" s="92"/>
      <c r="KL103" s="92"/>
      <c r="KM103" s="92"/>
      <c r="KN103" s="92"/>
      <c r="KO103" s="92"/>
      <c r="KP103" s="92"/>
      <c r="KQ103" s="88"/>
      <c r="KR103" s="92"/>
      <c r="KS103" s="92"/>
      <c r="KT103" s="92"/>
      <c r="KU103" s="93"/>
      <c r="KV103" s="92"/>
      <c r="KW103" s="93"/>
      <c r="KX103" s="92"/>
      <c r="KY103" s="93"/>
      <c r="KZ103" s="92"/>
      <c r="LA103" s="93"/>
      <c r="LB103" s="92"/>
      <c r="LC103" s="93"/>
      <c r="LD103" s="92"/>
      <c r="LE103" s="93"/>
      <c r="LF103" s="92"/>
      <c r="LG103" s="92"/>
      <c r="LH103" s="92"/>
      <c r="LI103" s="92"/>
      <c r="LJ103" s="92"/>
      <c r="LK103" s="92"/>
      <c r="LL103" s="92"/>
      <c r="LM103" s="92"/>
      <c r="LN103" s="92"/>
      <c r="LO103" s="92"/>
      <c r="LP103" s="88"/>
      <c r="LQ103" s="93"/>
      <c r="LR103" s="88"/>
      <c r="LS103" s="93"/>
      <c r="LT103" s="93"/>
      <c r="LU103" s="93"/>
      <c r="LV103" s="93"/>
      <c r="LW103" s="93"/>
      <c r="LX103" s="93"/>
      <c r="LY103" s="93"/>
      <c r="LZ103" s="93"/>
      <c r="MA103" s="93"/>
      <c r="MB103" s="93"/>
      <c r="MC103" s="94"/>
      <c r="MD103" s="94"/>
      <c r="ME103" s="94"/>
      <c r="MF103" s="94"/>
      <c r="MG103" s="94"/>
      <c r="MH103" s="94"/>
      <c r="MI103" s="94"/>
      <c r="MJ103" s="94"/>
      <c r="MK103" s="94"/>
      <c r="ML103" s="94"/>
      <c r="MM103" s="94"/>
      <c r="MN103" s="94"/>
      <c r="MO103" s="95"/>
      <c r="MP103" s="95"/>
      <c r="MQ103" s="94"/>
      <c r="MR103" s="94"/>
      <c r="MS103" s="94"/>
      <c r="MT103" s="94"/>
      <c r="MU103" s="94"/>
      <c r="MV103" s="94"/>
      <c r="MW103" s="94"/>
      <c r="MX103" s="94"/>
      <c r="MY103" s="94"/>
      <c r="MZ103" s="94"/>
      <c r="NA103" s="94"/>
      <c r="NB103" s="94"/>
      <c r="NC103" s="94"/>
      <c r="ND103" s="94"/>
      <c r="NE103" s="94"/>
      <c r="NF103" s="94"/>
      <c r="NG103" s="94"/>
      <c r="NH103" s="94"/>
      <c r="NI103" s="94"/>
      <c r="NJ103" s="94"/>
    </row>
    <row r="104" spans="1:374" x14ac:dyDescent="0.25">
      <c r="A104" s="88"/>
      <c r="B104" s="88"/>
      <c r="C104" s="88"/>
      <c r="D104" s="88"/>
      <c r="E104" s="89"/>
      <c r="F104" s="88"/>
      <c r="G104" s="88"/>
      <c r="H104" s="88" t="str">
        <f t="shared" si="195"/>
        <v xml:space="preserve">  </v>
      </c>
      <c r="I104" s="88"/>
      <c r="J104" s="88"/>
      <c r="K104" s="88"/>
      <c r="L104" s="88"/>
      <c r="M104" s="88"/>
      <c r="N104" s="88"/>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1"/>
      <c r="AR104" s="75"/>
      <c r="AS104" s="91"/>
      <c r="AT104" s="91"/>
      <c r="AU104" s="90"/>
      <c r="AV104" s="91"/>
      <c r="AW104" s="91"/>
      <c r="AX104" s="91"/>
      <c r="AY104" s="91"/>
      <c r="AZ104" s="91"/>
      <c r="BA104" s="91"/>
      <c r="BB104" s="90"/>
      <c r="BC104" s="91"/>
      <c r="BD104" s="75"/>
      <c r="BE104" s="91"/>
      <c r="BF104" s="91"/>
      <c r="BG104" s="90"/>
      <c r="BH104" s="91"/>
      <c r="BI104" s="91"/>
      <c r="BJ104" s="91"/>
      <c r="BK104" s="91"/>
      <c r="BL104" s="91"/>
      <c r="BM104" s="91"/>
      <c r="BN104" s="90"/>
      <c r="BO104" s="91"/>
      <c r="BP104" s="75"/>
      <c r="BQ104" s="91"/>
      <c r="BR104" s="91"/>
      <c r="BS104" s="90"/>
      <c r="BT104" s="91"/>
      <c r="BU104" s="91"/>
      <c r="BV104" s="91"/>
      <c r="BW104" s="91"/>
      <c r="BX104" s="91"/>
      <c r="BY104" s="91"/>
      <c r="BZ104" s="90"/>
      <c r="CA104" s="91"/>
      <c r="CB104" s="75"/>
      <c r="CC104" s="91"/>
      <c r="CD104" s="91"/>
      <c r="CE104" s="90"/>
      <c r="CF104" s="91"/>
      <c r="CG104" s="91"/>
      <c r="CH104" s="91"/>
      <c r="CI104" s="91"/>
      <c r="CJ104" s="91"/>
      <c r="CK104" s="91"/>
      <c r="CL104" s="90"/>
      <c r="CM104" s="91"/>
      <c r="CN104" s="75"/>
      <c r="CO104" s="91"/>
      <c r="CP104" s="91"/>
      <c r="CQ104" s="90"/>
      <c r="CR104" s="91"/>
      <c r="CS104" s="91"/>
      <c r="CT104" s="91"/>
      <c r="CU104" s="91"/>
      <c r="CV104" s="91"/>
      <c r="CW104" s="91"/>
      <c r="CX104" s="90"/>
      <c r="CY104" s="91"/>
      <c r="CZ104" s="75"/>
      <c r="DA104" s="91"/>
      <c r="DB104" s="91"/>
      <c r="DC104" s="90"/>
      <c r="DD104" s="91"/>
      <c r="DE104" s="91"/>
      <c r="DF104" s="91"/>
      <c r="DG104" s="91"/>
      <c r="DH104" s="91"/>
      <c r="DI104" s="91"/>
      <c r="DJ104" s="90"/>
      <c r="DK104" s="91"/>
      <c r="DL104" s="75"/>
      <c r="DM104" s="75"/>
      <c r="DN104" s="75">
        <f t="shared" si="194"/>
        <v>0</v>
      </c>
      <c r="DO104" s="75" t="str">
        <f t="shared" si="196"/>
        <v/>
      </c>
      <c r="DP104" s="91" t="str">
        <f>IFERROR(#REF!/#REF!*1000,"")</f>
        <v/>
      </c>
      <c r="DQ104" s="91" t="str">
        <f>IFERROR(#REF!/#REF!*1000,"")</f>
        <v/>
      </c>
      <c r="DR104" s="90"/>
      <c r="DS104" s="91" t="str">
        <f>IFERROR(#REF!/#REF!*1000,"")</f>
        <v/>
      </c>
      <c r="DT104" s="91" t="str">
        <f>IFERROR(#REF!/#REF!*1000,"")</f>
        <v/>
      </c>
      <c r="DU104" s="91"/>
      <c r="DV104" s="91"/>
      <c r="DW104" s="91"/>
      <c r="DX104" s="91"/>
      <c r="DY104" s="90"/>
      <c r="DZ104" s="91"/>
      <c r="EA104" s="75"/>
      <c r="EB104" s="91"/>
      <c r="EC104" s="91"/>
      <c r="ED104" s="90"/>
      <c r="EE104" s="91"/>
      <c r="EF104" s="91"/>
      <c r="EG104" s="91"/>
      <c r="EH104" s="91"/>
      <c r="EI104" s="91"/>
      <c r="EJ104" s="91"/>
      <c r="EK104" s="90"/>
      <c r="EL104" s="90"/>
      <c r="EM104" s="88"/>
      <c r="EN104" s="92"/>
      <c r="EO104" s="92"/>
      <c r="EP104" s="92"/>
      <c r="EQ104" s="92"/>
      <c r="ER104" s="92"/>
      <c r="ES104" s="92"/>
      <c r="ET104" s="92"/>
      <c r="EU104" s="92"/>
      <c r="EV104" s="92"/>
      <c r="EW104" s="92"/>
      <c r="EX104" s="92"/>
      <c r="EY104" s="92"/>
      <c r="EZ104" s="92"/>
      <c r="FA104" s="92"/>
      <c r="FB104" s="92"/>
      <c r="FC104" s="92"/>
      <c r="FD104" s="92"/>
      <c r="FE104" s="92"/>
      <c r="FF104" s="92"/>
      <c r="FG104" s="92"/>
      <c r="FH104" s="92"/>
      <c r="FI104" s="92"/>
      <c r="FJ104" s="92"/>
      <c r="FK104" s="92"/>
      <c r="FL104" s="92"/>
      <c r="FM104" s="92"/>
      <c r="FN104" s="92"/>
      <c r="FO104" s="92"/>
      <c r="FP104" s="92"/>
      <c r="FQ104" s="92"/>
      <c r="FR104" s="92"/>
      <c r="FS104" s="92"/>
      <c r="FT104" s="92"/>
      <c r="FU104" s="92"/>
      <c r="FV104" s="92"/>
      <c r="FW104" s="92"/>
      <c r="FX104" s="92"/>
      <c r="FY104" s="92"/>
      <c r="FZ104" s="92"/>
      <c r="GA104" s="92"/>
      <c r="GB104" s="92"/>
      <c r="GC104" s="92"/>
      <c r="GD104" s="92"/>
      <c r="GE104" s="92"/>
      <c r="GF104" s="92"/>
      <c r="GG104" s="92"/>
      <c r="GH104" s="92"/>
      <c r="GI104" s="92"/>
      <c r="GJ104" s="92"/>
      <c r="GK104" s="92"/>
      <c r="GL104" s="92"/>
      <c r="GM104" s="92"/>
      <c r="GN104" s="92"/>
      <c r="GO104" s="92"/>
      <c r="GP104" s="92"/>
      <c r="GQ104" s="92"/>
      <c r="GR104" s="92"/>
      <c r="GS104" s="92"/>
      <c r="GT104" s="92"/>
      <c r="GU104" s="92"/>
      <c r="GV104" s="92"/>
      <c r="GW104" s="92"/>
      <c r="GX104" s="92"/>
      <c r="GY104" s="92"/>
      <c r="GZ104" s="92"/>
      <c r="HA104" s="92"/>
      <c r="HB104" s="92"/>
      <c r="HC104" s="92"/>
      <c r="HD104" s="92"/>
      <c r="HE104" s="92"/>
      <c r="HF104" s="92"/>
      <c r="HG104" s="92"/>
      <c r="HH104" s="92"/>
      <c r="HI104" s="92"/>
      <c r="HJ104" s="92"/>
      <c r="HK104" s="92"/>
      <c r="HL104" s="92"/>
      <c r="HM104" s="92"/>
      <c r="HN104" s="92"/>
      <c r="HO104" s="92"/>
      <c r="HP104" s="92"/>
      <c r="HQ104" s="92"/>
      <c r="HR104" s="92"/>
      <c r="HS104" s="92"/>
      <c r="HT104" s="92"/>
      <c r="HU104" s="92"/>
      <c r="HV104" s="92"/>
      <c r="HW104" s="92"/>
      <c r="HX104" s="92"/>
      <c r="HY104" s="92"/>
      <c r="HZ104" s="92"/>
      <c r="IA104" s="92"/>
      <c r="IB104" s="92"/>
      <c r="IC104" s="92"/>
      <c r="ID104" s="92"/>
      <c r="IE104" s="92"/>
      <c r="IF104" s="92"/>
      <c r="IG104" s="92"/>
      <c r="IH104" s="92"/>
      <c r="II104" s="92"/>
      <c r="IJ104" s="92"/>
      <c r="IK104" s="92"/>
      <c r="IL104" s="92"/>
      <c r="IM104" s="92"/>
      <c r="IN104" s="92"/>
      <c r="IO104" s="92"/>
      <c r="IP104" s="92"/>
      <c r="IQ104" s="92"/>
      <c r="IR104" s="92"/>
      <c r="IS104" s="92"/>
      <c r="IT104" s="92"/>
      <c r="IU104" s="92"/>
      <c r="IV104" s="92"/>
      <c r="IW104" s="92"/>
      <c r="IX104" s="92"/>
      <c r="IY104" s="92"/>
      <c r="IZ104" s="92"/>
      <c r="JA104" s="92"/>
      <c r="JB104" s="92"/>
      <c r="JC104" s="92"/>
      <c r="JD104" s="92"/>
      <c r="JE104" s="92"/>
      <c r="JF104" s="92"/>
      <c r="JG104" s="92"/>
      <c r="JH104" s="92"/>
      <c r="JI104" s="92"/>
      <c r="JJ104" s="92"/>
      <c r="JK104" s="92"/>
      <c r="JL104" s="92"/>
      <c r="JM104" s="92"/>
      <c r="JN104" s="92"/>
      <c r="JO104" s="92"/>
      <c r="JP104" s="92"/>
      <c r="JQ104" s="92"/>
      <c r="JR104" s="92"/>
      <c r="JS104" s="92"/>
      <c r="JT104" s="92"/>
      <c r="JU104" s="92"/>
      <c r="JV104" s="92"/>
      <c r="JW104" s="92"/>
      <c r="JX104" s="92"/>
      <c r="JY104" s="92"/>
      <c r="JZ104" s="92"/>
      <c r="KA104" s="92"/>
      <c r="KB104" s="92"/>
      <c r="KC104" s="92"/>
      <c r="KD104" s="92"/>
      <c r="KE104" s="92"/>
      <c r="KF104" s="92"/>
      <c r="KG104" s="92"/>
      <c r="KH104" s="92"/>
      <c r="KI104" s="92"/>
      <c r="KJ104" s="92"/>
      <c r="KK104" s="92"/>
      <c r="KL104" s="92"/>
      <c r="KM104" s="92"/>
      <c r="KN104" s="92"/>
      <c r="KO104" s="92"/>
      <c r="KP104" s="92"/>
      <c r="KQ104" s="88"/>
      <c r="KR104" s="92"/>
      <c r="KS104" s="92"/>
      <c r="KT104" s="92"/>
      <c r="KU104" s="93"/>
      <c r="KV104" s="92"/>
      <c r="KW104" s="93"/>
      <c r="KX104" s="92"/>
      <c r="KY104" s="93"/>
      <c r="KZ104" s="92"/>
      <c r="LA104" s="93"/>
      <c r="LB104" s="92"/>
      <c r="LC104" s="93"/>
      <c r="LD104" s="92"/>
      <c r="LE104" s="93"/>
      <c r="LF104" s="92"/>
      <c r="LG104" s="92"/>
      <c r="LH104" s="92"/>
      <c r="LI104" s="92"/>
      <c r="LJ104" s="92"/>
      <c r="LK104" s="92"/>
      <c r="LL104" s="92"/>
      <c r="LM104" s="92"/>
      <c r="LN104" s="92"/>
      <c r="LO104" s="92"/>
      <c r="LP104" s="88"/>
      <c r="LQ104" s="93"/>
      <c r="LR104" s="88"/>
      <c r="LS104" s="93"/>
      <c r="LT104" s="93"/>
      <c r="LU104" s="93"/>
      <c r="LV104" s="93"/>
      <c r="LW104" s="93"/>
      <c r="LX104" s="93"/>
      <c r="LY104" s="93"/>
      <c r="LZ104" s="93"/>
      <c r="MA104" s="93"/>
      <c r="MB104" s="93"/>
      <c r="MC104" s="94"/>
      <c r="MD104" s="94"/>
      <c r="ME104" s="94"/>
      <c r="MF104" s="94"/>
      <c r="MG104" s="94"/>
      <c r="MH104" s="94"/>
      <c r="MI104" s="94"/>
      <c r="MJ104" s="94"/>
      <c r="MK104" s="94"/>
      <c r="ML104" s="94"/>
      <c r="MM104" s="94"/>
      <c r="MN104" s="94"/>
      <c r="MO104" s="95"/>
      <c r="MP104" s="95"/>
      <c r="MQ104" s="94"/>
      <c r="MR104" s="94"/>
      <c r="MS104" s="94"/>
      <c r="MT104" s="94"/>
      <c r="MU104" s="94"/>
      <c r="MV104" s="94"/>
      <c r="MW104" s="94"/>
      <c r="MX104" s="94"/>
      <c r="MY104" s="94"/>
      <c r="MZ104" s="94"/>
      <c r="NA104" s="94"/>
      <c r="NB104" s="94"/>
      <c r="NC104" s="94"/>
      <c r="ND104" s="94"/>
      <c r="NE104" s="94"/>
      <c r="NF104" s="94"/>
      <c r="NG104" s="94"/>
      <c r="NH104" s="94"/>
      <c r="NI104" s="94"/>
      <c r="NJ104" s="94"/>
    </row>
    <row r="105" spans="1:374" x14ac:dyDescent="0.25">
      <c r="A105" s="88"/>
      <c r="B105" s="88"/>
      <c r="C105" s="88"/>
      <c r="D105" s="88"/>
      <c r="E105" s="89"/>
      <c r="F105" s="88"/>
      <c r="G105" s="88"/>
      <c r="H105" s="88" t="str">
        <f t="shared" si="195"/>
        <v xml:space="preserve">  </v>
      </c>
      <c r="I105" s="88"/>
      <c r="J105" s="88"/>
      <c r="K105" s="88"/>
      <c r="L105" s="88"/>
      <c r="M105" s="88"/>
      <c r="N105" s="88"/>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1"/>
      <c r="AR105" s="75"/>
      <c r="AS105" s="91"/>
      <c r="AT105" s="91"/>
      <c r="AU105" s="90"/>
      <c r="AV105" s="91"/>
      <c r="AW105" s="91"/>
      <c r="AX105" s="91"/>
      <c r="AY105" s="91"/>
      <c r="AZ105" s="91"/>
      <c r="BA105" s="91"/>
      <c r="BB105" s="90"/>
      <c r="BC105" s="91"/>
      <c r="BD105" s="75"/>
      <c r="BE105" s="91"/>
      <c r="BF105" s="91"/>
      <c r="BG105" s="90"/>
      <c r="BH105" s="91"/>
      <c r="BI105" s="91"/>
      <c r="BJ105" s="91"/>
      <c r="BK105" s="91"/>
      <c r="BL105" s="91"/>
      <c r="BM105" s="91"/>
      <c r="BN105" s="90"/>
      <c r="BO105" s="91"/>
      <c r="BP105" s="75"/>
      <c r="BQ105" s="91"/>
      <c r="BR105" s="91"/>
      <c r="BS105" s="90"/>
      <c r="BT105" s="91"/>
      <c r="BU105" s="91"/>
      <c r="BV105" s="91"/>
      <c r="BW105" s="91"/>
      <c r="BX105" s="91"/>
      <c r="BY105" s="91"/>
      <c r="BZ105" s="90"/>
      <c r="CA105" s="91"/>
      <c r="CB105" s="75"/>
      <c r="CC105" s="91"/>
      <c r="CD105" s="91"/>
      <c r="CE105" s="90"/>
      <c r="CF105" s="91"/>
      <c r="CG105" s="91"/>
      <c r="CH105" s="91"/>
      <c r="CI105" s="91"/>
      <c r="CJ105" s="91"/>
      <c r="CK105" s="91"/>
      <c r="CL105" s="90"/>
      <c r="CM105" s="91"/>
      <c r="CN105" s="75"/>
      <c r="CO105" s="91"/>
      <c r="CP105" s="91"/>
      <c r="CQ105" s="90"/>
      <c r="CR105" s="91"/>
      <c r="CS105" s="91"/>
      <c r="CT105" s="91"/>
      <c r="CU105" s="91"/>
      <c r="CV105" s="91"/>
      <c r="CW105" s="91"/>
      <c r="CX105" s="90"/>
      <c r="CY105" s="91"/>
      <c r="CZ105" s="75"/>
      <c r="DA105" s="91"/>
      <c r="DB105" s="91"/>
      <c r="DC105" s="90"/>
      <c r="DD105" s="91"/>
      <c r="DE105" s="91"/>
      <c r="DF105" s="91"/>
      <c r="DG105" s="91"/>
      <c r="DH105" s="91"/>
      <c r="DI105" s="91"/>
      <c r="DJ105" s="90"/>
      <c r="DK105" s="91"/>
      <c r="DL105" s="75"/>
      <c r="DM105" s="75"/>
      <c r="DN105" s="75">
        <f t="shared" si="194"/>
        <v>0</v>
      </c>
      <c r="DO105" s="75" t="str">
        <f t="shared" si="196"/>
        <v/>
      </c>
      <c r="DP105" s="91" t="str">
        <f>IFERROR(#REF!/#REF!*1000,"")</f>
        <v/>
      </c>
      <c r="DQ105" s="91" t="str">
        <f>IFERROR(#REF!/#REF!*1000,"")</f>
        <v/>
      </c>
      <c r="DR105" s="90"/>
      <c r="DS105" s="91" t="str">
        <f>IFERROR(#REF!/#REF!*1000,"")</f>
        <v/>
      </c>
      <c r="DT105" s="91" t="str">
        <f>IFERROR(#REF!/#REF!*1000,"")</f>
        <v/>
      </c>
      <c r="DU105" s="91"/>
      <c r="DV105" s="91"/>
      <c r="DW105" s="91"/>
      <c r="DX105" s="91"/>
      <c r="DY105" s="90"/>
      <c r="DZ105" s="91"/>
      <c r="EA105" s="75"/>
      <c r="EB105" s="91"/>
      <c r="EC105" s="91"/>
      <c r="ED105" s="90"/>
      <c r="EE105" s="91"/>
      <c r="EF105" s="91"/>
      <c r="EG105" s="91"/>
      <c r="EH105" s="91"/>
      <c r="EI105" s="91"/>
      <c r="EJ105" s="91"/>
      <c r="EK105" s="90"/>
      <c r="EL105" s="90"/>
      <c r="EM105" s="88"/>
      <c r="EN105" s="92"/>
      <c r="EO105" s="92"/>
      <c r="EP105" s="92"/>
      <c r="EQ105" s="92"/>
      <c r="ER105" s="92"/>
      <c r="ES105" s="92"/>
      <c r="ET105" s="92"/>
      <c r="EU105" s="92"/>
      <c r="EV105" s="92"/>
      <c r="EW105" s="92"/>
      <c r="EX105" s="92"/>
      <c r="EY105" s="92"/>
      <c r="EZ105" s="92"/>
      <c r="FA105" s="92"/>
      <c r="FB105" s="92"/>
      <c r="FC105" s="92"/>
      <c r="FD105" s="92"/>
      <c r="FE105" s="92"/>
      <c r="FF105" s="92"/>
      <c r="FG105" s="92"/>
      <c r="FH105" s="92"/>
      <c r="FI105" s="92"/>
      <c r="FJ105" s="92"/>
      <c r="FK105" s="92"/>
      <c r="FL105" s="92"/>
      <c r="FM105" s="92"/>
      <c r="FN105" s="92"/>
      <c r="FO105" s="92"/>
      <c r="FP105" s="92"/>
      <c r="FQ105" s="92"/>
      <c r="FR105" s="92"/>
      <c r="FS105" s="92"/>
      <c r="FT105" s="92"/>
      <c r="FU105" s="92"/>
      <c r="FV105" s="92"/>
      <c r="FW105" s="92"/>
      <c r="FX105" s="92"/>
      <c r="FY105" s="92"/>
      <c r="FZ105" s="92"/>
      <c r="GA105" s="92"/>
      <c r="GB105" s="92"/>
      <c r="GC105" s="92"/>
      <c r="GD105" s="92"/>
      <c r="GE105" s="92"/>
      <c r="GF105" s="92"/>
      <c r="GG105" s="92"/>
      <c r="GH105" s="92"/>
      <c r="GI105" s="92"/>
      <c r="GJ105" s="92"/>
      <c r="GK105" s="92"/>
      <c r="GL105" s="92"/>
      <c r="GM105" s="92"/>
      <c r="GN105" s="92"/>
      <c r="GO105" s="92"/>
      <c r="GP105" s="92"/>
      <c r="GQ105" s="92"/>
      <c r="GR105" s="92"/>
      <c r="GS105" s="92"/>
      <c r="GT105" s="92"/>
      <c r="GU105" s="92"/>
      <c r="GV105" s="92"/>
      <c r="GW105" s="92"/>
      <c r="GX105" s="92"/>
      <c r="GY105" s="92"/>
      <c r="GZ105" s="92"/>
      <c r="HA105" s="92"/>
      <c r="HB105" s="92"/>
      <c r="HC105" s="92"/>
      <c r="HD105" s="92"/>
      <c r="HE105" s="92"/>
      <c r="HF105" s="92"/>
      <c r="HG105" s="92"/>
      <c r="HH105" s="92"/>
      <c r="HI105" s="92"/>
      <c r="HJ105" s="92"/>
      <c r="HK105" s="92"/>
      <c r="HL105" s="92"/>
      <c r="HM105" s="92"/>
      <c r="HN105" s="92"/>
      <c r="HO105" s="92"/>
      <c r="HP105" s="92"/>
      <c r="HQ105" s="92"/>
      <c r="HR105" s="92"/>
      <c r="HS105" s="92"/>
      <c r="HT105" s="92"/>
      <c r="HU105" s="92"/>
      <c r="HV105" s="92"/>
      <c r="HW105" s="92"/>
      <c r="HX105" s="92"/>
      <c r="HY105" s="92"/>
      <c r="HZ105" s="92"/>
      <c r="IA105" s="92"/>
      <c r="IB105" s="92"/>
      <c r="IC105" s="92"/>
      <c r="ID105" s="92"/>
      <c r="IE105" s="92"/>
      <c r="IF105" s="92"/>
      <c r="IG105" s="92"/>
      <c r="IH105" s="92"/>
      <c r="II105" s="92"/>
      <c r="IJ105" s="92"/>
      <c r="IK105" s="92"/>
      <c r="IL105" s="92"/>
      <c r="IM105" s="92"/>
      <c r="IN105" s="92"/>
      <c r="IO105" s="92"/>
      <c r="IP105" s="92"/>
      <c r="IQ105" s="92"/>
      <c r="IR105" s="92"/>
      <c r="IS105" s="92"/>
      <c r="IT105" s="92"/>
      <c r="IU105" s="92"/>
      <c r="IV105" s="92"/>
      <c r="IW105" s="92"/>
      <c r="IX105" s="92"/>
      <c r="IY105" s="92"/>
      <c r="IZ105" s="92"/>
      <c r="JA105" s="92"/>
      <c r="JB105" s="92"/>
      <c r="JC105" s="92"/>
      <c r="JD105" s="92"/>
      <c r="JE105" s="92"/>
      <c r="JF105" s="92"/>
      <c r="JG105" s="92"/>
      <c r="JH105" s="92"/>
      <c r="JI105" s="92"/>
      <c r="JJ105" s="92"/>
      <c r="JK105" s="92"/>
      <c r="JL105" s="92"/>
      <c r="JM105" s="92"/>
      <c r="JN105" s="92"/>
      <c r="JO105" s="92"/>
      <c r="JP105" s="92"/>
      <c r="JQ105" s="92"/>
      <c r="JR105" s="92"/>
      <c r="JS105" s="92"/>
      <c r="JT105" s="92"/>
      <c r="JU105" s="92"/>
      <c r="JV105" s="92"/>
      <c r="JW105" s="92"/>
      <c r="JX105" s="92"/>
      <c r="JY105" s="92"/>
      <c r="JZ105" s="92"/>
      <c r="KA105" s="92"/>
      <c r="KB105" s="92"/>
      <c r="KC105" s="92"/>
      <c r="KD105" s="92"/>
      <c r="KE105" s="92"/>
      <c r="KF105" s="92"/>
      <c r="KG105" s="92"/>
      <c r="KH105" s="92"/>
      <c r="KI105" s="92"/>
      <c r="KJ105" s="92"/>
      <c r="KK105" s="92"/>
      <c r="KL105" s="92"/>
      <c r="KM105" s="92"/>
      <c r="KN105" s="92"/>
      <c r="KO105" s="92"/>
      <c r="KP105" s="92"/>
      <c r="KQ105" s="88"/>
      <c r="KR105" s="92"/>
      <c r="KS105" s="92"/>
      <c r="KT105" s="92"/>
      <c r="KU105" s="93"/>
      <c r="KV105" s="92"/>
      <c r="KW105" s="93"/>
      <c r="KX105" s="92"/>
      <c r="KY105" s="93"/>
      <c r="KZ105" s="92"/>
      <c r="LA105" s="93"/>
      <c r="LB105" s="92"/>
      <c r="LC105" s="93"/>
      <c r="LD105" s="92"/>
      <c r="LE105" s="93"/>
      <c r="LF105" s="92"/>
      <c r="LG105" s="92"/>
      <c r="LH105" s="92"/>
      <c r="LI105" s="92"/>
      <c r="LJ105" s="92"/>
      <c r="LK105" s="92"/>
      <c r="LL105" s="92"/>
      <c r="LM105" s="92"/>
      <c r="LN105" s="92"/>
      <c r="LO105" s="92"/>
      <c r="LP105" s="88"/>
      <c r="LQ105" s="93"/>
      <c r="LR105" s="88"/>
      <c r="LS105" s="93"/>
      <c r="LT105" s="93"/>
      <c r="LU105" s="93"/>
      <c r="LV105" s="93"/>
      <c r="LW105" s="93"/>
      <c r="LX105" s="93"/>
      <c r="LY105" s="93"/>
      <c r="LZ105" s="93"/>
      <c r="MA105" s="93"/>
      <c r="MB105" s="93"/>
      <c r="MC105" s="94"/>
      <c r="MD105" s="94"/>
      <c r="ME105" s="94"/>
      <c r="MF105" s="94"/>
      <c r="MG105" s="94"/>
      <c r="MH105" s="94"/>
      <c r="MI105" s="94"/>
      <c r="MJ105" s="94"/>
      <c r="MK105" s="94"/>
      <c r="ML105" s="94"/>
      <c r="MM105" s="94"/>
      <c r="MN105" s="94"/>
      <c r="MO105" s="95"/>
      <c r="MP105" s="95"/>
      <c r="MQ105" s="94"/>
      <c r="MR105" s="94"/>
      <c r="MS105" s="94"/>
      <c r="MT105" s="94"/>
      <c r="MU105" s="94"/>
      <c r="MV105" s="94"/>
      <c r="MW105" s="94"/>
      <c r="MX105" s="94"/>
      <c r="MY105" s="94"/>
      <c r="MZ105" s="94"/>
      <c r="NA105" s="94"/>
      <c r="NB105" s="94"/>
      <c r="NC105" s="94"/>
      <c r="ND105" s="94"/>
      <c r="NE105" s="94"/>
      <c r="NF105" s="94"/>
      <c r="NG105" s="94"/>
      <c r="NH105" s="94"/>
      <c r="NI105" s="94"/>
      <c r="NJ105" s="94"/>
    </row>
    <row r="106" spans="1:374" x14ac:dyDescent="0.25">
      <c r="A106" s="88"/>
      <c r="B106" s="88"/>
      <c r="C106" s="88"/>
      <c r="D106" s="88"/>
      <c r="E106" s="89"/>
      <c r="F106" s="88"/>
      <c r="G106" s="88"/>
      <c r="H106" s="88" t="str">
        <f t="shared" si="195"/>
        <v xml:space="preserve">  </v>
      </c>
      <c r="I106" s="88"/>
      <c r="J106" s="88"/>
      <c r="K106" s="88"/>
      <c r="L106" s="88"/>
      <c r="M106" s="88"/>
      <c r="N106" s="88"/>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1"/>
      <c r="AR106" s="75"/>
      <c r="AS106" s="91"/>
      <c r="AT106" s="91"/>
      <c r="AU106" s="90"/>
      <c r="AV106" s="91"/>
      <c r="AW106" s="91"/>
      <c r="AX106" s="91"/>
      <c r="AY106" s="91"/>
      <c r="AZ106" s="91"/>
      <c r="BA106" s="91"/>
      <c r="BB106" s="90"/>
      <c r="BC106" s="91"/>
      <c r="BD106" s="75"/>
      <c r="BE106" s="91"/>
      <c r="BF106" s="91"/>
      <c r="BG106" s="90"/>
      <c r="BH106" s="91"/>
      <c r="BI106" s="91"/>
      <c r="BJ106" s="91"/>
      <c r="BK106" s="91"/>
      <c r="BL106" s="91"/>
      <c r="BM106" s="91"/>
      <c r="BN106" s="90"/>
      <c r="BO106" s="91"/>
      <c r="BP106" s="75"/>
      <c r="BQ106" s="91"/>
      <c r="BR106" s="91"/>
      <c r="BS106" s="90"/>
      <c r="BT106" s="91"/>
      <c r="BU106" s="91"/>
      <c r="BV106" s="91"/>
      <c r="BW106" s="91"/>
      <c r="BX106" s="91"/>
      <c r="BY106" s="91"/>
      <c r="BZ106" s="90"/>
      <c r="CA106" s="91"/>
      <c r="CB106" s="75"/>
      <c r="CC106" s="91"/>
      <c r="CD106" s="91"/>
      <c r="CE106" s="90"/>
      <c r="CF106" s="91"/>
      <c r="CG106" s="91"/>
      <c r="CH106" s="91"/>
      <c r="CI106" s="91"/>
      <c r="CJ106" s="91"/>
      <c r="CK106" s="91"/>
      <c r="CL106" s="90"/>
      <c r="CM106" s="91"/>
      <c r="CN106" s="75"/>
      <c r="CO106" s="91"/>
      <c r="CP106" s="91"/>
      <c r="CQ106" s="90"/>
      <c r="CR106" s="91"/>
      <c r="CS106" s="91"/>
      <c r="CT106" s="91"/>
      <c r="CU106" s="91"/>
      <c r="CV106" s="91"/>
      <c r="CW106" s="91"/>
      <c r="CX106" s="90"/>
      <c r="CY106" s="91"/>
      <c r="CZ106" s="75"/>
      <c r="DA106" s="91"/>
      <c r="DB106" s="91"/>
      <c r="DC106" s="90"/>
      <c r="DD106" s="91"/>
      <c r="DE106" s="91"/>
      <c r="DF106" s="91"/>
      <c r="DG106" s="91"/>
      <c r="DH106" s="91"/>
      <c r="DI106" s="91"/>
      <c r="DJ106" s="90"/>
      <c r="DK106" s="91"/>
      <c r="DL106" s="75"/>
      <c r="DM106" s="75"/>
      <c r="DN106" s="75">
        <f t="shared" si="194"/>
        <v>0</v>
      </c>
      <c r="DO106" s="75" t="str">
        <f t="shared" si="196"/>
        <v/>
      </c>
      <c r="DP106" s="91" t="str">
        <f>IFERROR(#REF!/#REF!*1000,"")</f>
        <v/>
      </c>
      <c r="DQ106" s="91" t="str">
        <f>IFERROR(#REF!/#REF!*1000,"")</f>
        <v/>
      </c>
      <c r="DR106" s="90"/>
      <c r="DS106" s="91" t="str">
        <f>IFERROR(#REF!/#REF!*1000,"")</f>
        <v/>
      </c>
      <c r="DT106" s="91" t="str">
        <f>IFERROR(#REF!/#REF!*1000,"")</f>
        <v/>
      </c>
      <c r="DU106" s="91"/>
      <c r="DV106" s="91"/>
      <c r="DW106" s="91"/>
      <c r="DX106" s="91"/>
      <c r="DY106" s="90"/>
      <c r="DZ106" s="91"/>
      <c r="EA106" s="75"/>
      <c r="EB106" s="91"/>
      <c r="EC106" s="91"/>
      <c r="ED106" s="90"/>
      <c r="EE106" s="91"/>
      <c r="EF106" s="91"/>
      <c r="EG106" s="91"/>
      <c r="EH106" s="91"/>
      <c r="EI106" s="91"/>
      <c r="EJ106" s="91"/>
      <c r="EK106" s="90"/>
      <c r="EL106" s="90"/>
      <c r="EM106" s="88"/>
      <c r="EN106" s="92"/>
      <c r="EO106" s="92"/>
      <c r="EP106" s="92"/>
      <c r="EQ106" s="92"/>
      <c r="ER106" s="92"/>
      <c r="ES106" s="92"/>
      <c r="ET106" s="92"/>
      <c r="EU106" s="92"/>
      <c r="EV106" s="92"/>
      <c r="EW106" s="92"/>
      <c r="EX106" s="92"/>
      <c r="EY106" s="92"/>
      <c r="EZ106" s="92"/>
      <c r="FA106" s="92"/>
      <c r="FB106" s="92"/>
      <c r="FC106" s="92"/>
      <c r="FD106" s="92"/>
      <c r="FE106" s="92"/>
      <c r="FF106" s="92"/>
      <c r="FG106" s="92"/>
      <c r="FH106" s="92"/>
      <c r="FI106" s="92"/>
      <c r="FJ106" s="92"/>
      <c r="FK106" s="92"/>
      <c r="FL106" s="92"/>
      <c r="FM106" s="92"/>
      <c r="FN106" s="92"/>
      <c r="FO106" s="92"/>
      <c r="FP106" s="92"/>
      <c r="FQ106" s="92"/>
      <c r="FR106" s="92"/>
      <c r="FS106" s="92"/>
      <c r="FT106" s="92"/>
      <c r="FU106" s="92"/>
      <c r="FV106" s="92"/>
      <c r="FW106" s="92"/>
      <c r="FX106" s="92"/>
      <c r="FY106" s="92"/>
      <c r="FZ106" s="92"/>
      <c r="GA106" s="92"/>
      <c r="GB106" s="92"/>
      <c r="GC106" s="92"/>
      <c r="GD106" s="92"/>
      <c r="GE106" s="92"/>
      <c r="GF106" s="92"/>
      <c r="GG106" s="92"/>
      <c r="GH106" s="92"/>
      <c r="GI106" s="92"/>
      <c r="GJ106" s="92"/>
      <c r="GK106" s="92"/>
      <c r="GL106" s="92"/>
      <c r="GM106" s="92"/>
      <c r="GN106" s="92"/>
      <c r="GO106" s="92"/>
      <c r="GP106" s="92"/>
      <c r="GQ106" s="92"/>
      <c r="GR106" s="92"/>
      <c r="GS106" s="92"/>
      <c r="GT106" s="92"/>
      <c r="GU106" s="92"/>
      <c r="GV106" s="92"/>
      <c r="GW106" s="92"/>
      <c r="GX106" s="92"/>
      <c r="GY106" s="92"/>
      <c r="GZ106" s="92"/>
      <c r="HA106" s="92"/>
      <c r="HB106" s="92"/>
      <c r="HC106" s="92"/>
      <c r="HD106" s="92"/>
      <c r="HE106" s="92"/>
      <c r="HF106" s="92"/>
      <c r="HG106" s="92"/>
      <c r="HH106" s="92"/>
      <c r="HI106" s="92"/>
      <c r="HJ106" s="92"/>
      <c r="HK106" s="92"/>
      <c r="HL106" s="92"/>
      <c r="HM106" s="92"/>
      <c r="HN106" s="92"/>
      <c r="HO106" s="92"/>
      <c r="HP106" s="92"/>
      <c r="HQ106" s="92"/>
      <c r="HR106" s="92"/>
      <c r="HS106" s="92"/>
      <c r="HT106" s="92"/>
      <c r="HU106" s="92"/>
      <c r="HV106" s="92"/>
      <c r="HW106" s="92"/>
      <c r="HX106" s="92"/>
      <c r="HY106" s="92"/>
      <c r="HZ106" s="92"/>
      <c r="IA106" s="92"/>
      <c r="IB106" s="92"/>
      <c r="IC106" s="92"/>
      <c r="ID106" s="92"/>
      <c r="IE106" s="92"/>
      <c r="IF106" s="92"/>
      <c r="IG106" s="92"/>
      <c r="IH106" s="92"/>
      <c r="II106" s="92"/>
      <c r="IJ106" s="92"/>
      <c r="IK106" s="92"/>
      <c r="IL106" s="92"/>
      <c r="IM106" s="92"/>
      <c r="IN106" s="92"/>
      <c r="IO106" s="92"/>
      <c r="IP106" s="92"/>
      <c r="IQ106" s="92"/>
      <c r="IR106" s="92"/>
      <c r="IS106" s="92"/>
      <c r="IT106" s="92"/>
      <c r="IU106" s="92"/>
      <c r="IV106" s="92"/>
      <c r="IW106" s="92"/>
      <c r="IX106" s="92"/>
      <c r="IY106" s="92"/>
      <c r="IZ106" s="92"/>
      <c r="JA106" s="92"/>
      <c r="JB106" s="92"/>
      <c r="JC106" s="92"/>
      <c r="JD106" s="92"/>
      <c r="JE106" s="92"/>
      <c r="JF106" s="92"/>
      <c r="JG106" s="92"/>
      <c r="JH106" s="92"/>
      <c r="JI106" s="92"/>
      <c r="JJ106" s="92"/>
      <c r="JK106" s="92"/>
      <c r="JL106" s="92"/>
      <c r="JM106" s="92"/>
      <c r="JN106" s="92"/>
      <c r="JO106" s="92"/>
      <c r="JP106" s="92"/>
      <c r="JQ106" s="92"/>
      <c r="JR106" s="92"/>
      <c r="JS106" s="92"/>
      <c r="JT106" s="92"/>
      <c r="JU106" s="92"/>
      <c r="JV106" s="92"/>
      <c r="JW106" s="92"/>
      <c r="JX106" s="92"/>
      <c r="JY106" s="92"/>
      <c r="JZ106" s="92"/>
      <c r="KA106" s="92"/>
      <c r="KB106" s="92"/>
      <c r="KC106" s="92"/>
      <c r="KD106" s="92"/>
      <c r="KE106" s="92"/>
      <c r="KF106" s="92"/>
      <c r="KG106" s="92"/>
      <c r="KH106" s="92"/>
      <c r="KI106" s="92"/>
      <c r="KJ106" s="92"/>
      <c r="KK106" s="92"/>
      <c r="KL106" s="92"/>
      <c r="KM106" s="92"/>
      <c r="KN106" s="92"/>
      <c r="KO106" s="92"/>
      <c r="KP106" s="92"/>
      <c r="KQ106" s="88"/>
      <c r="KR106" s="92"/>
      <c r="KS106" s="92"/>
      <c r="KT106" s="92"/>
      <c r="KU106" s="93"/>
      <c r="KV106" s="92"/>
      <c r="KW106" s="93"/>
      <c r="KX106" s="92"/>
      <c r="KY106" s="93"/>
      <c r="KZ106" s="92"/>
      <c r="LA106" s="93"/>
      <c r="LB106" s="92"/>
      <c r="LC106" s="93"/>
      <c r="LD106" s="92"/>
      <c r="LE106" s="93"/>
      <c r="LF106" s="92"/>
      <c r="LG106" s="92"/>
      <c r="LH106" s="92"/>
      <c r="LI106" s="92"/>
      <c r="LJ106" s="92"/>
      <c r="LK106" s="92"/>
      <c r="LL106" s="92"/>
      <c r="LM106" s="92"/>
      <c r="LN106" s="92"/>
      <c r="LO106" s="92"/>
      <c r="LP106" s="88"/>
      <c r="LQ106" s="93"/>
      <c r="LR106" s="88"/>
      <c r="LS106" s="93"/>
      <c r="LT106" s="93"/>
      <c r="LU106" s="93"/>
      <c r="LV106" s="93"/>
      <c r="LW106" s="93"/>
      <c r="LX106" s="93"/>
      <c r="LY106" s="93"/>
      <c r="LZ106" s="93"/>
      <c r="MA106" s="93"/>
      <c r="MB106" s="93"/>
      <c r="MC106" s="94"/>
      <c r="MD106" s="94"/>
      <c r="ME106" s="94"/>
      <c r="MF106" s="94"/>
      <c r="MG106" s="94"/>
      <c r="MH106" s="94"/>
      <c r="MI106" s="94"/>
      <c r="MJ106" s="94"/>
      <c r="MK106" s="94"/>
      <c r="ML106" s="94"/>
      <c r="MM106" s="94"/>
      <c r="MN106" s="94"/>
      <c r="MO106" s="95"/>
      <c r="MP106" s="95"/>
      <c r="MQ106" s="94"/>
      <c r="MR106" s="94"/>
      <c r="MS106" s="94"/>
      <c r="MT106" s="94"/>
      <c r="MU106" s="94"/>
      <c r="MV106" s="94"/>
      <c r="MW106" s="94"/>
      <c r="MX106" s="94"/>
      <c r="MY106" s="94"/>
      <c r="MZ106" s="94"/>
      <c r="NA106" s="94"/>
      <c r="NB106" s="94"/>
      <c r="NC106" s="94"/>
      <c r="ND106" s="94"/>
      <c r="NE106" s="94"/>
      <c r="NF106" s="94"/>
      <c r="NG106" s="94"/>
      <c r="NH106" s="94"/>
      <c r="NI106" s="94"/>
      <c r="NJ106" s="94"/>
    </row>
    <row r="107" spans="1:374" x14ac:dyDescent="0.25">
      <c r="A107" s="88"/>
      <c r="B107" s="88"/>
      <c r="C107" s="88"/>
      <c r="D107" s="88"/>
      <c r="E107" s="89"/>
      <c r="F107" s="88"/>
      <c r="G107" s="88"/>
      <c r="H107" s="88" t="str">
        <f t="shared" si="195"/>
        <v xml:space="preserve">  </v>
      </c>
      <c r="I107" s="88"/>
      <c r="J107" s="88"/>
      <c r="K107" s="88"/>
      <c r="L107" s="88"/>
      <c r="M107" s="88"/>
      <c r="N107" s="88"/>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1"/>
      <c r="AR107" s="75"/>
      <c r="AS107" s="91"/>
      <c r="AT107" s="91"/>
      <c r="AU107" s="90"/>
      <c r="AV107" s="91"/>
      <c r="AW107" s="91"/>
      <c r="AX107" s="91"/>
      <c r="AY107" s="91"/>
      <c r="AZ107" s="91"/>
      <c r="BA107" s="91"/>
      <c r="BB107" s="90"/>
      <c r="BC107" s="91"/>
      <c r="BD107" s="75"/>
      <c r="BE107" s="91"/>
      <c r="BF107" s="91"/>
      <c r="BG107" s="90"/>
      <c r="BH107" s="91"/>
      <c r="BI107" s="91"/>
      <c r="BJ107" s="91"/>
      <c r="BK107" s="91"/>
      <c r="BL107" s="91"/>
      <c r="BM107" s="91"/>
      <c r="BN107" s="90"/>
      <c r="BO107" s="91"/>
      <c r="BP107" s="75"/>
      <c r="BQ107" s="91"/>
      <c r="BR107" s="91"/>
      <c r="BS107" s="90"/>
      <c r="BT107" s="91"/>
      <c r="BU107" s="91"/>
      <c r="BV107" s="91"/>
      <c r="BW107" s="91"/>
      <c r="BX107" s="91"/>
      <c r="BY107" s="91"/>
      <c r="BZ107" s="90"/>
      <c r="CA107" s="91"/>
      <c r="CB107" s="75"/>
      <c r="CC107" s="91"/>
      <c r="CD107" s="91"/>
      <c r="CE107" s="90"/>
      <c r="CF107" s="91"/>
      <c r="CG107" s="91"/>
      <c r="CH107" s="91"/>
      <c r="CI107" s="91"/>
      <c r="CJ107" s="91"/>
      <c r="CK107" s="91"/>
      <c r="CL107" s="90"/>
      <c r="CM107" s="91"/>
      <c r="CN107" s="75"/>
      <c r="CO107" s="91"/>
      <c r="CP107" s="91"/>
      <c r="CQ107" s="90"/>
      <c r="CR107" s="91"/>
      <c r="CS107" s="91"/>
      <c r="CT107" s="91"/>
      <c r="CU107" s="91"/>
      <c r="CV107" s="91"/>
      <c r="CW107" s="91"/>
      <c r="CX107" s="90"/>
      <c r="CY107" s="91"/>
      <c r="CZ107" s="75"/>
      <c r="DA107" s="91"/>
      <c r="DB107" s="91"/>
      <c r="DC107" s="90"/>
      <c r="DD107" s="91"/>
      <c r="DE107" s="91"/>
      <c r="DF107" s="91"/>
      <c r="DG107" s="91"/>
      <c r="DH107" s="91"/>
      <c r="DI107" s="91"/>
      <c r="DJ107" s="90"/>
      <c r="DK107" s="91"/>
      <c r="DL107" s="75"/>
      <c r="DM107" s="75"/>
      <c r="DN107" s="75">
        <f t="shared" si="194"/>
        <v>0</v>
      </c>
      <c r="DO107" s="75" t="str">
        <f t="shared" si="196"/>
        <v/>
      </c>
      <c r="DP107" s="91" t="str">
        <f>IFERROR(#REF!/#REF!*1000,"")</f>
        <v/>
      </c>
      <c r="DQ107" s="91" t="str">
        <f>IFERROR(#REF!/#REF!*1000,"")</f>
        <v/>
      </c>
      <c r="DR107" s="90"/>
      <c r="DS107" s="91" t="str">
        <f>IFERROR(#REF!/#REF!*1000,"")</f>
        <v/>
      </c>
      <c r="DT107" s="91" t="str">
        <f>IFERROR(#REF!/#REF!*1000,"")</f>
        <v/>
      </c>
      <c r="DU107" s="91"/>
      <c r="DV107" s="91"/>
      <c r="DW107" s="91"/>
      <c r="DX107" s="91"/>
      <c r="DY107" s="90"/>
      <c r="DZ107" s="91"/>
      <c r="EA107" s="75"/>
      <c r="EB107" s="91"/>
      <c r="EC107" s="91"/>
      <c r="ED107" s="90"/>
      <c r="EE107" s="91"/>
      <c r="EF107" s="91"/>
      <c r="EG107" s="91"/>
      <c r="EH107" s="91"/>
      <c r="EI107" s="91"/>
      <c r="EJ107" s="91"/>
      <c r="EK107" s="90"/>
      <c r="EL107" s="90"/>
      <c r="EM107" s="88"/>
      <c r="EN107" s="92"/>
      <c r="EO107" s="92"/>
      <c r="EP107" s="92"/>
      <c r="EQ107" s="92"/>
      <c r="ER107" s="92"/>
      <c r="ES107" s="92"/>
      <c r="ET107" s="92"/>
      <c r="EU107" s="92"/>
      <c r="EV107" s="92"/>
      <c r="EW107" s="92"/>
      <c r="EX107" s="92"/>
      <c r="EY107" s="92"/>
      <c r="EZ107" s="92"/>
      <c r="FA107" s="92"/>
      <c r="FB107" s="92"/>
      <c r="FC107" s="92"/>
      <c r="FD107" s="92"/>
      <c r="FE107" s="92"/>
      <c r="FF107" s="92"/>
      <c r="FG107" s="92"/>
      <c r="FH107" s="92"/>
      <c r="FI107" s="92"/>
      <c r="FJ107" s="92"/>
      <c r="FK107" s="92"/>
      <c r="FL107" s="92"/>
      <c r="FM107" s="92"/>
      <c r="FN107" s="92"/>
      <c r="FO107" s="92"/>
      <c r="FP107" s="92"/>
      <c r="FQ107" s="92"/>
      <c r="FR107" s="92"/>
      <c r="FS107" s="92"/>
      <c r="FT107" s="92"/>
      <c r="FU107" s="92"/>
      <c r="FV107" s="92"/>
      <c r="FW107" s="92"/>
      <c r="FX107" s="92"/>
      <c r="FY107" s="92"/>
      <c r="FZ107" s="92"/>
      <c r="GA107" s="92"/>
      <c r="GB107" s="92"/>
      <c r="GC107" s="92"/>
      <c r="GD107" s="92"/>
      <c r="GE107" s="92"/>
      <c r="GF107" s="92"/>
      <c r="GG107" s="92"/>
      <c r="GH107" s="92"/>
      <c r="GI107" s="92"/>
      <c r="GJ107" s="92"/>
      <c r="GK107" s="92"/>
      <c r="GL107" s="92"/>
      <c r="GM107" s="92"/>
      <c r="GN107" s="92"/>
      <c r="GO107" s="92"/>
      <c r="GP107" s="92"/>
      <c r="GQ107" s="92"/>
      <c r="GR107" s="92"/>
      <c r="GS107" s="92"/>
      <c r="GT107" s="92"/>
      <c r="GU107" s="92"/>
      <c r="GV107" s="92"/>
      <c r="GW107" s="92"/>
      <c r="GX107" s="92"/>
      <c r="GY107" s="92"/>
      <c r="GZ107" s="92"/>
      <c r="HA107" s="92"/>
      <c r="HB107" s="92"/>
      <c r="HC107" s="92"/>
      <c r="HD107" s="92"/>
      <c r="HE107" s="92"/>
      <c r="HF107" s="92"/>
      <c r="HG107" s="92"/>
      <c r="HH107" s="92"/>
      <c r="HI107" s="92"/>
      <c r="HJ107" s="92"/>
      <c r="HK107" s="92"/>
      <c r="HL107" s="92"/>
      <c r="HM107" s="92"/>
      <c r="HN107" s="92"/>
      <c r="HO107" s="92"/>
      <c r="HP107" s="92"/>
      <c r="HQ107" s="92"/>
      <c r="HR107" s="92"/>
      <c r="HS107" s="92"/>
      <c r="HT107" s="92"/>
      <c r="HU107" s="92"/>
      <c r="HV107" s="92"/>
      <c r="HW107" s="92"/>
      <c r="HX107" s="92"/>
      <c r="HY107" s="92"/>
      <c r="HZ107" s="92"/>
      <c r="IA107" s="92"/>
      <c r="IB107" s="92"/>
      <c r="IC107" s="92"/>
      <c r="ID107" s="92"/>
      <c r="IE107" s="92"/>
      <c r="IF107" s="92"/>
      <c r="IG107" s="92"/>
      <c r="IH107" s="92"/>
      <c r="II107" s="92"/>
      <c r="IJ107" s="92"/>
      <c r="IK107" s="92"/>
      <c r="IL107" s="92"/>
      <c r="IM107" s="92"/>
      <c r="IN107" s="92"/>
      <c r="IO107" s="92"/>
      <c r="IP107" s="92"/>
      <c r="IQ107" s="92"/>
      <c r="IR107" s="92"/>
      <c r="IS107" s="92"/>
      <c r="IT107" s="92"/>
      <c r="IU107" s="92"/>
      <c r="IV107" s="92"/>
      <c r="IW107" s="92"/>
      <c r="IX107" s="92"/>
      <c r="IY107" s="92"/>
      <c r="IZ107" s="92"/>
      <c r="JA107" s="92"/>
      <c r="JB107" s="92"/>
      <c r="JC107" s="92"/>
      <c r="JD107" s="92"/>
      <c r="JE107" s="92"/>
      <c r="JF107" s="92"/>
      <c r="JG107" s="92"/>
      <c r="JH107" s="92"/>
      <c r="JI107" s="92"/>
      <c r="JJ107" s="92"/>
      <c r="JK107" s="92"/>
      <c r="JL107" s="92"/>
      <c r="JM107" s="92"/>
      <c r="JN107" s="92"/>
      <c r="JO107" s="92"/>
      <c r="JP107" s="92"/>
      <c r="JQ107" s="92"/>
      <c r="JR107" s="92"/>
      <c r="JS107" s="92"/>
      <c r="JT107" s="92"/>
      <c r="JU107" s="92"/>
      <c r="JV107" s="92"/>
      <c r="JW107" s="92"/>
      <c r="JX107" s="92"/>
      <c r="JY107" s="92"/>
      <c r="JZ107" s="92"/>
      <c r="KA107" s="92"/>
      <c r="KB107" s="92"/>
      <c r="KC107" s="92"/>
      <c r="KD107" s="92"/>
      <c r="KE107" s="92"/>
      <c r="KF107" s="92"/>
      <c r="KG107" s="92"/>
      <c r="KH107" s="92"/>
      <c r="KI107" s="92"/>
      <c r="KJ107" s="92"/>
      <c r="KK107" s="92"/>
      <c r="KL107" s="92"/>
      <c r="KM107" s="92"/>
      <c r="KN107" s="92"/>
      <c r="KO107" s="92"/>
      <c r="KP107" s="92"/>
      <c r="KQ107" s="88"/>
      <c r="KR107" s="92"/>
      <c r="KS107" s="92"/>
      <c r="KT107" s="92"/>
      <c r="KU107" s="93"/>
      <c r="KV107" s="92"/>
      <c r="KW107" s="93"/>
      <c r="KX107" s="92"/>
      <c r="KY107" s="93"/>
      <c r="KZ107" s="92"/>
      <c r="LA107" s="93"/>
      <c r="LB107" s="92"/>
      <c r="LC107" s="93"/>
      <c r="LD107" s="92"/>
      <c r="LE107" s="93"/>
      <c r="LF107" s="92"/>
      <c r="LG107" s="92"/>
      <c r="LH107" s="92"/>
      <c r="LI107" s="92"/>
      <c r="LJ107" s="92"/>
      <c r="LK107" s="92"/>
      <c r="LL107" s="92"/>
      <c r="LM107" s="92"/>
      <c r="LN107" s="92"/>
      <c r="LO107" s="92"/>
      <c r="LP107" s="88"/>
      <c r="LQ107" s="93"/>
      <c r="LR107" s="88"/>
      <c r="LS107" s="93"/>
      <c r="LT107" s="93"/>
      <c r="LU107" s="93"/>
      <c r="LV107" s="93"/>
      <c r="LW107" s="93"/>
      <c r="LX107" s="93"/>
      <c r="LY107" s="93"/>
      <c r="LZ107" s="93"/>
      <c r="MA107" s="93"/>
      <c r="MB107" s="93"/>
      <c r="MC107" s="94"/>
      <c r="MD107" s="94"/>
      <c r="ME107" s="94"/>
      <c r="MF107" s="94"/>
      <c r="MG107" s="94"/>
      <c r="MH107" s="94"/>
      <c r="MI107" s="94"/>
      <c r="MJ107" s="94"/>
      <c r="MK107" s="94"/>
      <c r="ML107" s="94"/>
      <c r="MM107" s="94"/>
      <c r="MN107" s="94"/>
      <c r="MO107" s="95"/>
      <c r="MP107" s="95"/>
      <c r="MQ107" s="94"/>
      <c r="MR107" s="94"/>
      <c r="MS107" s="94"/>
      <c r="MT107" s="94"/>
      <c r="MU107" s="94"/>
      <c r="MV107" s="94"/>
      <c r="MW107" s="94"/>
      <c r="MX107" s="94"/>
      <c r="MY107" s="94"/>
      <c r="MZ107" s="94"/>
      <c r="NA107" s="94"/>
      <c r="NB107" s="94"/>
      <c r="NC107" s="94"/>
      <c r="ND107" s="94"/>
      <c r="NE107" s="94"/>
      <c r="NF107" s="94"/>
      <c r="NG107" s="94"/>
      <c r="NH107" s="94"/>
      <c r="NI107" s="94"/>
      <c r="NJ107" s="94"/>
    </row>
    <row r="108" spans="1:374" x14ac:dyDescent="0.25">
      <c r="A108" s="88"/>
      <c r="B108" s="88"/>
      <c r="C108" s="88"/>
      <c r="D108" s="88"/>
      <c r="E108" s="89"/>
      <c r="F108" s="88"/>
      <c r="G108" s="88"/>
      <c r="H108" s="88" t="str">
        <f t="shared" si="195"/>
        <v xml:space="preserve">  </v>
      </c>
      <c r="I108" s="88"/>
      <c r="J108" s="88"/>
      <c r="K108" s="88"/>
      <c r="L108" s="88"/>
      <c r="M108" s="88"/>
      <c r="N108" s="88"/>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1"/>
      <c r="AR108" s="75"/>
      <c r="AS108" s="91"/>
      <c r="AT108" s="91"/>
      <c r="AU108" s="90"/>
      <c r="AV108" s="91"/>
      <c r="AW108" s="91"/>
      <c r="AX108" s="91"/>
      <c r="AY108" s="91"/>
      <c r="AZ108" s="91"/>
      <c r="BA108" s="91"/>
      <c r="BB108" s="90"/>
      <c r="BC108" s="91"/>
      <c r="BD108" s="75"/>
      <c r="BE108" s="91"/>
      <c r="BF108" s="91"/>
      <c r="BG108" s="90"/>
      <c r="BH108" s="91"/>
      <c r="BI108" s="91"/>
      <c r="BJ108" s="91"/>
      <c r="BK108" s="91"/>
      <c r="BL108" s="91"/>
      <c r="BM108" s="91"/>
      <c r="BN108" s="90"/>
      <c r="BO108" s="91"/>
      <c r="BP108" s="75"/>
      <c r="BQ108" s="91"/>
      <c r="BR108" s="91"/>
      <c r="BS108" s="90"/>
      <c r="BT108" s="91"/>
      <c r="BU108" s="91"/>
      <c r="BV108" s="91"/>
      <c r="BW108" s="91"/>
      <c r="BX108" s="91"/>
      <c r="BY108" s="91"/>
      <c r="BZ108" s="90"/>
      <c r="CA108" s="91"/>
      <c r="CB108" s="75"/>
      <c r="CC108" s="91"/>
      <c r="CD108" s="91"/>
      <c r="CE108" s="90"/>
      <c r="CF108" s="91"/>
      <c r="CG108" s="91"/>
      <c r="CH108" s="91"/>
      <c r="CI108" s="91"/>
      <c r="CJ108" s="91"/>
      <c r="CK108" s="91"/>
      <c r="CL108" s="90"/>
      <c r="CM108" s="91"/>
      <c r="CN108" s="75"/>
      <c r="CO108" s="91"/>
      <c r="CP108" s="91"/>
      <c r="CQ108" s="90"/>
      <c r="CR108" s="91"/>
      <c r="CS108" s="91"/>
      <c r="CT108" s="91"/>
      <c r="CU108" s="91"/>
      <c r="CV108" s="91"/>
      <c r="CW108" s="91"/>
      <c r="CX108" s="90"/>
      <c r="CY108" s="91"/>
      <c r="CZ108" s="75"/>
      <c r="DA108" s="91"/>
      <c r="DB108" s="91"/>
      <c r="DC108" s="90"/>
      <c r="DD108" s="91"/>
      <c r="DE108" s="91"/>
      <c r="DF108" s="91"/>
      <c r="DG108" s="91"/>
      <c r="DH108" s="91"/>
      <c r="DI108" s="91"/>
      <c r="DJ108" s="90"/>
      <c r="DK108" s="91"/>
      <c r="DL108" s="75"/>
      <c r="DM108" s="75"/>
      <c r="DN108" s="75">
        <f t="shared" si="194"/>
        <v>0</v>
      </c>
      <c r="DO108" s="75" t="str">
        <f t="shared" si="196"/>
        <v/>
      </c>
      <c r="DP108" s="91" t="str">
        <f>IFERROR(#REF!/#REF!*1000,"")</f>
        <v/>
      </c>
      <c r="DQ108" s="91" t="str">
        <f>IFERROR(#REF!/#REF!*1000,"")</f>
        <v/>
      </c>
      <c r="DR108" s="90"/>
      <c r="DS108" s="91" t="str">
        <f>IFERROR(#REF!/#REF!*1000,"")</f>
        <v/>
      </c>
      <c r="DT108" s="91" t="str">
        <f>IFERROR(#REF!/#REF!*1000,"")</f>
        <v/>
      </c>
      <c r="DU108" s="91"/>
      <c r="DV108" s="91"/>
      <c r="DW108" s="91"/>
      <c r="DX108" s="91"/>
      <c r="DY108" s="90"/>
      <c r="DZ108" s="91"/>
      <c r="EA108" s="75"/>
      <c r="EB108" s="91"/>
      <c r="EC108" s="91"/>
      <c r="ED108" s="90"/>
      <c r="EE108" s="91"/>
      <c r="EF108" s="91"/>
      <c r="EG108" s="91"/>
      <c r="EH108" s="91"/>
      <c r="EI108" s="91"/>
      <c r="EJ108" s="91"/>
      <c r="EK108" s="90"/>
      <c r="EL108" s="90"/>
      <c r="EM108" s="88"/>
      <c r="EN108" s="92"/>
      <c r="EO108" s="92"/>
      <c r="EP108" s="92"/>
      <c r="EQ108" s="92"/>
      <c r="ER108" s="92"/>
      <c r="ES108" s="92"/>
      <c r="ET108" s="92"/>
      <c r="EU108" s="92"/>
      <c r="EV108" s="92"/>
      <c r="EW108" s="92"/>
      <c r="EX108" s="92"/>
      <c r="EY108" s="92"/>
      <c r="EZ108" s="92"/>
      <c r="FA108" s="92"/>
      <c r="FB108" s="92"/>
      <c r="FC108" s="92"/>
      <c r="FD108" s="92"/>
      <c r="FE108" s="92"/>
      <c r="FF108" s="92"/>
      <c r="FG108" s="92"/>
      <c r="FH108" s="92"/>
      <c r="FI108" s="92"/>
      <c r="FJ108" s="92"/>
      <c r="FK108" s="92"/>
      <c r="FL108" s="92"/>
      <c r="FM108" s="92"/>
      <c r="FN108" s="92"/>
      <c r="FO108" s="92"/>
      <c r="FP108" s="92"/>
      <c r="FQ108" s="92"/>
      <c r="FR108" s="92"/>
      <c r="FS108" s="92"/>
      <c r="FT108" s="92"/>
      <c r="FU108" s="92"/>
      <c r="FV108" s="92"/>
      <c r="FW108" s="92"/>
      <c r="FX108" s="92"/>
      <c r="FY108" s="92"/>
      <c r="FZ108" s="92"/>
      <c r="GA108" s="92"/>
      <c r="GB108" s="92"/>
      <c r="GC108" s="92"/>
      <c r="GD108" s="92"/>
      <c r="GE108" s="92"/>
      <c r="GF108" s="92"/>
      <c r="GG108" s="92"/>
      <c r="GH108" s="92"/>
      <c r="GI108" s="92"/>
      <c r="GJ108" s="92"/>
      <c r="GK108" s="92"/>
      <c r="GL108" s="92"/>
      <c r="GM108" s="92"/>
      <c r="GN108" s="92"/>
      <c r="GO108" s="92"/>
      <c r="GP108" s="92"/>
      <c r="GQ108" s="92"/>
      <c r="GR108" s="92"/>
      <c r="GS108" s="92"/>
      <c r="GT108" s="92"/>
      <c r="GU108" s="92"/>
      <c r="GV108" s="92"/>
      <c r="GW108" s="92"/>
      <c r="GX108" s="92"/>
      <c r="GY108" s="92"/>
      <c r="GZ108" s="92"/>
      <c r="HA108" s="92"/>
      <c r="HB108" s="92"/>
      <c r="HC108" s="92"/>
      <c r="HD108" s="92"/>
      <c r="HE108" s="92"/>
      <c r="HF108" s="92"/>
      <c r="HG108" s="92"/>
      <c r="HH108" s="92"/>
      <c r="HI108" s="92"/>
      <c r="HJ108" s="92"/>
      <c r="HK108" s="92"/>
      <c r="HL108" s="92"/>
      <c r="HM108" s="92"/>
      <c r="HN108" s="92"/>
      <c r="HO108" s="92"/>
      <c r="HP108" s="92"/>
      <c r="HQ108" s="92"/>
      <c r="HR108" s="92"/>
      <c r="HS108" s="92"/>
      <c r="HT108" s="92"/>
      <c r="HU108" s="92"/>
      <c r="HV108" s="92"/>
      <c r="HW108" s="92"/>
      <c r="HX108" s="92"/>
      <c r="HY108" s="92"/>
      <c r="HZ108" s="92"/>
      <c r="IA108" s="92"/>
      <c r="IB108" s="92"/>
      <c r="IC108" s="92"/>
      <c r="ID108" s="92"/>
      <c r="IE108" s="92"/>
      <c r="IF108" s="92"/>
      <c r="IG108" s="92"/>
      <c r="IH108" s="92"/>
      <c r="II108" s="92"/>
      <c r="IJ108" s="92"/>
      <c r="IK108" s="92"/>
      <c r="IL108" s="92"/>
      <c r="IM108" s="92"/>
      <c r="IN108" s="92"/>
      <c r="IO108" s="92"/>
      <c r="IP108" s="92"/>
      <c r="IQ108" s="92"/>
      <c r="IR108" s="92"/>
      <c r="IS108" s="92"/>
      <c r="IT108" s="92"/>
      <c r="IU108" s="92"/>
      <c r="IV108" s="92"/>
      <c r="IW108" s="92"/>
      <c r="IX108" s="92"/>
      <c r="IY108" s="92"/>
      <c r="IZ108" s="92"/>
      <c r="JA108" s="92"/>
      <c r="JB108" s="92"/>
      <c r="JC108" s="92"/>
      <c r="JD108" s="92"/>
      <c r="JE108" s="92"/>
      <c r="JF108" s="92"/>
      <c r="JG108" s="92"/>
      <c r="JH108" s="92"/>
      <c r="JI108" s="92"/>
      <c r="JJ108" s="92"/>
      <c r="JK108" s="92"/>
      <c r="JL108" s="92"/>
      <c r="JM108" s="92"/>
      <c r="JN108" s="92"/>
      <c r="JO108" s="92"/>
      <c r="JP108" s="92"/>
      <c r="JQ108" s="92"/>
      <c r="JR108" s="92"/>
      <c r="JS108" s="92"/>
      <c r="JT108" s="92"/>
      <c r="JU108" s="92"/>
      <c r="JV108" s="92"/>
      <c r="JW108" s="92"/>
      <c r="JX108" s="92"/>
      <c r="JY108" s="92"/>
      <c r="JZ108" s="92"/>
      <c r="KA108" s="92"/>
      <c r="KB108" s="92"/>
      <c r="KC108" s="92"/>
      <c r="KD108" s="92"/>
      <c r="KE108" s="92"/>
      <c r="KF108" s="92"/>
      <c r="KG108" s="92"/>
      <c r="KH108" s="92"/>
      <c r="KI108" s="92"/>
      <c r="KJ108" s="92"/>
      <c r="KK108" s="92"/>
      <c r="KL108" s="92"/>
      <c r="KM108" s="92"/>
      <c r="KN108" s="92"/>
      <c r="KO108" s="92"/>
      <c r="KP108" s="92"/>
      <c r="KQ108" s="88"/>
      <c r="KR108" s="92"/>
      <c r="KS108" s="92"/>
      <c r="KT108" s="92"/>
      <c r="KU108" s="93"/>
      <c r="KV108" s="92"/>
      <c r="KW108" s="93"/>
      <c r="KX108" s="92"/>
      <c r="KY108" s="93"/>
      <c r="KZ108" s="92"/>
      <c r="LA108" s="93"/>
      <c r="LB108" s="92"/>
      <c r="LC108" s="93"/>
      <c r="LD108" s="92"/>
      <c r="LE108" s="93"/>
      <c r="LF108" s="92"/>
      <c r="LG108" s="92"/>
      <c r="LH108" s="92"/>
      <c r="LI108" s="92"/>
      <c r="LJ108" s="92"/>
      <c r="LK108" s="92"/>
      <c r="LL108" s="92"/>
      <c r="LM108" s="92"/>
      <c r="LN108" s="92"/>
      <c r="LO108" s="92"/>
      <c r="LP108" s="88"/>
      <c r="LQ108" s="93"/>
      <c r="LR108" s="88"/>
      <c r="LS108" s="93"/>
      <c r="LT108" s="93"/>
      <c r="LU108" s="93"/>
      <c r="LV108" s="93"/>
      <c r="LW108" s="93"/>
      <c r="LX108" s="93"/>
      <c r="LY108" s="93"/>
      <c r="LZ108" s="93"/>
      <c r="MA108" s="93"/>
      <c r="MB108" s="93"/>
      <c r="MC108" s="94"/>
      <c r="MD108" s="94"/>
      <c r="ME108" s="94"/>
      <c r="MF108" s="94"/>
      <c r="MG108" s="94"/>
      <c r="MH108" s="94"/>
      <c r="MI108" s="94"/>
      <c r="MJ108" s="94"/>
      <c r="MK108" s="94"/>
      <c r="ML108" s="94"/>
      <c r="MM108" s="94"/>
      <c r="MN108" s="94"/>
      <c r="MO108" s="95"/>
      <c r="MP108" s="95"/>
      <c r="MQ108" s="94"/>
      <c r="MR108" s="94"/>
      <c r="MS108" s="94"/>
      <c r="MT108" s="94"/>
      <c r="MU108" s="94"/>
      <c r="MV108" s="94"/>
      <c r="MW108" s="94"/>
      <c r="MX108" s="94"/>
      <c r="MY108" s="94"/>
      <c r="MZ108" s="94"/>
      <c r="NA108" s="94"/>
      <c r="NB108" s="94"/>
      <c r="NC108" s="94"/>
      <c r="ND108" s="94"/>
      <c r="NE108" s="94"/>
      <c r="NF108" s="94"/>
      <c r="NG108" s="94"/>
      <c r="NH108" s="94"/>
      <c r="NI108" s="94"/>
      <c r="NJ108" s="94"/>
    </row>
    <row r="109" spans="1:374" x14ac:dyDescent="0.25">
      <c r="A109" s="88"/>
      <c r="B109" s="88"/>
      <c r="C109" s="88"/>
      <c r="D109" s="88"/>
      <c r="E109" s="89"/>
      <c r="F109" s="88"/>
      <c r="G109" s="88"/>
      <c r="H109" s="88" t="str">
        <f t="shared" si="195"/>
        <v xml:space="preserve">  </v>
      </c>
      <c r="I109" s="88"/>
      <c r="J109" s="88"/>
      <c r="K109" s="88"/>
      <c r="L109" s="88"/>
      <c r="M109" s="88"/>
      <c r="N109" s="88"/>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1"/>
      <c r="AR109" s="75"/>
      <c r="AS109" s="91"/>
      <c r="AT109" s="91"/>
      <c r="AU109" s="90"/>
      <c r="AV109" s="91"/>
      <c r="AW109" s="91"/>
      <c r="AX109" s="91"/>
      <c r="AY109" s="91"/>
      <c r="AZ109" s="91"/>
      <c r="BA109" s="91"/>
      <c r="BB109" s="90"/>
      <c r="BC109" s="91"/>
      <c r="BD109" s="75"/>
      <c r="BE109" s="91"/>
      <c r="BF109" s="91"/>
      <c r="BG109" s="90"/>
      <c r="BH109" s="91"/>
      <c r="BI109" s="91"/>
      <c r="BJ109" s="91"/>
      <c r="BK109" s="91"/>
      <c r="BL109" s="91"/>
      <c r="BM109" s="91"/>
      <c r="BN109" s="90"/>
      <c r="BO109" s="91"/>
      <c r="BP109" s="75"/>
      <c r="BQ109" s="91"/>
      <c r="BR109" s="91"/>
      <c r="BS109" s="90"/>
      <c r="BT109" s="91"/>
      <c r="BU109" s="91"/>
      <c r="BV109" s="91"/>
      <c r="BW109" s="91"/>
      <c r="BX109" s="91"/>
      <c r="BY109" s="91"/>
      <c r="BZ109" s="90"/>
      <c r="CA109" s="91"/>
      <c r="CB109" s="75"/>
      <c r="CC109" s="91"/>
      <c r="CD109" s="91"/>
      <c r="CE109" s="90"/>
      <c r="CF109" s="91"/>
      <c r="CG109" s="91"/>
      <c r="CH109" s="91"/>
      <c r="CI109" s="91"/>
      <c r="CJ109" s="91"/>
      <c r="CK109" s="91"/>
      <c r="CL109" s="90"/>
      <c r="CM109" s="91"/>
      <c r="CN109" s="75"/>
      <c r="CO109" s="91"/>
      <c r="CP109" s="91"/>
      <c r="CQ109" s="90"/>
      <c r="CR109" s="91"/>
      <c r="CS109" s="91"/>
      <c r="CT109" s="91"/>
      <c r="CU109" s="91"/>
      <c r="CV109" s="91"/>
      <c r="CW109" s="91"/>
      <c r="CX109" s="90"/>
      <c r="CY109" s="91"/>
      <c r="CZ109" s="75"/>
      <c r="DA109" s="91"/>
      <c r="DB109" s="91"/>
      <c r="DC109" s="90"/>
      <c r="DD109" s="91"/>
      <c r="DE109" s="91"/>
      <c r="DF109" s="91"/>
      <c r="DG109" s="91"/>
      <c r="DH109" s="91"/>
      <c r="DI109" s="91"/>
      <c r="DJ109" s="90"/>
      <c r="DK109" s="91"/>
      <c r="DL109" s="75"/>
      <c r="DM109" s="75"/>
      <c r="DN109" s="75">
        <f t="shared" si="194"/>
        <v>0</v>
      </c>
      <c r="DO109" s="75" t="str">
        <f t="shared" si="196"/>
        <v/>
      </c>
      <c r="DP109" s="91" t="str">
        <f>IFERROR(#REF!/#REF!*1000,"")</f>
        <v/>
      </c>
      <c r="DQ109" s="91" t="str">
        <f>IFERROR(#REF!/#REF!*1000,"")</f>
        <v/>
      </c>
      <c r="DR109" s="90"/>
      <c r="DS109" s="91" t="str">
        <f>IFERROR(#REF!/#REF!*1000,"")</f>
        <v/>
      </c>
      <c r="DT109" s="91" t="str">
        <f>IFERROR(#REF!/#REF!*1000,"")</f>
        <v/>
      </c>
      <c r="DU109" s="91"/>
      <c r="DV109" s="91"/>
      <c r="DW109" s="91"/>
      <c r="DX109" s="91"/>
      <c r="DY109" s="90"/>
      <c r="DZ109" s="91"/>
      <c r="EA109" s="75"/>
      <c r="EB109" s="91"/>
      <c r="EC109" s="91"/>
      <c r="ED109" s="90"/>
      <c r="EE109" s="91"/>
      <c r="EF109" s="91"/>
      <c r="EG109" s="91"/>
      <c r="EH109" s="91"/>
      <c r="EI109" s="91"/>
      <c r="EJ109" s="91"/>
      <c r="EK109" s="90"/>
      <c r="EL109" s="90"/>
      <c r="EM109" s="88"/>
      <c r="EN109" s="92"/>
      <c r="EO109" s="92"/>
      <c r="EP109" s="92"/>
      <c r="EQ109" s="92"/>
      <c r="ER109" s="92"/>
      <c r="ES109" s="92"/>
      <c r="ET109" s="92"/>
      <c r="EU109" s="92"/>
      <c r="EV109" s="92"/>
      <c r="EW109" s="92"/>
      <c r="EX109" s="92"/>
      <c r="EY109" s="92"/>
      <c r="EZ109" s="92"/>
      <c r="FA109" s="92"/>
      <c r="FB109" s="92"/>
      <c r="FC109" s="92"/>
      <c r="FD109" s="92"/>
      <c r="FE109" s="92"/>
      <c r="FF109" s="92"/>
      <c r="FG109" s="92"/>
      <c r="FH109" s="92"/>
      <c r="FI109" s="92"/>
      <c r="FJ109" s="92"/>
      <c r="FK109" s="92"/>
      <c r="FL109" s="92"/>
      <c r="FM109" s="92"/>
      <c r="FN109" s="92"/>
      <c r="FO109" s="92"/>
      <c r="FP109" s="92"/>
      <c r="FQ109" s="92"/>
      <c r="FR109" s="92"/>
      <c r="FS109" s="92"/>
      <c r="FT109" s="92"/>
      <c r="FU109" s="92"/>
      <c r="FV109" s="92"/>
      <c r="FW109" s="92"/>
      <c r="FX109" s="92"/>
      <c r="FY109" s="92"/>
      <c r="FZ109" s="92"/>
      <c r="GA109" s="92"/>
      <c r="GB109" s="92"/>
      <c r="GC109" s="92"/>
      <c r="GD109" s="92"/>
      <c r="GE109" s="92"/>
      <c r="GF109" s="92"/>
      <c r="GG109" s="92"/>
      <c r="GH109" s="92"/>
      <c r="GI109" s="92"/>
      <c r="GJ109" s="92"/>
      <c r="GK109" s="92"/>
      <c r="GL109" s="92"/>
      <c r="GM109" s="92"/>
      <c r="GN109" s="92"/>
      <c r="GO109" s="92"/>
      <c r="GP109" s="92"/>
      <c r="GQ109" s="92"/>
      <c r="GR109" s="92"/>
      <c r="GS109" s="92"/>
      <c r="GT109" s="92"/>
      <c r="GU109" s="92"/>
      <c r="GV109" s="92"/>
      <c r="GW109" s="92"/>
      <c r="GX109" s="92"/>
      <c r="GY109" s="92"/>
      <c r="GZ109" s="92"/>
      <c r="HA109" s="92"/>
      <c r="HB109" s="92"/>
      <c r="HC109" s="92"/>
      <c r="HD109" s="92"/>
      <c r="HE109" s="92"/>
      <c r="HF109" s="92"/>
      <c r="HG109" s="92"/>
      <c r="HH109" s="92"/>
      <c r="HI109" s="92"/>
      <c r="HJ109" s="92"/>
      <c r="HK109" s="92"/>
      <c r="HL109" s="92"/>
      <c r="HM109" s="92"/>
      <c r="HN109" s="92"/>
      <c r="HO109" s="92"/>
      <c r="HP109" s="92"/>
      <c r="HQ109" s="92"/>
      <c r="HR109" s="92"/>
      <c r="HS109" s="92"/>
      <c r="HT109" s="92"/>
      <c r="HU109" s="92"/>
      <c r="HV109" s="92"/>
      <c r="HW109" s="92"/>
      <c r="HX109" s="92"/>
      <c r="HY109" s="92"/>
      <c r="HZ109" s="92"/>
      <c r="IA109" s="92"/>
      <c r="IB109" s="92"/>
      <c r="IC109" s="92"/>
      <c r="ID109" s="92"/>
      <c r="IE109" s="92"/>
      <c r="IF109" s="92"/>
      <c r="IG109" s="92"/>
      <c r="IH109" s="92"/>
      <c r="II109" s="92"/>
      <c r="IJ109" s="92"/>
      <c r="IK109" s="92"/>
      <c r="IL109" s="92"/>
      <c r="IM109" s="92"/>
      <c r="IN109" s="92"/>
      <c r="IO109" s="92"/>
      <c r="IP109" s="92"/>
      <c r="IQ109" s="92"/>
      <c r="IR109" s="92"/>
      <c r="IS109" s="92"/>
      <c r="IT109" s="92"/>
      <c r="IU109" s="92"/>
      <c r="IV109" s="92"/>
      <c r="IW109" s="92"/>
      <c r="IX109" s="92"/>
      <c r="IY109" s="92"/>
      <c r="IZ109" s="92"/>
      <c r="JA109" s="92"/>
      <c r="JB109" s="92"/>
      <c r="JC109" s="92"/>
      <c r="JD109" s="92"/>
      <c r="JE109" s="92"/>
      <c r="JF109" s="92"/>
      <c r="JG109" s="92"/>
      <c r="JH109" s="92"/>
      <c r="JI109" s="92"/>
      <c r="JJ109" s="92"/>
      <c r="JK109" s="92"/>
      <c r="JL109" s="92"/>
      <c r="JM109" s="92"/>
      <c r="JN109" s="92"/>
      <c r="JO109" s="92"/>
      <c r="JP109" s="92"/>
      <c r="JQ109" s="92"/>
      <c r="JR109" s="92"/>
      <c r="JS109" s="92"/>
      <c r="JT109" s="92"/>
      <c r="JU109" s="92"/>
      <c r="JV109" s="92"/>
      <c r="JW109" s="92"/>
      <c r="JX109" s="92"/>
      <c r="JY109" s="92"/>
      <c r="JZ109" s="92"/>
      <c r="KA109" s="92"/>
      <c r="KB109" s="92"/>
      <c r="KC109" s="92"/>
      <c r="KD109" s="92"/>
      <c r="KE109" s="92"/>
      <c r="KF109" s="92"/>
      <c r="KG109" s="92"/>
      <c r="KH109" s="92"/>
      <c r="KI109" s="92"/>
      <c r="KJ109" s="92"/>
      <c r="KK109" s="92"/>
      <c r="KL109" s="92"/>
      <c r="KM109" s="92"/>
      <c r="KN109" s="92"/>
      <c r="KO109" s="92"/>
      <c r="KP109" s="92"/>
      <c r="KQ109" s="88"/>
      <c r="KR109" s="92"/>
      <c r="KS109" s="92"/>
      <c r="KT109" s="92"/>
      <c r="KU109" s="93"/>
      <c r="KV109" s="92"/>
      <c r="KW109" s="93"/>
      <c r="KX109" s="92"/>
      <c r="KY109" s="93"/>
      <c r="KZ109" s="92"/>
      <c r="LA109" s="93"/>
      <c r="LB109" s="92"/>
      <c r="LC109" s="93"/>
      <c r="LD109" s="92"/>
      <c r="LE109" s="93"/>
      <c r="LF109" s="92"/>
      <c r="LG109" s="92"/>
      <c r="LH109" s="92"/>
      <c r="LI109" s="92"/>
      <c r="LJ109" s="92"/>
      <c r="LK109" s="92"/>
      <c r="LL109" s="92"/>
      <c r="LM109" s="92"/>
      <c r="LN109" s="92"/>
      <c r="LO109" s="92"/>
      <c r="LP109" s="88"/>
      <c r="LQ109" s="93"/>
      <c r="LR109" s="88"/>
      <c r="LS109" s="93"/>
      <c r="LT109" s="93"/>
      <c r="LU109" s="93"/>
      <c r="LV109" s="93"/>
      <c r="LW109" s="93"/>
      <c r="LX109" s="93"/>
      <c r="LY109" s="93"/>
      <c r="LZ109" s="93"/>
      <c r="MA109" s="93"/>
      <c r="MB109" s="93"/>
      <c r="MC109" s="94"/>
      <c r="MD109" s="94"/>
      <c r="ME109" s="94"/>
      <c r="MF109" s="94"/>
      <c r="MG109" s="94"/>
      <c r="MH109" s="94"/>
      <c r="MI109" s="94"/>
      <c r="MJ109" s="94"/>
      <c r="MK109" s="94"/>
      <c r="ML109" s="94"/>
      <c r="MM109" s="94"/>
      <c r="MN109" s="94"/>
      <c r="MO109" s="95"/>
      <c r="MP109" s="95"/>
      <c r="MQ109" s="94"/>
      <c r="MR109" s="94"/>
      <c r="MS109" s="94"/>
      <c r="MT109" s="94"/>
      <c r="MU109" s="94"/>
      <c r="MV109" s="94"/>
      <c r="MW109" s="94"/>
      <c r="MX109" s="94"/>
      <c r="MY109" s="94"/>
      <c r="MZ109" s="94"/>
      <c r="NA109" s="94"/>
      <c r="NB109" s="94"/>
      <c r="NC109" s="94"/>
      <c r="ND109" s="94"/>
      <c r="NE109" s="94"/>
      <c r="NF109" s="94"/>
      <c r="NG109" s="94"/>
      <c r="NH109" s="94"/>
      <c r="NI109" s="94"/>
      <c r="NJ109" s="94"/>
    </row>
    <row r="110" spans="1:374" x14ac:dyDescent="0.25">
      <c r="A110" s="88"/>
      <c r="B110" s="88"/>
      <c r="C110" s="88"/>
      <c r="D110" s="88"/>
      <c r="E110" s="89"/>
      <c r="F110" s="88"/>
      <c r="G110" s="88"/>
      <c r="H110" s="88" t="str">
        <f t="shared" si="195"/>
        <v xml:space="preserve">  </v>
      </c>
      <c r="I110" s="88"/>
      <c r="J110" s="88"/>
      <c r="K110" s="88"/>
      <c r="L110" s="88"/>
      <c r="M110" s="88"/>
      <c r="N110" s="88"/>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1"/>
      <c r="AR110" s="75"/>
      <c r="AS110" s="91"/>
      <c r="AT110" s="91"/>
      <c r="AU110" s="90"/>
      <c r="AV110" s="91"/>
      <c r="AW110" s="91"/>
      <c r="AX110" s="91"/>
      <c r="AY110" s="91"/>
      <c r="AZ110" s="91"/>
      <c r="BA110" s="91"/>
      <c r="BB110" s="90"/>
      <c r="BC110" s="91"/>
      <c r="BD110" s="75"/>
      <c r="BE110" s="91"/>
      <c r="BF110" s="91"/>
      <c r="BG110" s="90"/>
      <c r="BH110" s="91"/>
      <c r="BI110" s="91"/>
      <c r="BJ110" s="91"/>
      <c r="BK110" s="91"/>
      <c r="BL110" s="91"/>
      <c r="BM110" s="91"/>
      <c r="BN110" s="90"/>
      <c r="BO110" s="91"/>
      <c r="BP110" s="75"/>
      <c r="BQ110" s="91"/>
      <c r="BR110" s="91"/>
      <c r="BS110" s="90"/>
      <c r="BT110" s="91"/>
      <c r="BU110" s="91"/>
      <c r="BV110" s="91"/>
      <c r="BW110" s="91"/>
      <c r="BX110" s="91"/>
      <c r="BY110" s="91"/>
      <c r="BZ110" s="90"/>
      <c r="CA110" s="91"/>
      <c r="CB110" s="75"/>
      <c r="CC110" s="91"/>
      <c r="CD110" s="91"/>
      <c r="CE110" s="90"/>
      <c r="CF110" s="91"/>
      <c r="CG110" s="91"/>
      <c r="CH110" s="91"/>
      <c r="CI110" s="91"/>
      <c r="CJ110" s="91"/>
      <c r="CK110" s="91"/>
      <c r="CL110" s="90"/>
      <c r="CM110" s="91"/>
      <c r="CN110" s="75"/>
      <c r="CO110" s="91"/>
      <c r="CP110" s="91"/>
      <c r="CQ110" s="90"/>
      <c r="CR110" s="91"/>
      <c r="CS110" s="91"/>
      <c r="CT110" s="91"/>
      <c r="CU110" s="91"/>
      <c r="CV110" s="91"/>
      <c r="CW110" s="91"/>
      <c r="CX110" s="90"/>
      <c r="CY110" s="91"/>
      <c r="CZ110" s="75"/>
      <c r="DA110" s="91"/>
      <c r="DB110" s="91"/>
      <c r="DC110" s="90"/>
      <c r="DD110" s="91"/>
      <c r="DE110" s="91"/>
      <c r="DF110" s="91"/>
      <c r="DG110" s="91"/>
      <c r="DH110" s="91"/>
      <c r="DI110" s="91"/>
      <c r="DJ110" s="90"/>
      <c r="DK110" s="91"/>
      <c r="DL110" s="75"/>
      <c r="DM110" s="75"/>
      <c r="DN110" s="75">
        <f t="shared" si="194"/>
        <v>0</v>
      </c>
      <c r="DO110" s="75" t="str">
        <f t="shared" si="196"/>
        <v/>
      </c>
      <c r="DP110" s="91" t="str">
        <f>IFERROR(#REF!/#REF!*1000,"")</f>
        <v/>
      </c>
      <c r="DQ110" s="91" t="str">
        <f>IFERROR(#REF!/#REF!*1000,"")</f>
        <v/>
      </c>
      <c r="DR110" s="90"/>
      <c r="DS110" s="91" t="str">
        <f>IFERROR(#REF!/#REF!*1000,"")</f>
        <v/>
      </c>
      <c r="DT110" s="91" t="str">
        <f>IFERROR(#REF!/#REF!*1000,"")</f>
        <v/>
      </c>
      <c r="DU110" s="91"/>
      <c r="DV110" s="91"/>
      <c r="DW110" s="91"/>
      <c r="DX110" s="91"/>
      <c r="DY110" s="90"/>
      <c r="DZ110" s="91"/>
      <c r="EA110" s="75"/>
      <c r="EB110" s="91"/>
      <c r="EC110" s="91"/>
      <c r="ED110" s="90"/>
      <c r="EE110" s="91"/>
      <c r="EF110" s="91"/>
      <c r="EG110" s="91"/>
      <c r="EH110" s="91"/>
      <c r="EI110" s="91"/>
      <c r="EJ110" s="91"/>
      <c r="EK110" s="90"/>
      <c r="EL110" s="90"/>
      <c r="EM110" s="88"/>
      <c r="EN110" s="92"/>
      <c r="EO110" s="92"/>
      <c r="EP110" s="92"/>
      <c r="EQ110" s="92"/>
      <c r="ER110" s="92"/>
      <c r="ES110" s="92"/>
      <c r="ET110" s="92"/>
      <c r="EU110" s="92"/>
      <c r="EV110" s="92"/>
      <c r="EW110" s="92"/>
      <c r="EX110" s="92"/>
      <c r="EY110" s="92"/>
      <c r="EZ110" s="92"/>
      <c r="FA110" s="92"/>
      <c r="FB110" s="92"/>
      <c r="FC110" s="92"/>
      <c r="FD110" s="92"/>
      <c r="FE110" s="92"/>
      <c r="FF110" s="92"/>
      <c r="FG110" s="92"/>
      <c r="FH110" s="92"/>
      <c r="FI110" s="92"/>
      <c r="FJ110" s="92"/>
      <c r="FK110" s="92"/>
      <c r="FL110" s="92"/>
      <c r="FM110" s="92"/>
      <c r="FN110" s="92"/>
      <c r="FO110" s="92"/>
      <c r="FP110" s="92"/>
      <c r="FQ110" s="92"/>
      <c r="FR110" s="92"/>
      <c r="FS110" s="92"/>
      <c r="FT110" s="92"/>
      <c r="FU110" s="92"/>
      <c r="FV110" s="92"/>
      <c r="FW110" s="92"/>
      <c r="FX110" s="92"/>
      <c r="FY110" s="92"/>
      <c r="FZ110" s="92"/>
      <c r="GA110" s="92"/>
      <c r="GB110" s="92"/>
      <c r="GC110" s="92"/>
      <c r="GD110" s="92"/>
      <c r="GE110" s="92"/>
      <c r="GF110" s="92"/>
      <c r="GG110" s="92"/>
      <c r="GH110" s="92"/>
      <c r="GI110" s="92"/>
      <c r="GJ110" s="92"/>
      <c r="GK110" s="92"/>
      <c r="GL110" s="92"/>
      <c r="GM110" s="92"/>
      <c r="GN110" s="92"/>
      <c r="GO110" s="92"/>
      <c r="GP110" s="92"/>
      <c r="GQ110" s="92"/>
      <c r="GR110" s="92"/>
      <c r="GS110" s="92"/>
      <c r="GT110" s="92"/>
      <c r="GU110" s="92"/>
      <c r="GV110" s="92"/>
      <c r="GW110" s="92"/>
      <c r="GX110" s="92"/>
      <c r="GY110" s="92"/>
      <c r="GZ110" s="92"/>
      <c r="HA110" s="92"/>
      <c r="HB110" s="92"/>
      <c r="HC110" s="92"/>
      <c r="HD110" s="92"/>
      <c r="HE110" s="92"/>
      <c r="HF110" s="92"/>
      <c r="HG110" s="92"/>
      <c r="HH110" s="92"/>
      <c r="HI110" s="92"/>
      <c r="HJ110" s="92"/>
      <c r="HK110" s="92"/>
      <c r="HL110" s="92"/>
      <c r="HM110" s="92"/>
      <c r="HN110" s="92"/>
      <c r="HO110" s="92"/>
      <c r="HP110" s="92"/>
      <c r="HQ110" s="92"/>
      <c r="HR110" s="92"/>
      <c r="HS110" s="92"/>
      <c r="HT110" s="92"/>
      <c r="HU110" s="92"/>
      <c r="HV110" s="92"/>
      <c r="HW110" s="92"/>
      <c r="HX110" s="92"/>
      <c r="HY110" s="92"/>
      <c r="HZ110" s="92"/>
      <c r="IA110" s="92"/>
      <c r="IB110" s="92"/>
      <c r="IC110" s="92"/>
      <c r="ID110" s="92"/>
      <c r="IE110" s="92"/>
      <c r="IF110" s="92"/>
      <c r="IG110" s="92"/>
      <c r="IH110" s="92"/>
      <c r="II110" s="92"/>
      <c r="IJ110" s="92"/>
      <c r="IK110" s="92"/>
      <c r="IL110" s="92"/>
      <c r="IM110" s="92"/>
      <c r="IN110" s="92"/>
      <c r="IO110" s="92"/>
      <c r="IP110" s="92"/>
      <c r="IQ110" s="92"/>
      <c r="IR110" s="92"/>
      <c r="IS110" s="92"/>
      <c r="IT110" s="92"/>
      <c r="IU110" s="92"/>
      <c r="IV110" s="92"/>
      <c r="IW110" s="92"/>
      <c r="IX110" s="92"/>
      <c r="IY110" s="92"/>
      <c r="IZ110" s="92"/>
      <c r="JA110" s="92"/>
      <c r="JB110" s="92"/>
      <c r="JC110" s="92"/>
      <c r="JD110" s="92"/>
      <c r="JE110" s="92"/>
      <c r="JF110" s="92"/>
      <c r="JG110" s="92"/>
      <c r="JH110" s="92"/>
      <c r="JI110" s="92"/>
      <c r="JJ110" s="92"/>
      <c r="JK110" s="92"/>
      <c r="JL110" s="92"/>
      <c r="JM110" s="92"/>
      <c r="JN110" s="92"/>
      <c r="JO110" s="92"/>
      <c r="JP110" s="92"/>
      <c r="JQ110" s="92"/>
      <c r="JR110" s="92"/>
      <c r="JS110" s="92"/>
      <c r="JT110" s="92"/>
      <c r="JU110" s="92"/>
      <c r="JV110" s="92"/>
      <c r="JW110" s="92"/>
      <c r="JX110" s="92"/>
      <c r="JY110" s="92"/>
      <c r="JZ110" s="92"/>
      <c r="KA110" s="92"/>
      <c r="KB110" s="92"/>
      <c r="KC110" s="92"/>
      <c r="KD110" s="92"/>
      <c r="KE110" s="92"/>
      <c r="KF110" s="92"/>
      <c r="KG110" s="92"/>
      <c r="KH110" s="92"/>
      <c r="KI110" s="92"/>
      <c r="KJ110" s="92"/>
      <c r="KK110" s="92"/>
      <c r="KL110" s="92"/>
      <c r="KM110" s="92"/>
      <c r="KN110" s="92"/>
      <c r="KO110" s="92"/>
      <c r="KP110" s="92"/>
      <c r="KQ110" s="88"/>
      <c r="KR110" s="92"/>
      <c r="KS110" s="92"/>
      <c r="KT110" s="92"/>
      <c r="KU110" s="93"/>
      <c r="KV110" s="92"/>
      <c r="KW110" s="93"/>
      <c r="KX110" s="92"/>
      <c r="KY110" s="93"/>
      <c r="KZ110" s="92"/>
      <c r="LA110" s="93"/>
      <c r="LB110" s="92"/>
      <c r="LC110" s="93"/>
      <c r="LD110" s="92"/>
      <c r="LE110" s="93"/>
      <c r="LF110" s="92"/>
      <c r="LG110" s="92"/>
      <c r="LH110" s="92"/>
      <c r="LI110" s="92"/>
      <c r="LJ110" s="92"/>
      <c r="LK110" s="92"/>
      <c r="LL110" s="92"/>
      <c r="LM110" s="92"/>
      <c r="LN110" s="92"/>
      <c r="LO110" s="92"/>
      <c r="LP110" s="88"/>
      <c r="LQ110" s="93"/>
      <c r="LR110" s="88"/>
      <c r="LS110" s="93"/>
      <c r="LT110" s="93"/>
      <c r="LU110" s="93"/>
      <c r="LV110" s="93"/>
      <c r="LW110" s="93"/>
      <c r="LX110" s="93"/>
      <c r="LY110" s="93"/>
      <c r="LZ110" s="93"/>
      <c r="MA110" s="93"/>
      <c r="MB110" s="93"/>
      <c r="MC110" s="94"/>
      <c r="MD110" s="94"/>
      <c r="ME110" s="94"/>
      <c r="MF110" s="94"/>
      <c r="MG110" s="94"/>
      <c r="MH110" s="94"/>
      <c r="MI110" s="94"/>
      <c r="MJ110" s="94"/>
      <c r="MK110" s="94"/>
      <c r="ML110" s="94"/>
      <c r="MM110" s="94"/>
      <c r="MN110" s="94"/>
      <c r="MO110" s="95"/>
      <c r="MP110" s="95"/>
      <c r="MQ110" s="94"/>
      <c r="MR110" s="94"/>
      <c r="MS110" s="94"/>
      <c r="MT110" s="94"/>
      <c r="MU110" s="94"/>
      <c r="MV110" s="94"/>
      <c r="MW110" s="94"/>
      <c r="MX110" s="94"/>
      <c r="MY110" s="94"/>
      <c r="MZ110" s="94"/>
      <c r="NA110" s="94"/>
      <c r="NB110" s="94"/>
      <c r="NC110" s="94"/>
      <c r="ND110" s="94"/>
      <c r="NE110" s="94"/>
      <c r="NF110" s="94"/>
      <c r="NG110" s="94"/>
      <c r="NH110" s="94"/>
      <c r="NI110" s="94"/>
      <c r="NJ110" s="94"/>
    </row>
    <row r="111" spans="1:374" x14ac:dyDescent="0.25">
      <c r="A111" s="88"/>
      <c r="B111" s="88"/>
      <c r="C111" s="88"/>
      <c r="D111" s="88"/>
      <c r="E111" s="89"/>
      <c r="F111" s="88"/>
      <c r="G111" s="88"/>
      <c r="H111" s="88" t="str">
        <f t="shared" si="195"/>
        <v xml:space="preserve">  </v>
      </c>
      <c r="I111" s="88"/>
      <c r="J111" s="88"/>
      <c r="K111" s="88"/>
      <c r="L111" s="88"/>
      <c r="M111" s="88"/>
      <c r="N111" s="88"/>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1"/>
      <c r="AR111" s="75"/>
      <c r="AS111" s="91"/>
      <c r="AT111" s="91"/>
      <c r="AU111" s="90"/>
      <c r="AV111" s="91"/>
      <c r="AW111" s="91"/>
      <c r="AX111" s="91"/>
      <c r="AY111" s="91"/>
      <c r="AZ111" s="91"/>
      <c r="BA111" s="91"/>
      <c r="BB111" s="90"/>
      <c r="BC111" s="91"/>
      <c r="BD111" s="75"/>
      <c r="BE111" s="91"/>
      <c r="BF111" s="91"/>
      <c r="BG111" s="90"/>
      <c r="BH111" s="91"/>
      <c r="BI111" s="91"/>
      <c r="BJ111" s="91"/>
      <c r="BK111" s="91"/>
      <c r="BL111" s="91"/>
      <c r="BM111" s="91"/>
      <c r="BN111" s="90"/>
      <c r="BO111" s="91"/>
      <c r="BP111" s="75"/>
      <c r="BQ111" s="91"/>
      <c r="BR111" s="91"/>
      <c r="BS111" s="90"/>
      <c r="BT111" s="91"/>
      <c r="BU111" s="91"/>
      <c r="BV111" s="91"/>
      <c r="BW111" s="91"/>
      <c r="BX111" s="91"/>
      <c r="BY111" s="91"/>
      <c r="BZ111" s="90"/>
      <c r="CA111" s="91"/>
      <c r="CB111" s="75"/>
      <c r="CC111" s="91"/>
      <c r="CD111" s="91"/>
      <c r="CE111" s="90"/>
      <c r="CF111" s="91"/>
      <c r="CG111" s="91"/>
      <c r="CH111" s="91"/>
      <c r="CI111" s="91"/>
      <c r="CJ111" s="91"/>
      <c r="CK111" s="91"/>
      <c r="CL111" s="90"/>
      <c r="CM111" s="91"/>
      <c r="CN111" s="75"/>
      <c r="CO111" s="91"/>
      <c r="CP111" s="91"/>
      <c r="CQ111" s="90"/>
      <c r="CR111" s="91"/>
      <c r="CS111" s="91"/>
      <c r="CT111" s="91"/>
      <c r="CU111" s="91"/>
      <c r="CV111" s="91"/>
      <c r="CW111" s="91"/>
      <c r="CX111" s="90"/>
      <c r="CY111" s="91"/>
      <c r="CZ111" s="75"/>
      <c r="DA111" s="91"/>
      <c r="DB111" s="91"/>
      <c r="DC111" s="90"/>
      <c r="DD111" s="91"/>
      <c r="DE111" s="91"/>
      <c r="DF111" s="91"/>
      <c r="DG111" s="91"/>
      <c r="DH111" s="91"/>
      <c r="DI111" s="91"/>
      <c r="DJ111" s="90"/>
      <c r="DK111" s="91"/>
      <c r="DL111" s="75"/>
      <c r="DM111" s="75"/>
      <c r="DN111" s="75">
        <f t="shared" si="194"/>
        <v>0</v>
      </c>
      <c r="DO111" s="75" t="str">
        <f t="shared" si="196"/>
        <v/>
      </c>
      <c r="DP111" s="91" t="str">
        <f>IFERROR(#REF!/#REF!*1000,"")</f>
        <v/>
      </c>
      <c r="DQ111" s="91" t="str">
        <f>IFERROR(#REF!/#REF!*1000,"")</f>
        <v/>
      </c>
      <c r="DR111" s="90"/>
      <c r="DS111" s="91" t="str">
        <f>IFERROR(#REF!/#REF!*1000,"")</f>
        <v/>
      </c>
      <c r="DT111" s="91" t="str">
        <f>IFERROR(#REF!/#REF!*1000,"")</f>
        <v/>
      </c>
      <c r="DU111" s="91"/>
      <c r="DV111" s="91"/>
      <c r="DW111" s="91"/>
      <c r="DX111" s="91"/>
      <c r="DY111" s="90"/>
      <c r="DZ111" s="91"/>
      <c r="EA111" s="75"/>
      <c r="EB111" s="91"/>
      <c r="EC111" s="91"/>
      <c r="ED111" s="90"/>
      <c r="EE111" s="91"/>
      <c r="EF111" s="91"/>
      <c r="EG111" s="91"/>
      <c r="EH111" s="91"/>
      <c r="EI111" s="91"/>
      <c r="EJ111" s="91"/>
      <c r="EK111" s="90"/>
      <c r="EL111" s="90"/>
      <c r="EM111" s="88"/>
      <c r="EN111" s="92"/>
      <c r="EO111" s="92"/>
      <c r="EP111" s="92"/>
      <c r="EQ111" s="92"/>
      <c r="ER111" s="92"/>
      <c r="ES111" s="92"/>
      <c r="ET111" s="92"/>
      <c r="EU111" s="92"/>
      <c r="EV111" s="92"/>
      <c r="EW111" s="92"/>
      <c r="EX111" s="92"/>
      <c r="EY111" s="92"/>
      <c r="EZ111" s="92"/>
      <c r="FA111" s="92"/>
      <c r="FB111" s="92"/>
      <c r="FC111" s="92"/>
      <c r="FD111" s="92"/>
      <c r="FE111" s="92"/>
      <c r="FF111" s="92"/>
      <c r="FG111" s="92"/>
      <c r="FH111" s="92"/>
      <c r="FI111" s="92"/>
      <c r="FJ111" s="92"/>
      <c r="FK111" s="92"/>
      <c r="FL111" s="92"/>
      <c r="FM111" s="92"/>
      <c r="FN111" s="92"/>
      <c r="FO111" s="92"/>
      <c r="FP111" s="92"/>
      <c r="FQ111" s="92"/>
      <c r="FR111" s="92"/>
      <c r="FS111" s="92"/>
      <c r="FT111" s="92"/>
      <c r="FU111" s="92"/>
      <c r="FV111" s="92"/>
      <c r="FW111" s="92"/>
      <c r="FX111" s="92"/>
      <c r="FY111" s="92"/>
      <c r="FZ111" s="92"/>
      <c r="GA111" s="92"/>
      <c r="GB111" s="92"/>
      <c r="GC111" s="92"/>
      <c r="GD111" s="92"/>
      <c r="GE111" s="92"/>
      <c r="GF111" s="92"/>
      <c r="GG111" s="92"/>
      <c r="GH111" s="92"/>
      <c r="GI111" s="92"/>
      <c r="GJ111" s="92"/>
      <c r="GK111" s="92"/>
      <c r="GL111" s="92"/>
      <c r="GM111" s="92"/>
      <c r="GN111" s="92"/>
      <c r="GO111" s="92"/>
      <c r="GP111" s="92"/>
      <c r="GQ111" s="92"/>
      <c r="GR111" s="92"/>
      <c r="GS111" s="92"/>
      <c r="GT111" s="92"/>
      <c r="GU111" s="92"/>
      <c r="GV111" s="92"/>
      <c r="GW111" s="92"/>
      <c r="GX111" s="92"/>
      <c r="GY111" s="92"/>
      <c r="GZ111" s="92"/>
      <c r="HA111" s="92"/>
      <c r="HB111" s="92"/>
      <c r="HC111" s="92"/>
      <c r="HD111" s="92"/>
      <c r="HE111" s="92"/>
      <c r="HF111" s="92"/>
      <c r="HG111" s="92"/>
      <c r="HH111" s="92"/>
      <c r="HI111" s="92"/>
      <c r="HJ111" s="92"/>
      <c r="HK111" s="92"/>
      <c r="HL111" s="92"/>
      <c r="HM111" s="92"/>
      <c r="HN111" s="92"/>
      <c r="HO111" s="92"/>
      <c r="HP111" s="92"/>
      <c r="HQ111" s="92"/>
      <c r="HR111" s="92"/>
      <c r="HS111" s="92"/>
      <c r="HT111" s="92"/>
      <c r="HU111" s="92"/>
      <c r="HV111" s="92"/>
      <c r="HW111" s="92"/>
      <c r="HX111" s="92"/>
      <c r="HY111" s="92"/>
      <c r="HZ111" s="92"/>
      <c r="IA111" s="92"/>
      <c r="IB111" s="92"/>
      <c r="IC111" s="92"/>
      <c r="ID111" s="92"/>
      <c r="IE111" s="92"/>
      <c r="IF111" s="92"/>
      <c r="IG111" s="92"/>
      <c r="IH111" s="92"/>
      <c r="II111" s="92"/>
      <c r="IJ111" s="92"/>
      <c r="IK111" s="92"/>
      <c r="IL111" s="92"/>
      <c r="IM111" s="92"/>
      <c r="IN111" s="92"/>
      <c r="IO111" s="92"/>
      <c r="IP111" s="92"/>
      <c r="IQ111" s="92"/>
      <c r="IR111" s="92"/>
      <c r="IS111" s="92"/>
      <c r="IT111" s="92"/>
      <c r="IU111" s="92"/>
      <c r="IV111" s="92"/>
      <c r="IW111" s="92"/>
      <c r="IX111" s="92"/>
      <c r="IY111" s="92"/>
      <c r="IZ111" s="92"/>
      <c r="JA111" s="92"/>
      <c r="JB111" s="92"/>
      <c r="JC111" s="92"/>
      <c r="JD111" s="92"/>
      <c r="JE111" s="92"/>
      <c r="JF111" s="92"/>
      <c r="JG111" s="92"/>
      <c r="JH111" s="92"/>
      <c r="JI111" s="92"/>
      <c r="JJ111" s="92"/>
      <c r="JK111" s="92"/>
      <c r="JL111" s="92"/>
      <c r="JM111" s="92"/>
      <c r="JN111" s="92"/>
      <c r="JO111" s="92"/>
      <c r="JP111" s="92"/>
      <c r="JQ111" s="92"/>
      <c r="JR111" s="92"/>
      <c r="JS111" s="92"/>
      <c r="JT111" s="92"/>
      <c r="JU111" s="92"/>
      <c r="JV111" s="92"/>
      <c r="JW111" s="92"/>
      <c r="JX111" s="92"/>
      <c r="JY111" s="92"/>
      <c r="JZ111" s="92"/>
      <c r="KA111" s="92"/>
      <c r="KB111" s="92"/>
      <c r="KC111" s="92"/>
      <c r="KD111" s="92"/>
      <c r="KE111" s="92"/>
      <c r="KF111" s="92"/>
      <c r="KG111" s="92"/>
      <c r="KH111" s="92"/>
      <c r="KI111" s="92"/>
      <c r="KJ111" s="92"/>
      <c r="KK111" s="92"/>
      <c r="KL111" s="92"/>
      <c r="KM111" s="92"/>
      <c r="KN111" s="92"/>
      <c r="KO111" s="92"/>
      <c r="KP111" s="92"/>
      <c r="KQ111" s="88"/>
      <c r="KR111" s="92"/>
      <c r="KS111" s="92"/>
      <c r="KT111" s="92"/>
      <c r="KU111" s="93"/>
      <c r="KV111" s="92"/>
      <c r="KW111" s="93"/>
      <c r="KX111" s="92"/>
      <c r="KY111" s="93"/>
      <c r="KZ111" s="92"/>
      <c r="LA111" s="93"/>
      <c r="LB111" s="92"/>
      <c r="LC111" s="93"/>
      <c r="LD111" s="92"/>
      <c r="LE111" s="93"/>
      <c r="LF111" s="92"/>
      <c r="LG111" s="92"/>
      <c r="LH111" s="92"/>
      <c r="LI111" s="92"/>
      <c r="LJ111" s="92"/>
      <c r="LK111" s="92"/>
      <c r="LL111" s="92"/>
      <c r="LM111" s="92"/>
      <c r="LN111" s="92"/>
      <c r="LO111" s="92"/>
      <c r="LP111" s="88"/>
      <c r="LQ111" s="93"/>
      <c r="LR111" s="88"/>
      <c r="LS111" s="93"/>
      <c r="LT111" s="93"/>
      <c r="LU111" s="93"/>
      <c r="LV111" s="93"/>
      <c r="LW111" s="93"/>
      <c r="LX111" s="93"/>
      <c r="LY111" s="93"/>
      <c r="LZ111" s="93"/>
      <c r="MA111" s="93"/>
      <c r="MB111" s="93"/>
      <c r="MC111" s="94"/>
      <c r="MD111" s="94"/>
      <c r="ME111" s="94"/>
      <c r="MF111" s="94"/>
      <c r="MG111" s="94"/>
      <c r="MH111" s="94"/>
      <c r="MI111" s="94"/>
      <c r="MJ111" s="94"/>
      <c r="MK111" s="94"/>
      <c r="ML111" s="94"/>
      <c r="MM111" s="94"/>
      <c r="MN111" s="94"/>
      <c r="MO111" s="95"/>
      <c r="MP111" s="95"/>
      <c r="MQ111" s="94"/>
      <c r="MR111" s="94"/>
      <c r="MS111" s="94"/>
      <c r="MT111" s="94"/>
      <c r="MU111" s="94"/>
      <c r="MV111" s="94"/>
      <c r="MW111" s="94"/>
      <c r="MX111" s="94"/>
      <c r="MY111" s="94"/>
      <c r="MZ111" s="94"/>
      <c r="NA111" s="94"/>
      <c r="NB111" s="94"/>
      <c r="NC111" s="94"/>
      <c r="ND111" s="94"/>
      <c r="NE111" s="94"/>
      <c r="NF111" s="94"/>
      <c r="NG111" s="94"/>
      <c r="NH111" s="94"/>
      <c r="NI111" s="94"/>
      <c r="NJ111" s="94"/>
    </row>
    <row r="112" spans="1:374" x14ac:dyDescent="0.25">
      <c r="A112" s="88"/>
      <c r="B112" s="88"/>
      <c r="C112" s="88"/>
      <c r="D112" s="88"/>
      <c r="E112" s="89"/>
      <c r="F112" s="88"/>
      <c r="G112" s="88"/>
      <c r="H112" s="88" t="str">
        <f t="shared" si="195"/>
        <v xml:space="preserve">  </v>
      </c>
      <c r="I112" s="88"/>
      <c r="J112" s="88"/>
      <c r="K112" s="88"/>
      <c r="L112" s="88"/>
      <c r="M112" s="88"/>
      <c r="N112" s="88"/>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1"/>
      <c r="AR112" s="75"/>
      <c r="AS112" s="91"/>
      <c r="AT112" s="91"/>
      <c r="AU112" s="90"/>
      <c r="AV112" s="91"/>
      <c r="AW112" s="91"/>
      <c r="AX112" s="91"/>
      <c r="AY112" s="91"/>
      <c r="AZ112" s="91"/>
      <c r="BA112" s="91"/>
      <c r="BB112" s="90"/>
      <c r="BC112" s="91"/>
      <c r="BD112" s="75"/>
      <c r="BE112" s="91"/>
      <c r="BF112" s="91"/>
      <c r="BG112" s="90"/>
      <c r="BH112" s="91"/>
      <c r="BI112" s="91"/>
      <c r="BJ112" s="91"/>
      <c r="BK112" s="91"/>
      <c r="BL112" s="91"/>
      <c r="BM112" s="91"/>
      <c r="BN112" s="90"/>
      <c r="BO112" s="91"/>
      <c r="BP112" s="75"/>
      <c r="BQ112" s="91"/>
      <c r="BR112" s="91"/>
      <c r="BS112" s="90"/>
      <c r="BT112" s="91"/>
      <c r="BU112" s="91"/>
      <c r="BV112" s="91"/>
      <c r="BW112" s="91"/>
      <c r="BX112" s="91"/>
      <c r="BY112" s="91"/>
      <c r="BZ112" s="90"/>
      <c r="CA112" s="91"/>
      <c r="CB112" s="75"/>
      <c r="CC112" s="91"/>
      <c r="CD112" s="91"/>
      <c r="CE112" s="90"/>
      <c r="CF112" s="91"/>
      <c r="CG112" s="91"/>
      <c r="CH112" s="91"/>
      <c r="CI112" s="91"/>
      <c r="CJ112" s="91"/>
      <c r="CK112" s="91"/>
      <c r="CL112" s="90"/>
      <c r="CM112" s="91"/>
      <c r="CN112" s="75"/>
      <c r="CO112" s="91"/>
      <c r="CP112" s="91"/>
      <c r="CQ112" s="90"/>
      <c r="CR112" s="91"/>
      <c r="CS112" s="91"/>
      <c r="CT112" s="91"/>
      <c r="CU112" s="91"/>
      <c r="CV112" s="91"/>
      <c r="CW112" s="91"/>
      <c r="CX112" s="90"/>
      <c r="CY112" s="91"/>
      <c r="CZ112" s="75"/>
      <c r="DA112" s="91"/>
      <c r="DB112" s="91"/>
      <c r="DC112" s="90"/>
      <c r="DD112" s="91"/>
      <c r="DE112" s="91"/>
      <c r="DF112" s="91"/>
      <c r="DG112" s="91"/>
      <c r="DH112" s="91"/>
      <c r="DI112" s="91"/>
      <c r="DJ112" s="90"/>
      <c r="DK112" s="91"/>
      <c r="DL112" s="75"/>
      <c r="DM112" s="75"/>
      <c r="DN112" s="75">
        <f t="shared" si="194"/>
        <v>0</v>
      </c>
      <c r="DO112" s="75" t="str">
        <f t="shared" si="196"/>
        <v/>
      </c>
      <c r="DP112" s="91" t="str">
        <f>IFERROR(#REF!/#REF!*1000,"")</f>
        <v/>
      </c>
      <c r="DQ112" s="91" t="str">
        <f>IFERROR(#REF!/#REF!*1000,"")</f>
        <v/>
      </c>
      <c r="DR112" s="90"/>
      <c r="DS112" s="91" t="str">
        <f>IFERROR(#REF!/#REF!*1000,"")</f>
        <v/>
      </c>
      <c r="DT112" s="91" t="str">
        <f>IFERROR(#REF!/#REF!*1000,"")</f>
        <v/>
      </c>
      <c r="DU112" s="91"/>
      <c r="DV112" s="91"/>
      <c r="DW112" s="91"/>
      <c r="DX112" s="91"/>
      <c r="DY112" s="90"/>
      <c r="DZ112" s="91"/>
      <c r="EA112" s="75"/>
      <c r="EB112" s="91"/>
      <c r="EC112" s="91"/>
      <c r="ED112" s="90"/>
      <c r="EE112" s="91"/>
      <c r="EF112" s="91"/>
      <c r="EG112" s="91"/>
      <c r="EH112" s="91"/>
      <c r="EI112" s="91"/>
      <c r="EJ112" s="91"/>
      <c r="EK112" s="90"/>
      <c r="EL112" s="90"/>
      <c r="EM112" s="88"/>
      <c r="EN112" s="92"/>
      <c r="EO112" s="92"/>
      <c r="EP112" s="92"/>
      <c r="EQ112" s="92"/>
      <c r="ER112" s="92"/>
      <c r="ES112" s="92"/>
      <c r="ET112" s="92"/>
      <c r="EU112" s="92"/>
      <c r="EV112" s="92"/>
      <c r="EW112" s="92"/>
      <c r="EX112" s="92"/>
      <c r="EY112" s="92"/>
      <c r="EZ112" s="92"/>
      <c r="FA112" s="92"/>
      <c r="FB112" s="92"/>
      <c r="FC112" s="92"/>
      <c r="FD112" s="92"/>
      <c r="FE112" s="92"/>
      <c r="FF112" s="92"/>
      <c r="FG112" s="92"/>
      <c r="FH112" s="92"/>
      <c r="FI112" s="92"/>
      <c r="FJ112" s="92"/>
      <c r="FK112" s="92"/>
      <c r="FL112" s="92"/>
      <c r="FM112" s="92"/>
      <c r="FN112" s="92"/>
      <c r="FO112" s="92"/>
      <c r="FP112" s="92"/>
      <c r="FQ112" s="92"/>
      <c r="FR112" s="92"/>
      <c r="FS112" s="92"/>
      <c r="FT112" s="92"/>
      <c r="FU112" s="92"/>
      <c r="FV112" s="92"/>
      <c r="FW112" s="92"/>
      <c r="FX112" s="92"/>
      <c r="FY112" s="92"/>
      <c r="FZ112" s="92"/>
      <c r="GA112" s="92"/>
      <c r="GB112" s="92"/>
      <c r="GC112" s="92"/>
      <c r="GD112" s="92"/>
      <c r="GE112" s="92"/>
      <c r="GF112" s="92"/>
      <c r="GG112" s="92"/>
      <c r="GH112" s="92"/>
      <c r="GI112" s="92"/>
      <c r="GJ112" s="92"/>
      <c r="GK112" s="92"/>
      <c r="GL112" s="92"/>
      <c r="GM112" s="92"/>
      <c r="GN112" s="92"/>
      <c r="GO112" s="92"/>
      <c r="GP112" s="92"/>
      <c r="GQ112" s="92"/>
      <c r="GR112" s="92"/>
      <c r="GS112" s="92"/>
      <c r="GT112" s="92"/>
      <c r="GU112" s="92"/>
      <c r="GV112" s="92"/>
      <c r="GW112" s="92"/>
      <c r="GX112" s="92"/>
      <c r="GY112" s="92"/>
      <c r="GZ112" s="92"/>
      <c r="HA112" s="92"/>
      <c r="HB112" s="92"/>
      <c r="HC112" s="92"/>
      <c r="HD112" s="92"/>
      <c r="HE112" s="92"/>
      <c r="HF112" s="92"/>
      <c r="HG112" s="92"/>
      <c r="HH112" s="92"/>
      <c r="HI112" s="92"/>
      <c r="HJ112" s="92"/>
      <c r="HK112" s="92"/>
      <c r="HL112" s="92"/>
      <c r="HM112" s="92"/>
      <c r="HN112" s="92"/>
      <c r="HO112" s="92"/>
      <c r="HP112" s="92"/>
      <c r="HQ112" s="92"/>
      <c r="HR112" s="92"/>
      <c r="HS112" s="92"/>
      <c r="HT112" s="92"/>
      <c r="HU112" s="92"/>
      <c r="HV112" s="92"/>
      <c r="HW112" s="92"/>
      <c r="HX112" s="92"/>
      <c r="HY112" s="92"/>
      <c r="HZ112" s="92"/>
      <c r="IA112" s="92"/>
      <c r="IB112" s="92"/>
      <c r="IC112" s="92"/>
      <c r="ID112" s="92"/>
      <c r="IE112" s="92"/>
      <c r="IF112" s="92"/>
      <c r="IG112" s="92"/>
      <c r="IH112" s="92"/>
      <c r="II112" s="92"/>
      <c r="IJ112" s="92"/>
      <c r="IK112" s="92"/>
      <c r="IL112" s="92"/>
      <c r="IM112" s="92"/>
      <c r="IN112" s="92"/>
      <c r="IO112" s="92"/>
      <c r="IP112" s="92"/>
      <c r="IQ112" s="92"/>
      <c r="IR112" s="92"/>
      <c r="IS112" s="92"/>
      <c r="IT112" s="92"/>
      <c r="IU112" s="92"/>
      <c r="IV112" s="92"/>
      <c r="IW112" s="92"/>
      <c r="IX112" s="92"/>
      <c r="IY112" s="92"/>
      <c r="IZ112" s="92"/>
      <c r="JA112" s="92"/>
      <c r="JB112" s="92"/>
      <c r="JC112" s="92"/>
      <c r="JD112" s="92"/>
      <c r="JE112" s="92"/>
      <c r="JF112" s="92"/>
      <c r="JG112" s="92"/>
      <c r="JH112" s="92"/>
      <c r="JI112" s="92"/>
      <c r="JJ112" s="92"/>
      <c r="JK112" s="92"/>
      <c r="JL112" s="92"/>
      <c r="JM112" s="92"/>
      <c r="JN112" s="92"/>
      <c r="JO112" s="92"/>
      <c r="JP112" s="92"/>
      <c r="JQ112" s="92"/>
      <c r="JR112" s="92"/>
      <c r="JS112" s="92"/>
      <c r="JT112" s="92"/>
      <c r="JU112" s="92"/>
      <c r="JV112" s="92"/>
      <c r="JW112" s="92"/>
      <c r="JX112" s="92"/>
      <c r="JY112" s="92"/>
      <c r="JZ112" s="92"/>
      <c r="KA112" s="92"/>
      <c r="KB112" s="92"/>
      <c r="KC112" s="92"/>
      <c r="KD112" s="92"/>
      <c r="KE112" s="92"/>
      <c r="KF112" s="92"/>
      <c r="KG112" s="92"/>
      <c r="KH112" s="92"/>
      <c r="KI112" s="92"/>
      <c r="KJ112" s="92"/>
      <c r="KK112" s="92"/>
      <c r="KL112" s="92"/>
      <c r="KM112" s="92"/>
      <c r="KN112" s="92"/>
      <c r="KO112" s="92"/>
      <c r="KP112" s="92"/>
      <c r="KQ112" s="88"/>
      <c r="KR112" s="92"/>
      <c r="KS112" s="92"/>
      <c r="KT112" s="92"/>
      <c r="KU112" s="93"/>
      <c r="KV112" s="92"/>
      <c r="KW112" s="93"/>
      <c r="KX112" s="92"/>
      <c r="KY112" s="93"/>
      <c r="KZ112" s="92"/>
      <c r="LA112" s="93"/>
      <c r="LB112" s="92"/>
      <c r="LC112" s="93"/>
      <c r="LD112" s="92"/>
      <c r="LE112" s="93"/>
      <c r="LF112" s="92"/>
      <c r="LG112" s="92"/>
      <c r="LH112" s="92"/>
      <c r="LI112" s="92"/>
      <c r="LJ112" s="92"/>
      <c r="LK112" s="92"/>
      <c r="LL112" s="92"/>
      <c r="LM112" s="92"/>
      <c r="LN112" s="92"/>
      <c r="LO112" s="92"/>
      <c r="LP112" s="88"/>
      <c r="LQ112" s="93"/>
      <c r="LR112" s="88"/>
      <c r="LS112" s="93"/>
      <c r="LT112" s="93"/>
      <c r="LU112" s="93"/>
      <c r="LV112" s="93"/>
      <c r="LW112" s="93"/>
      <c r="LX112" s="93"/>
      <c r="LY112" s="93"/>
      <c r="LZ112" s="93"/>
      <c r="MA112" s="93"/>
      <c r="MB112" s="93"/>
      <c r="MC112" s="94"/>
      <c r="MD112" s="94"/>
      <c r="ME112" s="94"/>
      <c r="MF112" s="94"/>
      <c r="MG112" s="94"/>
      <c r="MH112" s="94"/>
      <c r="MI112" s="94"/>
      <c r="MJ112" s="94"/>
      <c r="MK112" s="94"/>
      <c r="ML112" s="94"/>
      <c r="MM112" s="94"/>
      <c r="MN112" s="94"/>
      <c r="MO112" s="95"/>
      <c r="MP112" s="95"/>
      <c r="MQ112" s="94"/>
      <c r="MR112" s="94"/>
      <c r="MS112" s="94"/>
      <c r="MT112" s="94"/>
      <c r="MU112" s="94"/>
      <c r="MV112" s="94"/>
      <c r="MW112" s="94"/>
      <c r="MX112" s="94"/>
      <c r="MY112" s="94"/>
      <c r="MZ112" s="94"/>
      <c r="NA112" s="94"/>
      <c r="NB112" s="94"/>
      <c r="NC112" s="94"/>
      <c r="ND112" s="94"/>
      <c r="NE112" s="94"/>
      <c r="NF112" s="94"/>
      <c r="NG112" s="94"/>
      <c r="NH112" s="94"/>
      <c r="NI112" s="94"/>
      <c r="NJ112" s="94"/>
    </row>
    <row r="113" spans="1:374" x14ac:dyDescent="0.25">
      <c r="A113" s="88"/>
      <c r="B113" s="88"/>
      <c r="C113" s="88"/>
      <c r="D113" s="88"/>
      <c r="E113" s="89"/>
      <c r="F113" s="88"/>
      <c r="G113" s="88"/>
      <c r="H113" s="88" t="str">
        <f t="shared" si="195"/>
        <v xml:space="preserve">  </v>
      </c>
      <c r="I113" s="88"/>
      <c r="J113" s="88"/>
      <c r="K113" s="88"/>
      <c r="L113" s="88"/>
      <c r="M113" s="88"/>
      <c r="N113" s="88"/>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1"/>
      <c r="AR113" s="75"/>
      <c r="AS113" s="91"/>
      <c r="AT113" s="91"/>
      <c r="AU113" s="90"/>
      <c r="AV113" s="91"/>
      <c r="AW113" s="91"/>
      <c r="AX113" s="91"/>
      <c r="AY113" s="91"/>
      <c r="AZ113" s="91"/>
      <c r="BA113" s="91"/>
      <c r="BB113" s="90"/>
      <c r="BC113" s="91"/>
      <c r="BD113" s="75"/>
      <c r="BE113" s="91"/>
      <c r="BF113" s="91"/>
      <c r="BG113" s="90"/>
      <c r="BH113" s="91"/>
      <c r="BI113" s="91"/>
      <c r="BJ113" s="91"/>
      <c r="BK113" s="91"/>
      <c r="BL113" s="91"/>
      <c r="BM113" s="91"/>
      <c r="BN113" s="90"/>
      <c r="BO113" s="91"/>
      <c r="BP113" s="75"/>
      <c r="BQ113" s="91"/>
      <c r="BR113" s="91"/>
      <c r="BS113" s="90"/>
      <c r="BT113" s="91"/>
      <c r="BU113" s="91"/>
      <c r="BV113" s="91"/>
      <c r="BW113" s="91"/>
      <c r="BX113" s="91"/>
      <c r="BY113" s="91"/>
      <c r="BZ113" s="90"/>
      <c r="CA113" s="91"/>
      <c r="CB113" s="75"/>
      <c r="CC113" s="91"/>
      <c r="CD113" s="91"/>
      <c r="CE113" s="90"/>
      <c r="CF113" s="91"/>
      <c r="CG113" s="91"/>
      <c r="CH113" s="91"/>
      <c r="CI113" s="91"/>
      <c r="CJ113" s="91"/>
      <c r="CK113" s="91"/>
      <c r="CL113" s="90"/>
      <c r="CM113" s="91"/>
      <c r="CN113" s="75"/>
      <c r="CO113" s="91"/>
      <c r="CP113" s="91"/>
      <c r="CQ113" s="90"/>
      <c r="CR113" s="91"/>
      <c r="CS113" s="91"/>
      <c r="CT113" s="91"/>
      <c r="CU113" s="91"/>
      <c r="CV113" s="91"/>
      <c r="CW113" s="91"/>
      <c r="CX113" s="90"/>
      <c r="CY113" s="91"/>
      <c r="CZ113" s="75"/>
      <c r="DA113" s="91"/>
      <c r="DB113" s="91"/>
      <c r="DC113" s="90"/>
      <c r="DD113" s="91"/>
      <c r="DE113" s="91"/>
      <c r="DF113" s="91"/>
      <c r="DG113" s="91"/>
      <c r="DH113" s="91"/>
      <c r="DI113" s="91"/>
      <c r="DJ113" s="90"/>
      <c r="DK113" s="91"/>
      <c r="DL113" s="75"/>
      <c r="DM113" s="75"/>
      <c r="DN113" s="75">
        <f t="shared" si="194"/>
        <v>0</v>
      </c>
      <c r="DO113" s="75" t="str">
        <f t="shared" si="196"/>
        <v/>
      </c>
      <c r="DP113" s="91" t="str">
        <f>IFERROR(#REF!/#REF!*1000,"")</f>
        <v/>
      </c>
      <c r="DQ113" s="91" t="str">
        <f>IFERROR(#REF!/#REF!*1000,"")</f>
        <v/>
      </c>
      <c r="DR113" s="90"/>
      <c r="DS113" s="91" t="str">
        <f>IFERROR(#REF!/#REF!*1000,"")</f>
        <v/>
      </c>
      <c r="DT113" s="91" t="str">
        <f>IFERROR(#REF!/#REF!*1000,"")</f>
        <v/>
      </c>
      <c r="DU113" s="91"/>
      <c r="DV113" s="91"/>
      <c r="DW113" s="91"/>
      <c r="DX113" s="91"/>
      <c r="DY113" s="90"/>
      <c r="DZ113" s="91"/>
      <c r="EA113" s="75"/>
      <c r="EB113" s="91"/>
      <c r="EC113" s="91"/>
      <c r="ED113" s="90"/>
      <c r="EE113" s="91"/>
      <c r="EF113" s="91"/>
      <c r="EG113" s="91"/>
      <c r="EH113" s="91"/>
      <c r="EI113" s="91"/>
      <c r="EJ113" s="91"/>
      <c r="EK113" s="90"/>
      <c r="EL113" s="90"/>
      <c r="EM113" s="88"/>
      <c r="EN113" s="92"/>
      <c r="EO113" s="92"/>
      <c r="EP113" s="92"/>
      <c r="EQ113" s="92"/>
      <c r="ER113" s="92"/>
      <c r="ES113" s="92"/>
      <c r="ET113" s="92"/>
      <c r="EU113" s="92"/>
      <c r="EV113" s="92"/>
      <c r="EW113" s="92"/>
      <c r="EX113" s="92"/>
      <c r="EY113" s="92"/>
      <c r="EZ113" s="92"/>
      <c r="FA113" s="92"/>
      <c r="FB113" s="92"/>
      <c r="FC113" s="92"/>
      <c r="FD113" s="92"/>
      <c r="FE113" s="92"/>
      <c r="FF113" s="92"/>
      <c r="FG113" s="92"/>
      <c r="FH113" s="92"/>
      <c r="FI113" s="92"/>
      <c r="FJ113" s="92"/>
      <c r="FK113" s="92"/>
      <c r="FL113" s="92"/>
      <c r="FM113" s="92"/>
      <c r="FN113" s="92"/>
      <c r="FO113" s="92"/>
      <c r="FP113" s="92"/>
      <c r="FQ113" s="92"/>
      <c r="FR113" s="92"/>
      <c r="FS113" s="92"/>
      <c r="FT113" s="92"/>
      <c r="FU113" s="92"/>
      <c r="FV113" s="92"/>
      <c r="FW113" s="92"/>
      <c r="FX113" s="92"/>
      <c r="FY113" s="92"/>
      <c r="FZ113" s="92"/>
      <c r="GA113" s="92"/>
      <c r="GB113" s="92"/>
      <c r="GC113" s="92"/>
      <c r="GD113" s="92"/>
      <c r="GE113" s="92"/>
      <c r="GF113" s="92"/>
      <c r="GG113" s="92"/>
      <c r="GH113" s="92"/>
      <c r="GI113" s="92"/>
      <c r="GJ113" s="92"/>
      <c r="GK113" s="92"/>
      <c r="GL113" s="92"/>
      <c r="GM113" s="92"/>
      <c r="GN113" s="92"/>
      <c r="GO113" s="92"/>
      <c r="GP113" s="92"/>
      <c r="GQ113" s="92"/>
      <c r="GR113" s="92"/>
      <c r="GS113" s="92"/>
      <c r="GT113" s="92"/>
      <c r="GU113" s="92"/>
      <c r="GV113" s="92"/>
      <c r="GW113" s="92"/>
      <c r="GX113" s="92"/>
      <c r="GY113" s="92"/>
      <c r="GZ113" s="92"/>
      <c r="HA113" s="92"/>
      <c r="HB113" s="92"/>
      <c r="HC113" s="92"/>
      <c r="HD113" s="92"/>
      <c r="HE113" s="92"/>
      <c r="HF113" s="92"/>
      <c r="HG113" s="92"/>
      <c r="HH113" s="92"/>
      <c r="HI113" s="92"/>
      <c r="HJ113" s="92"/>
      <c r="HK113" s="92"/>
      <c r="HL113" s="92"/>
      <c r="HM113" s="92"/>
      <c r="HN113" s="92"/>
      <c r="HO113" s="92"/>
      <c r="HP113" s="92"/>
      <c r="HQ113" s="92"/>
      <c r="HR113" s="92"/>
      <c r="HS113" s="92"/>
      <c r="HT113" s="92"/>
      <c r="HU113" s="92"/>
      <c r="HV113" s="92"/>
      <c r="HW113" s="92"/>
      <c r="HX113" s="92"/>
      <c r="HY113" s="92"/>
      <c r="HZ113" s="92"/>
      <c r="IA113" s="92"/>
      <c r="IB113" s="92"/>
      <c r="IC113" s="92"/>
      <c r="ID113" s="92"/>
      <c r="IE113" s="92"/>
      <c r="IF113" s="92"/>
      <c r="IG113" s="92"/>
      <c r="IH113" s="92"/>
      <c r="II113" s="92"/>
      <c r="IJ113" s="92"/>
      <c r="IK113" s="92"/>
      <c r="IL113" s="92"/>
      <c r="IM113" s="92"/>
      <c r="IN113" s="92"/>
      <c r="IO113" s="92"/>
      <c r="IP113" s="92"/>
      <c r="IQ113" s="92"/>
      <c r="IR113" s="92"/>
      <c r="IS113" s="92"/>
      <c r="IT113" s="92"/>
      <c r="IU113" s="92"/>
      <c r="IV113" s="92"/>
      <c r="IW113" s="92"/>
      <c r="IX113" s="92"/>
      <c r="IY113" s="92"/>
      <c r="IZ113" s="92"/>
      <c r="JA113" s="92"/>
      <c r="JB113" s="92"/>
      <c r="JC113" s="92"/>
      <c r="JD113" s="92"/>
      <c r="JE113" s="92"/>
      <c r="JF113" s="92"/>
      <c r="JG113" s="92"/>
      <c r="JH113" s="92"/>
      <c r="JI113" s="92"/>
      <c r="JJ113" s="92"/>
      <c r="JK113" s="92"/>
      <c r="JL113" s="92"/>
      <c r="JM113" s="92"/>
      <c r="JN113" s="92"/>
      <c r="JO113" s="92"/>
      <c r="JP113" s="92"/>
      <c r="JQ113" s="92"/>
      <c r="JR113" s="92"/>
      <c r="JS113" s="92"/>
      <c r="JT113" s="92"/>
      <c r="JU113" s="92"/>
      <c r="JV113" s="92"/>
      <c r="JW113" s="92"/>
      <c r="JX113" s="92"/>
      <c r="JY113" s="92"/>
      <c r="JZ113" s="92"/>
      <c r="KA113" s="92"/>
      <c r="KB113" s="92"/>
      <c r="KC113" s="92"/>
      <c r="KD113" s="92"/>
      <c r="KE113" s="92"/>
      <c r="KF113" s="92"/>
      <c r="KG113" s="92"/>
      <c r="KH113" s="92"/>
      <c r="KI113" s="92"/>
      <c r="KJ113" s="92"/>
      <c r="KK113" s="92"/>
      <c r="KL113" s="92"/>
      <c r="KM113" s="92"/>
      <c r="KN113" s="92"/>
      <c r="KO113" s="92"/>
      <c r="KP113" s="92"/>
      <c r="KQ113" s="88"/>
      <c r="KR113" s="92"/>
      <c r="KS113" s="92"/>
      <c r="KT113" s="92"/>
      <c r="KU113" s="93"/>
      <c r="KV113" s="92"/>
      <c r="KW113" s="93"/>
      <c r="KX113" s="92"/>
      <c r="KY113" s="93"/>
      <c r="KZ113" s="92"/>
      <c r="LA113" s="93"/>
      <c r="LB113" s="92"/>
      <c r="LC113" s="93"/>
      <c r="LD113" s="92"/>
      <c r="LE113" s="93"/>
      <c r="LF113" s="92"/>
      <c r="LG113" s="92"/>
      <c r="LH113" s="92"/>
      <c r="LI113" s="92"/>
      <c r="LJ113" s="92"/>
      <c r="LK113" s="92"/>
      <c r="LL113" s="92"/>
      <c r="LM113" s="92"/>
      <c r="LN113" s="92"/>
      <c r="LO113" s="92"/>
      <c r="LP113" s="88"/>
      <c r="LQ113" s="93"/>
      <c r="LR113" s="88"/>
      <c r="LS113" s="93"/>
      <c r="LT113" s="93"/>
      <c r="LU113" s="93"/>
      <c r="LV113" s="93"/>
      <c r="LW113" s="93"/>
      <c r="LX113" s="93"/>
      <c r="LY113" s="93"/>
      <c r="LZ113" s="93"/>
      <c r="MA113" s="93"/>
      <c r="MB113" s="93"/>
      <c r="MC113" s="94"/>
      <c r="MD113" s="94"/>
      <c r="ME113" s="94"/>
      <c r="MF113" s="94"/>
      <c r="MG113" s="94"/>
      <c r="MH113" s="94"/>
      <c r="MI113" s="94"/>
      <c r="MJ113" s="94"/>
      <c r="MK113" s="94"/>
      <c r="ML113" s="94"/>
      <c r="MM113" s="94"/>
      <c r="MN113" s="94"/>
      <c r="MO113" s="95"/>
      <c r="MP113" s="95"/>
      <c r="MQ113" s="94"/>
      <c r="MR113" s="94"/>
      <c r="MS113" s="94"/>
      <c r="MT113" s="94"/>
      <c r="MU113" s="94"/>
      <c r="MV113" s="94"/>
      <c r="MW113" s="94"/>
      <c r="MX113" s="94"/>
      <c r="MY113" s="94"/>
      <c r="MZ113" s="94"/>
      <c r="NA113" s="94"/>
      <c r="NB113" s="94"/>
      <c r="NC113" s="94"/>
      <c r="ND113" s="94"/>
      <c r="NE113" s="94"/>
      <c r="NF113" s="94"/>
      <c r="NG113" s="94"/>
      <c r="NH113" s="94"/>
      <c r="NI113" s="94"/>
      <c r="NJ113" s="94"/>
    </row>
    <row r="114" spans="1:374" x14ac:dyDescent="0.25">
      <c r="A114" s="88"/>
      <c r="B114" s="88"/>
      <c r="C114" s="88"/>
      <c r="D114" s="88"/>
      <c r="E114" s="89"/>
      <c r="F114" s="88"/>
      <c r="G114" s="88"/>
      <c r="H114" s="88" t="str">
        <f t="shared" si="195"/>
        <v xml:space="preserve">  </v>
      </c>
      <c r="I114" s="88"/>
      <c r="J114" s="88"/>
      <c r="K114" s="88"/>
      <c r="L114" s="88"/>
      <c r="M114" s="88"/>
      <c r="N114" s="88"/>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1"/>
      <c r="AR114" s="75"/>
      <c r="AS114" s="91"/>
      <c r="AT114" s="91"/>
      <c r="AU114" s="90"/>
      <c r="AV114" s="91"/>
      <c r="AW114" s="91"/>
      <c r="AX114" s="91"/>
      <c r="AY114" s="91"/>
      <c r="AZ114" s="91"/>
      <c r="BA114" s="91"/>
      <c r="BB114" s="90"/>
      <c r="BC114" s="91"/>
      <c r="BD114" s="75"/>
      <c r="BE114" s="91"/>
      <c r="BF114" s="91"/>
      <c r="BG114" s="90"/>
      <c r="BH114" s="91"/>
      <c r="BI114" s="91"/>
      <c r="BJ114" s="91"/>
      <c r="BK114" s="91"/>
      <c r="BL114" s="91"/>
      <c r="BM114" s="91"/>
      <c r="BN114" s="90"/>
      <c r="BO114" s="91"/>
      <c r="BP114" s="75"/>
      <c r="BQ114" s="91"/>
      <c r="BR114" s="91"/>
      <c r="BS114" s="90"/>
      <c r="BT114" s="91"/>
      <c r="BU114" s="91"/>
      <c r="BV114" s="91"/>
      <c r="BW114" s="91"/>
      <c r="BX114" s="91"/>
      <c r="BY114" s="91"/>
      <c r="BZ114" s="90"/>
      <c r="CA114" s="91"/>
      <c r="CB114" s="75"/>
      <c r="CC114" s="91"/>
      <c r="CD114" s="91"/>
      <c r="CE114" s="90"/>
      <c r="CF114" s="91"/>
      <c r="CG114" s="91"/>
      <c r="CH114" s="91"/>
      <c r="CI114" s="91"/>
      <c r="CJ114" s="91"/>
      <c r="CK114" s="91"/>
      <c r="CL114" s="90"/>
      <c r="CM114" s="91"/>
      <c r="CN114" s="75"/>
      <c r="CO114" s="91"/>
      <c r="CP114" s="91"/>
      <c r="CQ114" s="90"/>
      <c r="CR114" s="91"/>
      <c r="CS114" s="91"/>
      <c r="CT114" s="91"/>
      <c r="CU114" s="91"/>
      <c r="CV114" s="91"/>
      <c r="CW114" s="91"/>
      <c r="CX114" s="90"/>
      <c r="CY114" s="91"/>
      <c r="CZ114" s="75"/>
      <c r="DA114" s="91"/>
      <c r="DB114" s="91"/>
      <c r="DC114" s="90"/>
      <c r="DD114" s="91"/>
      <c r="DE114" s="91"/>
      <c r="DF114" s="91"/>
      <c r="DG114" s="91"/>
      <c r="DH114" s="91"/>
      <c r="DI114" s="91"/>
      <c r="DJ114" s="90"/>
      <c r="DK114" s="91"/>
      <c r="DL114" s="75"/>
      <c r="DM114" s="75"/>
      <c r="DN114" s="75">
        <f t="shared" si="194"/>
        <v>0</v>
      </c>
      <c r="DO114" s="75" t="str">
        <f t="shared" si="196"/>
        <v/>
      </c>
      <c r="DP114" s="91" t="str">
        <f>IFERROR(#REF!/#REF!*1000,"")</f>
        <v/>
      </c>
      <c r="DQ114" s="91" t="str">
        <f>IFERROR(#REF!/#REF!*1000,"")</f>
        <v/>
      </c>
      <c r="DR114" s="90"/>
      <c r="DS114" s="91" t="str">
        <f>IFERROR(#REF!/#REF!*1000,"")</f>
        <v/>
      </c>
      <c r="DT114" s="91" t="str">
        <f>IFERROR(#REF!/#REF!*1000,"")</f>
        <v/>
      </c>
      <c r="DU114" s="91"/>
      <c r="DV114" s="91"/>
      <c r="DW114" s="91"/>
      <c r="DX114" s="91"/>
      <c r="DY114" s="90"/>
      <c r="DZ114" s="91"/>
      <c r="EA114" s="75"/>
      <c r="EB114" s="91"/>
      <c r="EC114" s="91"/>
      <c r="ED114" s="90"/>
      <c r="EE114" s="91"/>
      <c r="EF114" s="91"/>
      <c r="EG114" s="91"/>
      <c r="EH114" s="91"/>
      <c r="EI114" s="91"/>
      <c r="EJ114" s="91"/>
      <c r="EK114" s="90"/>
      <c r="EL114" s="90"/>
      <c r="EM114" s="88"/>
      <c r="EN114" s="92"/>
      <c r="EO114" s="92"/>
      <c r="EP114" s="92"/>
      <c r="EQ114" s="92"/>
      <c r="ER114" s="92"/>
      <c r="ES114" s="92"/>
      <c r="ET114" s="92"/>
      <c r="EU114" s="92"/>
      <c r="EV114" s="92"/>
      <c r="EW114" s="92"/>
      <c r="EX114" s="92"/>
      <c r="EY114" s="92"/>
      <c r="EZ114" s="92"/>
      <c r="FA114" s="92"/>
      <c r="FB114" s="92"/>
      <c r="FC114" s="92"/>
      <c r="FD114" s="92"/>
      <c r="FE114" s="92"/>
      <c r="FF114" s="92"/>
      <c r="FG114" s="92"/>
      <c r="FH114" s="92"/>
      <c r="FI114" s="92"/>
      <c r="FJ114" s="92"/>
      <c r="FK114" s="92"/>
      <c r="FL114" s="92"/>
      <c r="FM114" s="92"/>
      <c r="FN114" s="92"/>
      <c r="FO114" s="92"/>
      <c r="FP114" s="92"/>
      <c r="FQ114" s="92"/>
      <c r="FR114" s="92"/>
      <c r="FS114" s="92"/>
      <c r="FT114" s="92"/>
      <c r="FU114" s="92"/>
      <c r="FV114" s="92"/>
      <c r="FW114" s="92"/>
      <c r="FX114" s="92"/>
      <c r="FY114" s="92"/>
      <c r="FZ114" s="92"/>
      <c r="GA114" s="92"/>
      <c r="GB114" s="92"/>
      <c r="GC114" s="92"/>
      <c r="GD114" s="92"/>
      <c r="GE114" s="92"/>
      <c r="GF114" s="92"/>
      <c r="GG114" s="92"/>
      <c r="GH114" s="92"/>
      <c r="GI114" s="92"/>
      <c r="GJ114" s="92"/>
      <c r="GK114" s="92"/>
      <c r="GL114" s="92"/>
      <c r="GM114" s="92"/>
      <c r="GN114" s="92"/>
      <c r="GO114" s="92"/>
      <c r="GP114" s="92"/>
      <c r="GQ114" s="92"/>
      <c r="GR114" s="92"/>
      <c r="GS114" s="92"/>
      <c r="GT114" s="92"/>
      <c r="GU114" s="92"/>
      <c r="GV114" s="92"/>
      <c r="GW114" s="92"/>
      <c r="GX114" s="92"/>
      <c r="GY114" s="92"/>
      <c r="GZ114" s="92"/>
      <c r="HA114" s="92"/>
      <c r="HB114" s="92"/>
      <c r="HC114" s="92"/>
      <c r="HD114" s="92"/>
      <c r="HE114" s="92"/>
      <c r="HF114" s="92"/>
      <c r="HG114" s="92"/>
      <c r="HH114" s="92"/>
      <c r="HI114" s="92"/>
      <c r="HJ114" s="92"/>
      <c r="HK114" s="92"/>
      <c r="HL114" s="92"/>
      <c r="HM114" s="92"/>
      <c r="HN114" s="92"/>
      <c r="HO114" s="92"/>
      <c r="HP114" s="92"/>
      <c r="HQ114" s="92"/>
      <c r="HR114" s="92"/>
      <c r="HS114" s="92"/>
      <c r="HT114" s="92"/>
      <c r="HU114" s="92"/>
      <c r="HV114" s="92"/>
      <c r="HW114" s="92"/>
      <c r="HX114" s="92"/>
      <c r="HY114" s="92"/>
      <c r="HZ114" s="92"/>
      <c r="IA114" s="92"/>
      <c r="IB114" s="92"/>
      <c r="IC114" s="92"/>
      <c r="ID114" s="92"/>
      <c r="IE114" s="92"/>
      <c r="IF114" s="92"/>
      <c r="IG114" s="92"/>
      <c r="IH114" s="92"/>
      <c r="II114" s="92"/>
      <c r="IJ114" s="92"/>
      <c r="IK114" s="92"/>
      <c r="IL114" s="92"/>
      <c r="IM114" s="92"/>
      <c r="IN114" s="92"/>
      <c r="IO114" s="92"/>
      <c r="IP114" s="92"/>
      <c r="IQ114" s="92"/>
      <c r="IR114" s="92"/>
      <c r="IS114" s="92"/>
      <c r="IT114" s="92"/>
      <c r="IU114" s="92"/>
      <c r="IV114" s="92"/>
      <c r="IW114" s="92"/>
      <c r="IX114" s="92"/>
      <c r="IY114" s="92"/>
      <c r="IZ114" s="92"/>
      <c r="JA114" s="92"/>
      <c r="JB114" s="92"/>
      <c r="JC114" s="92"/>
      <c r="JD114" s="92"/>
      <c r="JE114" s="92"/>
      <c r="JF114" s="92"/>
      <c r="JG114" s="92"/>
      <c r="JH114" s="92"/>
      <c r="JI114" s="92"/>
      <c r="JJ114" s="92"/>
      <c r="JK114" s="92"/>
      <c r="JL114" s="92"/>
      <c r="JM114" s="92"/>
      <c r="JN114" s="92"/>
      <c r="JO114" s="92"/>
      <c r="JP114" s="92"/>
      <c r="JQ114" s="92"/>
      <c r="JR114" s="92"/>
      <c r="JS114" s="92"/>
      <c r="JT114" s="92"/>
      <c r="JU114" s="92"/>
      <c r="JV114" s="92"/>
      <c r="JW114" s="92"/>
      <c r="JX114" s="92"/>
      <c r="JY114" s="92"/>
      <c r="JZ114" s="92"/>
      <c r="KA114" s="92"/>
      <c r="KB114" s="92"/>
      <c r="KC114" s="92"/>
      <c r="KD114" s="92"/>
      <c r="KE114" s="92"/>
      <c r="KF114" s="92"/>
      <c r="KG114" s="92"/>
      <c r="KH114" s="92"/>
      <c r="KI114" s="92"/>
      <c r="KJ114" s="92"/>
      <c r="KK114" s="92"/>
      <c r="KL114" s="92"/>
      <c r="KM114" s="92"/>
      <c r="KN114" s="92"/>
      <c r="KO114" s="92"/>
      <c r="KP114" s="92"/>
      <c r="KQ114" s="88"/>
      <c r="KR114" s="92"/>
      <c r="KS114" s="92"/>
      <c r="KT114" s="92"/>
      <c r="KU114" s="93"/>
      <c r="KV114" s="92"/>
      <c r="KW114" s="93"/>
      <c r="KX114" s="92"/>
      <c r="KY114" s="93"/>
      <c r="KZ114" s="92"/>
      <c r="LA114" s="93"/>
      <c r="LB114" s="92"/>
      <c r="LC114" s="93"/>
      <c r="LD114" s="92"/>
      <c r="LE114" s="93"/>
      <c r="LF114" s="92"/>
      <c r="LG114" s="92"/>
      <c r="LH114" s="92"/>
      <c r="LI114" s="92"/>
      <c r="LJ114" s="92"/>
      <c r="LK114" s="92"/>
      <c r="LL114" s="92"/>
      <c r="LM114" s="92"/>
      <c r="LN114" s="92"/>
      <c r="LO114" s="92"/>
      <c r="LP114" s="88"/>
      <c r="LQ114" s="93"/>
      <c r="LR114" s="88"/>
      <c r="LS114" s="93"/>
      <c r="LT114" s="93"/>
      <c r="LU114" s="93"/>
      <c r="LV114" s="93"/>
      <c r="LW114" s="93"/>
      <c r="LX114" s="93"/>
      <c r="LY114" s="93"/>
      <c r="LZ114" s="93"/>
      <c r="MA114" s="93"/>
      <c r="MB114" s="93"/>
      <c r="MC114" s="94"/>
      <c r="MD114" s="94"/>
      <c r="ME114" s="94"/>
      <c r="MF114" s="94"/>
      <c r="MG114" s="94"/>
      <c r="MH114" s="94"/>
      <c r="MI114" s="94"/>
      <c r="MJ114" s="94"/>
      <c r="MK114" s="94"/>
      <c r="ML114" s="94"/>
      <c r="MM114" s="94"/>
      <c r="MN114" s="94"/>
      <c r="MO114" s="95"/>
      <c r="MP114" s="95"/>
      <c r="MQ114" s="94"/>
      <c r="MR114" s="94"/>
      <c r="MS114" s="94"/>
      <c r="MT114" s="94"/>
      <c r="MU114" s="94"/>
      <c r="MV114" s="94"/>
      <c r="MW114" s="94"/>
      <c r="MX114" s="94"/>
      <c r="MY114" s="94"/>
      <c r="MZ114" s="94"/>
      <c r="NA114" s="94"/>
      <c r="NB114" s="94"/>
      <c r="NC114" s="94"/>
      <c r="ND114" s="94"/>
      <c r="NE114" s="94"/>
      <c r="NF114" s="94"/>
      <c r="NG114" s="94"/>
      <c r="NH114" s="94"/>
      <c r="NI114" s="94"/>
      <c r="NJ114" s="94"/>
    </row>
    <row r="115" spans="1:374" x14ac:dyDescent="0.25">
      <c r="A115" s="88"/>
      <c r="B115" s="88"/>
      <c r="C115" s="88"/>
      <c r="D115" s="88"/>
      <c r="E115" s="89"/>
      <c r="F115" s="88"/>
      <c r="G115" s="88"/>
      <c r="H115" s="88" t="str">
        <f t="shared" si="195"/>
        <v xml:space="preserve">  </v>
      </c>
      <c r="I115" s="88"/>
      <c r="J115" s="88"/>
      <c r="K115" s="88"/>
      <c r="L115" s="88"/>
      <c r="M115" s="88"/>
      <c r="N115" s="88"/>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1"/>
      <c r="AR115" s="75"/>
      <c r="AS115" s="91"/>
      <c r="AT115" s="91"/>
      <c r="AU115" s="90"/>
      <c r="AV115" s="91"/>
      <c r="AW115" s="91"/>
      <c r="AX115" s="91"/>
      <c r="AY115" s="91"/>
      <c r="AZ115" s="91"/>
      <c r="BA115" s="91"/>
      <c r="BB115" s="90"/>
      <c r="BC115" s="91"/>
      <c r="BD115" s="75"/>
      <c r="BE115" s="91"/>
      <c r="BF115" s="91"/>
      <c r="BG115" s="90"/>
      <c r="BH115" s="91"/>
      <c r="BI115" s="91"/>
      <c r="BJ115" s="91"/>
      <c r="BK115" s="91"/>
      <c r="BL115" s="91"/>
      <c r="BM115" s="91"/>
      <c r="BN115" s="90"/>
      <c r="BO115" s="91"/>
      <c r="BP115" s="75"/>
      <c r="BQ115" s="91"/>
      <c r="BR115" s="91"/>
      <c r="BS115" s="90"/>
      <c r="BT115" s="91"/>
      <c r="BU115" s="91"/>
      <c r="BV115" s="91"/>
      <c r="BW115" s="91"/>
      <c r="BX115" s="91"/>
      <c r="BY115" s="91"/>
      <c r="BZ115" s="90"/>
      <c r="CA115" s="91"/>
      <c r="CB115" s="75"/>
      <c r="CC115" s="91"/>
      <c r="CD115" s="91"/>
      <c r="CE115" s="90"/>
      <c r="CF115" s="91"/>
      <c r="CG115" s="91"/>
      <c r="CH115" s="91"/>
      <c r="CI115" s="91"/>
      <c r="CJ115" s="91"/>
      <c r="CK115" s="91"/>
      <c r="CL115" s="90"/>
      <c r="CM115" s="91"/>
      <c r="CN115" s="75"/>
      <c r="CO115" s="91"/>
      <c r="CP115" s="91"/>
      <c r="CQ115" s="90"/>
      <c r="CR115" s="91"/>
      <c r="CS115" s="91"/>
      <c r="CT115" s="91"/>
      <c r="CU115" s="91"/>
      <c r="CV115" s="91"/>
      <c r="CW115" s="91"/>
      <c r="CX115" s="90"/>
      <c r="CY115" s="91"/>
      <c r="CZ115" s="75"/>
      <c r="DA115" s="91"/>
      <c r="DB115" s="91"/>
      <c r="DC115" s="90"/>
      <c r="DD115" s="91"/>
      <c r="DE115" s="91"/>
      <c r="DF115" s="91"/>
      <c r="DG115" s="91"/>
      <c r="DH115" s="91"/>
      <c r="DI115" s="91"/>
      <c r="DJ115" s="90"/>
      <c r="DK115" s="91"/>
      <c r="DL115" s="75"/>
      <c r="DM115" s="75"/>
      <c r="DN115" s="75">
        <f t="shared" si="194"/>
        <v>0</v>
      </c>
      <c r="DO115" s="75" t="str">
        <f t="shared" si="196"/>
        <v/>
      </c>
      <c r="DP115" s="91" t="str">
        <f>IFERROR(#REF!/#REF!*1000,"")</f>
        <v/>
      </c>
      <c r="DQ115" s="91" t="str">
        <f>IFERROR(#REF!/#REF!*1000,"")</f>
        <v/>
      </c>
      <c r="DR115" s="90"/>
      <c r="DS115" s="91" t="str">
        <f>IFERROR(#REF!/#REF!*1000,"")</f>
        <v/>
      </c>
      <c r="DT115" s="91" t="str">
        <f>IFERROR(#REF!/#REF!*1000,"")</f>
        <v/>
      </c>
      <c r="DU115" s="91"/>
      <c r="DV115" s="91"/>
      <c r="DW115" s="91"/>
      <c r="DX115" s="91"/>
      <c r="DY115" s="90"/>
      <c r="DZ115" s="91"/>
      <c r="EA115" s="75"/>
      <c r="EB115" s="91"/>
      <c r="EC115" s="91"/>
      <c r="ED115" s="90"/>
      <c r="EE115" s="91"/>
      <c r="EF115" s="91"/>
      <c r="EG115" s="91"/>
      <c r="EH115" s="91"/>
      <c r="EI115" s="91"/>
      <c r="EJ115" s="91"/>
      <c r="EK115" s="90"/>
      <c r="EL115" s="90"/>
      <c r="EM115" s="88"/>
      <c r="EN115" s="92"/>
      <c r="EO115" s="92"/>
      <c r="EP115" s="92"/>
      <c r="EQ115" s="92"/>
      <c r="ER115" s="92"/>
      <c r="ES115" s="92"/>
      <c r="ET115" s="92"/>
      <c r="EU115" s="92"/>
      <c r="EV115" s="92"/>
      <c r="EW115" s="92"/>
      <c r="EX115" s="92"/>
      <c r="EY115" s="92"/>
      <c r="EZ115" s="92"/>
      <c r="FA115" s="92"/>
      <c r="FB115" s="92"/>
      <c r="FC115" s="92"/>
      <c r="FD115" s="92"/>
      <c r="FE115" s="92"/>
      <c r="FF115" s="92"/>
      <c r="FG115" s="92"/>
      <c r="FH115" s="92"/>
      <c r="FI115" s="92"/>
      <c r="FJ115" s="92"/>
      <c r="FK115" s="92"/>
      <c r="FL115" s="92"/>
      <c r="FM115" s="92"/>
      <c r="FN115" s="92"/>
      <c r="FO115" s="92"/>
      <c r="FP115" s="92"/>
      <c r="FQ115" s="92"/>
      <c r="FR115" s="92"/>
      <c r="FS115" s="92"/>
      <c r="FT115" s="92"/>
      <c r="FU115" s="92"/>
      <c r="FV115" s="92"/>
      <c r="FW115" s="92"/>
      <c r="FX115" s="92"/>
      <c r="FY115" s="92"/>
      <c r="FZ115" s="92"/>
      <c r="GA115" s="92"/>
      <c r="GB115" s="92"/>
      <c r="GC115" s="92"/>
      <c r="GD115" s="92"/>
      <c r="GE115" s="92"/>
      <c r="GF115" s="92"/>
      <c r="GG115" s="92"/>
      <c r="GH115" s="92"/>
      <c r="GI115" s="92"/>
      <c r="GJ115" s="92"/>
      <c r="GK115" s="92"/>
      <c r="GL115" s="92"/>
      <c r="GM115" s="92"/>
      <c r="GN115" s="92"/>
      <c r="GO115" s="92"/>
      <c r="GP115" s="92"/>
      <c r="GQ115" s="92"/>
      <c r="GR115" s="92"/>
      <c r="GS115" s="92"/>
      <c r="GT115" s="92"/>
      <c r="GU115" s="92"/>
      <c r="GV115" s="92"/>
      <c r="GW115" s="92"/>
      <c r="GX115" s="92"/>
      <c r="GY115" s="92"/>
      <c r="GZ115" s="92"/>
      <c r="HA115" s="92"/>
      <c r="HB115" s="92"/>
      <c r="HC115" s="92"/>
      <c r="HD115" s="92"/>
      <c r="HE115" s="92"/>
      <c r="HF115" s="92"/>
      <c r="HG115" s="92"/>
      <c r="HH115" s="92"/>
      <c r="HI115" s="92"/>
      <c r="HJ115" s="92"/>
      <c r="HK115" s="92"/>
      <c r="HL115" s="92"/>
      <c r="HM115" s="92"/>
      <c r="HN115" s="92"/>
      <c r="HO115" s="92"/>
      <c r="HP115" s="92"/>
      <c r="HQ115" s="92"/>
      <c r="HR115" s="92"/>
      <c r="HS115" s="92"/>
      <c r="HT115" s="92"/>
      <c r="HU115" s="92"/>
      <c r="HV115" s="92"/>
      <c r="HW115" s="92"/>
      <c r="HX115" s="92"/>
      <c r="HY115" s="92"/>
      <c r="HZ115" s="92"/>
      <c r="IA115" s="92"/>
      <c r="IB115" s="92"/>
      <c r="IC115" s="92"/>
      <c r="ID115" s="92"/>
      <c r="IE115" s="92"/>
      <c r="IF115" s="92"/>
      <c r="IG115" s="92"/>
      <c r="IH115" s="92"/>
      <c r="II115" s="92"/>
      <c r="IJ115" s="92"/>
      <c r="IK115" s="92"/>
      <c r="IL115" s="92"/>
      <c r="IM115" s="92"/>
      <c r="IN115" s="92"/>
      <c r="IO115" s="92"/>
      <c r="IP115" s="92"/>
      <c r="IQ115" s="92"/>
      <c r="IR115" s="92"/>
      <c r="IS115" s="92"/>
      <c r="IT115" s="92"/>
      <c r="IU115" s="92"/>
      <c r="IV115" s="92"/>
      <c r="IW115" s="92"/>
      <c r="IX115" s="92"/>
      <c r="IY115" s="92"/>
      <c r="IZ115" s="92"/>
      <c r="JA115" s="92"/>
      <c r="JB115" s="92"/>
      <c r="JC115" s="92"/>
      <c r="JD115" s="92"/>
      <c r="JE115" s="92"/>
      <c r="JF115" s="92"/>
      <c r="JG115" s="92"/>
      <c r="JH115" s="92"/>
      <c r="JI115" s="92"/>
      <c r="JJ115" s="92"/>
      <c r="JK115" s="92"/>
      <c r="JL115" s="92"/>
      <c r="JM115" s="92"/>
      <c r="JN115" s="92"/>
      <c r="JO115" s="92"/>
      <c r="JP115" s="92"/>
      <c r="JQ115" s="92"/>
      <c r="JR115" s="92"/>
      <c r="JS115" s="92"/>
      <c r="JT115" s="92"/>
      <c r="JU115" s="92"/>
      <c r="JV115" s="92"/>
      <c r="JW115" s="92"/>
      <c r="JX115" s="92"/>
      <c r="JY115" s="92"/>
      <c r="JZ115" s="92"/>
      <c r="KA115" s="92"/>
      <c r="KB115" s="92"/>
      <c r="KC115" s="92"/>
      <c r="KD115" s="92"/>
      <c r="KE115" s="92"/>
      <c r="KF115" s="92"/>
      <c r="KG115" s="92"/>
      <c r="KH115" s="92"/>
      <c r="KI115" s="92"/>
      <c r="KJ115" s="92"/>
      <c r="KK115" s="92"/>
      <c r="KL115" s="92"/>
      <c r="KM115" s="92"/>
      <c r="KN115" s="92"/>
      <c r="KO115" s="92"/>
      <c r="KP115" s="92"/>
      <c r="KQ115" s="88"/>
      <c r="KR115" s="92"/>
      <c r="KS115" s="92"/>
      <c r="KT115" s="92"/>
      <c r="KU115" s="93"/>
      <c r="KV115" s="92"/>
      <c r="KW115" s="93"/>
      <c r="KX115" s="92"/>
      <c r="KY115" s="93"/>
      <c r="KZ115" s="92"/>
      <c r="LA115" s="93"/>
      <c r="LB115" s="92"/>
      <c r="LC115" s="93"/>
      <c r="LD115" s="92"/>
      <c r="LE115" s="93"/>
      <c r="LF115" s="92"/>
      <c r="LG115" s="92"/>
      <c r="LH115" s="92"/>
      <c r="LI115" s="92"/>
      <c r="LJ115" s="92"/>
      <c r="LK115" s="92"/>
      <c r="LL115" s="92"/>
      <c r="LM115" s="92"/>
      <c r="LN115" s="92"/>
      <c r="LO115" s="92"/>
      <c r="LP115" s="88"/>
      <c r="LQ115" s="93"/>
      <c r="LR115" s="88"/>
      <c r="LS115" s="93"/>
      <c r="LT115" s="93"/>
      <c r="LU115" s="93"/>
      <c r="LV115" s="93"/>
      <c r="LW115" s="93"/>
      <c r="LX115" s="93"/>
      <c r="LY115" s="93"/>
      <c r="LZ115" s="93"/>
      <c r="MA115" s="93"/>
      <c r="MB115" s="93"/>
      <c r="MC115" s="94"/>
      <c r="MD115" s="94"/>
      <c r="ME115" s="94"/>
      <c r="MF115" s="94"/>
      <c r="MG115" s="94"/>
      <c r="MH115" s="94"/>
      <c r="MI115" s="94"/>
      <c r="MJ115" s="94"/>
      <c r="MK115" s="94"/>
      <c r="ML115" s="94"/>
      <c r="MM115" s="94"/>
      <c r="MN115" s="94"/>
      <c r="MO115" s="95"/>
      <c r="MP115" s="95"/>
      <c r="MQ115" s="94"/>
      <c r="MR115" s="94"/>
      <c r="MS115" s="94"/>
      <c r="MT115" s="94"/>
      <c r="MU115" s="94"/>
      <c r="MV115" s="94"/>
      <c r="MW115" s="94"/>
      <c r="MX115" s="94"/>
      <c r="MY115" s="94"/>
      <c r="MZ115" s="94"/>
      <c r="NA115" s="94"/>
      <c r="NB115" s="94"/>
      <c r="NC115" s="94"/>
      <c r="ND115" s="94"/>
      <c r="NE115" s="94"/>
      <c r="NF115" s="94"/>
      <c r="NG115" s="94"/>
      <c r="NH115" s="94"/>
      <c r="NI115" s="94"/>
      <c r="NJ115" s="94"/>
    </row>
    <row r="116" spans="1:374" x14ac:dyDescent="0.25">
      <c r="A116" s="88"/>
      <c r="B116" s="88"/>
      <c r="C116" s="88"/>
      <c r="D116" s="88"/>
      <c r="E116" s="89"/>
      <c r="F116" s="88"/>
      <c r="G116" s="88"/>
      <c r="H116" s="88" t="str">
        <f t="shared" si="195"/>
        <v xml:space="preserve">  </v>
      </c>
      <c r="I116" s="88"/>
      <c r="J116" s="88"/>
      <c r="K116" s="88"/>
      <c r="L116" s="88"/>
      <c r="M116" s="88"/>
      <c r="N116" s="88"/>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1"/>
      <c r="AR116" s="75"/>
      <c r="AS116" s="91"/>
      <c r="AT116" s="91"/>
      <c r="AU116" s="90"/>
      <c r="AV116" s="91"/>
      <c r="AW116" s="91"/>
      <c r="AX116" s="91"/>
      <c r="AY116" s="91"/>
      <c r="AZ116" s="91"/>
      <c r="BA116" s="91"/>
      <c r="BB116" s="90"/>
      <c r="BC116" s="91"/>
      <c r="BD116" s="75"/>
      <c r="BE116" s="91"/>
      <c r="BF116" s="91"/>
      <c r="BG116" s="90"/>
      <c r="BH116" s="91"/>
      <c r="BI116" s="91"/>
      <c r="BJ116" s="91"/>
      <c r="BK116" s="91"/>
      <c r="BL116" s="91"/>
      <c r="BM116" s="91"/>
      <c r="BN116" s="90"/>
      <c r="BO116" s="91"/>
      <c r="BP116" s="75"/>
      <c r="BQ116" s="91"/>
      <c r="BR116" s="91"/>
      <c r="BS116" s="90"/>
      <c r="BT116" s="91"/>
      <c r="BU116" s="91"/>
      <c r="BV116" s="91"/>
      <c r="BW116" s="91"/>
      <c r="BX116" s="91"/>
      <c r="BY116" s="91"/>
      <c r="BZ116" s="90"/>
      <c r="CA116" s="91"/>
      <c r="CB116" s="75"/>
      <c r="CC116" s="91"/>
      <c r="CD116" s="91"/>
      <c r="CE116" s="90"/>
      <c r="CF116" s="91"/>
      <c r="CG116" s="91"/>
      <c r="CH116" s="91"/>
      <c r="CI116" s="91"/>
      <c r="CJ116" s="91"/>
      <c r="CK116" s="91"/>
      <c r="CL116" s="90"/>
      <c r="CM116" s="91"/>
      <c r="CN116" s="75"/>
      <c r="CO116" s="91"/>
      <c r="CP116" s="91"/>
      <c r="CQ116" s="90"/>
      <c r="CR116" s="91"/>
      <c r="CS116" s="91"/>
      <c r="CT116" s="91"/>
      <c r="CU116" s="91"/>
      <c r="CV116" s="91"/>
      <c r="CW116" s="91"/>
      <c r="CX116" s="90"/>
      <c r="CY116" s="91"/>
      <c r="CZ116" s="75"/>
      <c r="DA116" s="91"/>
      <c r="DB116" s="91"/>
      <c r="DC116" s="90"/>
      <c r="DD116" s="91"/>
      <c r="DE116" s="91"/>
      <c r="DF116" s="91"/>
      <c r="DG116" s="91"/>
      <c r="DH116" s="91"/>
      <c r="DI116" s="91"/>
      <c r="DJ116" s="90"/>
      <c r="DK116" s="91"/>
      <c r="DL116" s="75"/>
      <c r="DM116" s="75"/>
      <c r="DN116" s="75">
        <f t="shared" si="194"/>
        <v>0</v>
      </c>
      <c r="DO116" s="75" t="str">
        <f t="shared" si="196"/>
        <v/>
      </c>
      <c r="DP116" s="91" t="str">
        <f>IFERROR(#REF!/#REF!*1000,"")</f>
        <v/>
      </c>
      <c r="DQ116" s="91" t="str">
        <f>IFERROR(#REF!/#REF!*1000,"")</f>
        <v/>
      </c>
      <c r="DR116" s="90"/>
      <c r="DS116" s="91" t="str">
        <f>IFERROR(#REF!/#REF!*1000,"")</f>
        <v/>
      </c>
      <c r="DT116" s="91" t="str">
        <f>IFERROR(#REF!/#REF!*1000,"")</f>
        <v/>
      </c>
      <c r="DU116" s="91"/>
      <c r="DV116" s="91"/>
      <c r="DW116" s="91"/>
      <c r="DX116" s="91"/>
      <c r="DY116" s="90"/>
      <c r="DZ116" s="91"/>
      <c r="EA116" s="75"/>
      <c r="EB116" s="91"/>
      <c r="EC116" s="91"/>
      <c r="ED116" s="90"/>
      <c r="EE116" s="91"/>
      <c r="EF116" s="91"/>
      <c r="EG116" s="91"/>
      <c r="EH116" s="91"/>
      <c r="EI116" s="91"/>
      <c r="EJ116" s="91"/>
      <c r="EK116" s="90"/>
      <c r="EL116" s="90"/>
      <c r="EM116" s="88"/>
      <c r="EN116" s="92"/>
      <c r="EO116" s="92"/>
      <c r="EP116" s="92"/>
      <c r="EQ116" s="92"/>
      <c r="ER116" s="92"/>
      <c r="ES116" s="92"/>
      <c r="ET116" s="92"/>
      <c r="EU116" s="92"/>
      <c r="EV116" s="92"/>
      <c r="EW116" s="92"/>
      <c r="EX116" s="92"/>
      <c r="EY116" s="92"/>
      <c r="EZ116" s="92"/>
      <c r="FA116" s="92"/>
      <c r="FB116" s="92"/>
      <c r="FC116" s="92"/>
      <c r="FD116" s="92"/>
      <c r="FE116" s="92"/>
      <c r="FF116" s="92"/>
      <c r="FG116" s="92"/>
      <c r="FH116" s="92"/>
      <c r="FI116" s="92"/>
      <c r="FJ116" s="92"/>
      <c r="FK116" s="92"/>
      <c r="FL116" s="92"/>
      <c r="FM116" s="92"/>
      <c r="FN116" s="92"/>
      <c r="FO116" s="92"/>
      <c r="FP116" s="92"/>
      <c r="FQ116" s="92"/>
      <c r="FR116" s="92"/>
      <c r="FS116" s="92"/>
      <c r="FT116" s="92"/>
      <c r="FU116" s="92"/>
      <c r="FV116" s="92"/>
      <c r="FW116" s="92"/>
      <c r="FX116" s="92"/>
      <c r="FY116" s="92"/>
      <c r="FZ116" s="92"/>
      <c r="GA116" s="92"/>
      <c r="GB116" s="92"/>
      <c r="GC116" s="92"/>
      <c r="GD116" s="92"/>
      <c r="GE116" s="92"/>
      <c r="GF116" s="92"/>
      <c r="GG116" s="92"/>
      <c r="GH116" s="92"/>
      <c r="GI116" s="92"/>
      <c r="GJ116" s="92"/>
      <c r="GK116" s="92"/>
      <c r="GL116" s="92"/>
      <c r="GM116" s="92"/>
      <c r="GN116" s="92"/>
      <c r="GO116" s="92"/>
      <c r="GP116" s="92"/>
      <c r="GQ116" s="92"/>
      <c r="GR116" s="92"/>
      <c r="GS116" s="92"/>
      <c r="GT116" s="92"/>
      <c r="GU116" s="92"/>
      <c r="GV116" s="92"/>
      <c r="GW116" s="92"/>
      <c r="GX116" s="92"/>
      <c r="GY116" s="92"/>
      <c r="GZ116" s="92"/>
      <c r="HA116" s="92"/>
      <c r="HB116" s="92"/>
      <c r="HC116" s="92"/>
      <c r="HD116" s="92"/>
      <c r="HE116" s="92"/>
      <c r="HF116" s="92"/>
      <c r="HG116" s="92"/>
      <c r="HH116" s="92"/>
      <c r="HI116" s="92"/>
      <c r="HJ116" s="92"/>
      <c r="HK116" s="92"/>
      <c r="HL116" s="92"/>
      <c r="HM116" s="92"/>
      <c r="HN116" s="92"/>
      <c r="HO116" s="92"/>
      <c r="HP116" s="92"/>
      <c r="HQ116" s="92"/>
      <c r="HR116" s="92"/>
      <c r="HS116" s="92"/>
      <c r="HT116" s="92"/>
      <c r="HU116" s="92"/>
      <c r="HV116" s="92"/>
      <c r="HW116" s="92"/>
      <c r="HX116" s="92"/>
      <c r="HY116" s="92"/>
      <c r="HZ116" s="92"/>
      <c r="IA116" s="92"/>
      <c r="IB116" s="92"/>
      <c r="IC116" s="92"/>
      <c r="ID116" s="92"/>
      <c r="IE116" s="92"/>
      <c r="IF116" s="92"/>
      <c r="IG116" s="92"/>
      <c r="IH116" s="92"/>
      <c r="II116" s="92"/>
      <c r="IJ116" s="92"/>
      <c r="IK116" s="92"/>
      <c r="IL116" s="92"/>
      <c r="IM116" s="92"/>
      <c r="IN116" s="92"/>
      <c r="IO116" s="92"/>
      <c r="IP116" s="92"/>
      <c r="IQ116" s="92"/>
      <c r="IR116" s="92"/>
      <c r="IS116" s="92"/>
      <c r="IT116" s="92"/>
      <c r="IU116" s="92"/>
      <c r="IV116" s="92"/>
      <c r="IW116" s="92"/>
      <c r="IX116" s="92"/>
      <c r="IY116" s="92"/>
      <c r="IZ116" s="92"/>
      <c r="JA116" s="92"/>
      <c r="JB116" s="92"/>
      <c r="JC116" s="92"/>
      <c r="JD116" s="92"/>
      <c r="JE116" s="92"/>
      <c r="JF116" s="92"/>
      <c r="JG116" s="92"/>
      <c r="JH116" s="92"/>
      <c r="JI116" s="92"/>
      <c r="JJ116" s="92"/>
      <c r="JK116" s="92"/>
      <c r="JL116" s="92"/>
      <c r="JM116" s="92"/>
      <c r="JN116" s="92"/>
      <c r="JO116" s="92"/>
      <c r="JP116" s="92"/>
      <c r="JQ116" s="92"/>
      <c r="JR116" s="92"/>
      <c r="JS116" s="92"/>
      <c r="JT116" s="92"/>
      <c r="JU116" s="92"/>
      <c r="JV116" s="92"/>
      <c r="JW116" s="92"/>
      <c r="JX116" s="92"/>
      <c r="JY116" s="92"/>
      <c r="JZ116" s="92"/>
      <c r="KA116" s="92"/>
      <c r="KB116" s="92"/>
      <c r="KC116" s="92"/>
      <c r="KD116" s="92"/>
      <c r="KE116" s="92"/>
      <c r="KF116" s="92"/>
      <c r="KG116" s="92"/>
      <c r="KH116" s="92"/>
      <c r="KI116" s="92"/>
      <c r="KJ116" s="92"/>
      <c r="KK116" s="92"/>
      <c r="KL116" s="92"/>
      <c r="KM116" s="92"/>
      <c r="KN116" s="92"/>
      <c r="KO116" s="92"/>
      <c r="KP116" s="92"/>
      <c r="KQ116" s="88"/>
      <c r="KR116" s="92"/>
      <c r="KS116" s="92"/>
      <c r="KT116" s="92"/>
      <c r="KU116" s="93"/>
      <c r="KV116" s="92"/>
      <c r="KW116" s="93"/>
      <c r="KX116" s="92"/>
      <c r="KY116" s="93"/>
      <c r="KZ116" s="92"/>
      <c r="LA116" s="93"/>
      <c r="LB116" s="92"/>
      <c r="LC116" s="93"/>
      <c r="LD116" s="92"/>
      <c r="LE116" s="93"/>
      <c r="LF116" s="92"/>
      <c r="LG116" s="92"/>
      <c r="LH116" s="92"/>
      <c r="LI116" s="92"/>
      <c r="LJ116" s="92"/>
      <c r="LK116" s="92"/>
      <c r="LL116" s="92"/>
      <c r="LM116" s="92"/>
      <c r="LN116" s="92"/>
      <c r="LO116" s="92"/>
      <c r="LP116" s="88"/>
      <c r="LQ116" s="93"/>
      <c r="LR116" s="88"/>
      <c r="LS116" s="93"/>
      <c r="LT116" s="93"/>
      <c r="LU116" s="93"/>
      <c r="LV116" s="93"/>
      <c r="LW116" s="93"/>
      <c r="LX116" s="93"/>
      <c r="LY116" s="93"/>
      <c r="LZ116" s="93"/>
      <c r="MA116" s="93"/>
      <c r="MB116" s="93"/>
      <c r="MC116" s="94"/>
      <c r="MD116" s="94"/>
      <c r="ME116" s="94"/>
      <c r="MF116" s="94"/>
      <c r="MG116" s="94"/>
      <c r="MH116" s="94"/>
      <c r="MI116" s="94"/>
      <c r="MJ116" s="94"/>
      <c r="MK116" s="94"/>
      <c r="ML116" s="94"/>
      <c r="MM116" s="94"/>
      <c r="MN116" s="94"/>
      <c r="MO116" s="95"/>
      <c r="MP116" s="95"/>
      <c r="MQ116" s="94"/>
      <c r="MR116" s="94"/>
      <c r="MS116" s="94"/>
      <c r="MT116" s="94"/>
      <c r="MU116" s="94"/>
      <c r="MV116" s="94"/>
      <c r="MW116" s="94"/>
      <c r="MX116" s="94"/>
      <c r="MY116" s="94"/>
      <c r="MZ116" s="94"/>
      <c r="NA116" s="94"/>
      <c r="NB116" s="94"/>
      <c r="NC116" s="94"/>
      <c r="ND116" s="94"/>
      <c r="NE116" s="94"/>
      <c r="NF116" s="94"/>
      <c r="NG116" s="94"/>
      <c r="NH116" s="94"/>
      <c r="NI116" s="94"/>
      <c r="NJ116" s="94"/>
    </row>
    <row r="117" spans="1:374" x14ac:dyDescent="0.25">
      <c r="A117" s="88"/>
      <c r="B117" s="88"/>
      <c r="C117" s="88"/>
      <c r="D117" s="88"/>
      <c r="E117" s="89"/>
      <c r="F117" s="88"/>
      <c r="G117" s="88"/>
      <c r="H117" s="88" t="str">
        <f t="shared" si="195"/>
        <v xml:space="preserve">  </v>
      </c>
      <c r="I117" s="88"/>
      <c r="J117" s="88"/>
      <c r="K117" s="88"/>
      <c r="L117" s="88"/>
      <c r="M117" s="88"/>
      <c r="N117" s="88"/>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1"/>
      <c r="AR117" s="75"/>
      <c r="AS117" s="91"/>
      <c r="AT117" s="91"/>
      <c r="AU117" s="90"/>
      <c r="AV117" s="91"/>
      <c r="AW117" s="91"/>
      <c r="AX117" s="91"/>
      <c r="AY117" s="91"/>
      <c r="AZ117" s="91"/>
      <c r="BA117" s="91"/>
      <c r="BB117" s="90"/>
      <c r="BC117" s="91"/>
      <c r="BD117" s="75"/>
      <c r="BE117" s="91"/>
      <c r="BF117" s="91"/>
      <c r="BG117" s="90"/>
      <c r="BH117" s="91"/>
      <c r="BI117" s="91"/>
      <c r="BJ117" s="91"/>
      <c r="BK117" s="91"/>
      <c r="BL117" s="91"/>
      <c r="BM117" s="91"/>
      <c r="BN117" s="90"/>
      <c r="BO117" s="91"/>
      <c r="BP117" s="75"/>
      <c r="BQ117" s="91"/>
      <c r="BR117" s="91"/>
      <c r="BS117" s="90"/>
      <c r="BT117" s="91"/>
      <c r="BU117" s="91"/>
      <c r="BV117" s="91"/>
      <c r="BW117" s="91"/>
      <c r="BX117" s="91"/>
      <c r="BY117" s="91"/>
      <c r="BZ117" s="90"/>
      <c r="CA117" s="91"/>
      <c r="CB117" s="75"/>
      <c r="CC117" s="91"/>
      <c r="CD117" s="91"/>
      <c r="CE117" s="90"/>
      <c r="CF117" s="91"/>
      <c r="CG117" s="91"/>
      <c r="CH117" s="91"/>
      <c r="CI117" s="91"/>
      <c r="CJ117" s="91"/>
      <c r="CK117" s="91"/>
      <c r="CL117" s="90"/>
      <c r="CM117" s="91"/>
      <c r="CN117" s="75"/>
      <c r="CO117" s="91"/>
      <c r="CP117" s="91"/>
      <c r="CQ117" s="90"/>
      <c r="CR117" s="91"/>
      <c r="CS117" s="91"/>
      <c r="CT117" s="91"/>
      <c r="CU117" s="91"/>
      <c r="CV117" s="91"/>
      <c r="CW117" s="91"/>
      <c r="CX117" s="90"/>
      <c r="CY117" s="91"/>
      <c r="CZ117" s="75"/>
      <c r="DA117" s="91"/>
      <c r="DB117" s="91"/>
      <c r="DC117" s="90"/>
      <c r="DD117" s="91"/>
      <c r="DE117" s="91"/>
      <c r="DF117" s="91"/>
      <c r="DG117" s="91"/>
      <c r="DH117" s="91"/>
      <c r="DI117" s="91"/>
      <c r="DJ117" s="90"/>
      <c r="DK117" s="91"/>
      <c r="DL117" s="75"/>
      <c r="DM117" s="75"/>
      <c r="DN117" s="75">
        <f t="shared" si="194"/>
        <v>0</v>
      </c>
      <c r="DO117" s="75" t="str">
        <f t="shared" si="196"/>
        <v/>
      </c>
      <c r="DP117" s="91" t="str">
        <f>IFERROR(#REF!/#REF!*1000,"")</f>
        <v/>
      </c>
      <c r="DQ117" s="91" t="str">
        <f>IFERROR(#REF!/#REF!*1000,"")</f>
        <v/>
      </c>
      <c r="DR117" s="90"/>
      <c r="DS117" s="91" t="str">
        <f>IFERROR(#REF!/#REF!*1000,"")</f>
        <v/>
      </c>
      <c r="DT117" s="91" t="str">
        <f>IFERROR(#REF!/#REF!*1000,"")</f>
        <v/>
      </c>
      <c r="DU117" s="91"/>
      <c r="DV117" s="91"/>
      <c r="DW117" s="91"/>
      <c r="DX117" s="91"/>
      <c r="DY117" s="90"/>
      <c r="DZ117" s="91"/>
      <c r="EA117" s="75"/>
      <c r="EB117" s="91"/>
      <c r="EC117" s="91"/>
      <c r="ED117" s="90"/>
      <c r="EE117" s="91"/>
      <c r="EF117" s="91"/>
      <c r="EG117" s="91"/>
      <c r="EH117" s="91"/>
      <c r="EI117" s="91"/>
      <c r="EJ117" s="91"/>
      <c r="EK117" s="90"/>
      <c r="EL117" s="90"/>
      <c r="EM117" s="88"/>
      <c r="EN117" s="92"/>
      <c r="EO117" s="92"/>
      <c r="EP117" s="92"/>
      <c r="EQ117" s="92"/>
      <c r="ER117" s="92"/>
      <c r="ES117" s="92"/>
      <c r="ET117" s="92"/>
      <c r="EU117" s="92"/>
      <c r="EV117" s="92"/>
      <c r="EW117" s="92"/>
      <c r="EX117" s="92"/>
      <c r="EY117" s="92"/>
      <c r="EZ117" s="92"/>
      <c r="FA117" s="92"/>
      <c r="FB117" s="92"/>
      <c r="FC117" s="92"/>
      <c r="FD117" s="92"/>
      <c r="FE117" s="92"/>
      <c r="FF117" s="92"/>
      <c r="FG117" s="92"/>
      <c r="FH117" s="92"/>
      <c r="FI117" s="92"/>
      <c r="FJ117" s="92"/>
      <c r="FK117" s="92"/>
      <c r="FL117" s="92"/>
      <c r="FM117" s="92"/>
      <c r="FN117" s="92"/>
      <c r="FO117" s="92"/>
      <c r="FP117" s="92"/>
      <c r="FQ117" s="92"/>
      <c r="FR117" s="92"/>
      <c r="FS117" s="92"/>
      <c r="FT117" s="92"/>
      <c r="FU117" s="92"/>
      <c r="FV117" s="92"/>
      <c r="FW117" s="92"/>
      <c r="FX117" s="92"/>
      <c r="FY117" s="92"/>
      <c r="FZ117" s="92"/>
      <c r="GA117" s="92"/>
      <c r="GB117" s="92"/>
      <c r="GC117" s="92"/>
      <c r="GD117" s="92"/>
      <c r="GE117" s="92"/>
      <c r="GF117" s="92"/>
      <c r="GG117" s="92"/>
      <c r="GH117" s="92"/>
      <c r="GI117" s="92"/>
      <c r="GJ117" s="92"/>
      <c r="GK117" s="92"/>
      <c r="GL117" s="92"/>
      <c r="GM117" s="92"/>
      <c r="GN117" s="92"/>
      <c r="GO117" s="92"/>
      <c r="GP117" s="92"/>
      <c r="GQ117" s="92"/>
      <c r="GR117" s="92"/>
      <c r="GS117" s="92"/>
      <c r="GT117" s="92"/>
      <c r="GU117" s="92"/>
      <c r="GV117" s="92"/>
      <c r="GW117" s="92"/>
      <c r="GX117" s="92"/>
      <c r="GY117" s="92"/>
      <c r="GZ117" s="92"/>
      <c r="HA117" s="92"/>
      <c r="HB117" s="92"/>
      <c r="HC117" s="92"/>
      <c r="HD117" s="92"/>
      <c r="HE117" s="92"/>
      <c r="HF117" s="92"/>
      <c r="HG117" s="92"/>
      <c r="HH117" s="92"/>
      <c r="HI117" s="92"/>
      <c r="HJ117" s="92"/>
      <c r="HK117" s="92"/>
      <c r="HL117" s="92"/>
      <c r="HM117" s="92"/>
      <c r="HN117" s="92"/>
      <c r="HO117" s="92"/>
      <c r="HP117" s="92"/>
      <c r="HQ117" s="92"/>
      <c r="HR117" s="92"/>
      <c r="HS117" s="92"/>
      <c r="HT117" s="92"/>
      <c r="HU117" s="92"/>
      <c r="HV117" s="92"/>
      <c r="HW117" s="92"/>
      <c r="HX117" s="92"/>
      <c r="HY117" s="92"/>
      <c r="HZ117" s="92"/>
      <c r="IA117" s="92"/>
      <c r="IB117" s="92"/>
      <c r="IC117" s="92"/>
      <c r="ID117" s="92"/>
      <c r="IE117" s="92"/>
      <c r="IF117" s="92"/>
      <c r="IG117" s="92"/>
      <c r="IH117" s="92"/>
      <c r="II117" s="92"/>
      <c r="IJ117" s="92"/>
      <c r="IK117" s="92"/>
      <c r="IL117" s="92"/>
      <c r="IM117" s="92"/>
      <c r="IN117" s="92"/>
      <c r="IO117" s="92"/>
      <c r="IP117" s="92"/>
      <c r="IQ117" s="92"/>
      <c r="IR117" s="92"/>
      <c r="IS117" s="92"/>
      <c r="IT117" s="92"/>
      <c r="IU117" s="92"/>
      <c r="IV117" s="92"/>
      <c r="IW117" s="92"/>
      <c r="IX117" s="92"/>
      <c r="IY117" s="92"/>
      <c r="IZ117" s="92"/>
      <c r="JA117" s="92"/>
      <c r="JB117" s="92"/>
      <c r="JC117" s="92"/>
      <c r="JD117" s="92"/>
      <c r="JE117" s="92"/>
      <c r="JF117" s="92"/>
      <c r="JG117" s="92"/>
      <c r="JH117" s="92"/>
      <c r="JI117" s="92"/>
      <c r="JJ117" s="92"/>
      <c r="JK117" s="92"/>
      <c r="JL117" s="92"/>
      <c r="JM117" s="92"/>
      <c r="JN117" s="92"/>
      <c r="JO117" s="92"/>
      <c r="JP117" s="92"/>
      <c r="JQ117" s="92"/>
      <c r="JR117" s="92"/>
      <c r="JS117" s="92"/>
      <c r="JT117" s="92"/>
      <c r="JU117" s="92"/>
      <c r="JV117" s="92"/>
      <c r="JW117" s="92"/>
      <c r="JX117" s="92"/>
      <c r="JY117" s="92"/>
      <c r="JZ117" s="92"/>
      <c r="KA117" s="92"/>
      <c r="KB117" s="92"/>
      <c r="KC117" s="92"/>
      <c r="KD117" s="92"/>
      <c r="KE117" s="92"/>
      <c r="KF117" s="92"/>
      <c r="KG117" s="92"/>
      <c r="KH117" s="92"/>
      <c r="KI117" s="92"/>
      <c r="KJ117" s="92"/>
      <c r="KK117" s="92"/>
      <c r="KL117" s="92"/>
      <c r="KM117" s="92"/>
      <c r="KN117" s="92"/>
      <c r="KO117" s="92"/>
      <c r="KP117" s="92"/>
      <c r="KQ117" s="88"/>
      <c r="KR117" s="92"/>
      <c r="KS117" s="92"/>
      <c r="KT117" s="92"/>
      <c r="KU117" s="93"/>
      <c r="KV117" s="92"/>
      <c r="KW117" s="93"/>
      <c r="KX117" s="92"/>
      <c r="KY117" s="93"/>
      <c r="KZ117" s="92"/>
      <c r="LA117" s="93"/>
      <c r="LB117" s="92"/>
      <c r="LC117" s="93"/>
      <c r="LD117" s="92"/>
      <c r="LE117" s="93"/>
      <c r="LF117" s="92"/>
      <c r="LG117" s="92"/>
      <c r="LH117" s="92"/>
      <c r="LI117" s="92"/>
      <c r="LJ117" s="92"/>
      <c r="LK117" s="92"/>
      <c r="LL117" s="92"/>
      <c r="LM117" s="92"/>
      <c r="LN117" s="92"/>
      <c r="LO117" s="92"/>
      <c r="LP117" s="88"/>
      <c r="LQ117" s="93"/>
      <c r="LR117" s="88"/>
      <c r="LS117" s="93"/>
      <c r="LT117" s="93"/>
      <c r="LU117" s="93"/>
      <c r="LV117" s="93"/>
      <c r="LW117" s="93"/>
      <c r="LX117" s="93"/>
      <c r="LY117" s="93"/>
      <c r="LZ117" s="93"/>
      <c r="MA117" s="93"/>
      <c r="MB117" s="93"/>
      <c r="MC117" s="94"/>
      <c r="MD117" s="94"/>
      <c r="ME117" s="94"/>
      <c r="MF117" s="94"/>
      <c r="MG117" s="94"/>
      <c r="MH117" s="94"/>
      <c r="MI117" s="94"/>
      <c r="MJ117" s="94"/>
      <c r="MK117" s="94"/>
      <c r="ML117" s="94"/>
      <c r="MM117" s="94"/>
      <c r="MN117" s="94"/>
      <c r="MO117" s="95"/>
      <c r="MP117" s="95"/>
      <c r="MQ117" s="94"/>
      <c r="MR117" s="94"/>
      <c r="MS117" s="94"/>
      <c r="MT117" s="94"/>
      <c r="MU117" s="94"/>
      <c r="MV117" s="94"/>
      <c r="MW117" s="94"/>
      <c r="MX117" s="94"/>
      <c r="MY117" s="94"/>
      <c r="MZ117" s="94"/>
      <c r="NA117" s="94"/>
      <c r="NB117" s="94"/>
      <c r="NC117" s="94"/>
      <c r="ND117" s="94"/>
      <c r="NE117" s="94"/>
      <c r="NF117" s="94"/>
      <c r="NG117" s="94"/>
      <c r="NH117" s="94"/>
      <c r="NI117" s="94"/>
      <c r="NJ117" s="94"/>
    </row>
    <row r="118" spans="1:374" x14ac:dyDescent="0.25">
      <c r="A118" s="88"/>
      <c r="B118" s="88"/>
      <c r="C118" s="88"/>
      <c r="D118" s="88"/>
      <c r="E118" s="89"/>
      <c r="F118" s="88"/>
      <c r="G118" s="88"/>
      <c r="H118" s="88" t="str">
        <f t="shared" si="195"/>
        <v xml:space="preserve">  </v>
      </c>
      <c r="I118" s="88"/>
      <c r="J118" s="88"/>
      <c r="K118" s="88"/>
      <c r="L118" s="88"/>
      <c r="M118" s="88"/>
      <c r="N118" s="88"/>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1"/>
      <c r="AR118" s="75"/>
      <c r="AS118" s="91"/>
      <c r="AT118" s="91"/>
      <c r="AU118" s="90"/>
      <c r="AV118" s="91"/>
      <c r="AW118" s="91"/>
      <c r="AX118" s="91"/>
      <c r="AY118" s="91"/>
      <c r="AZ118" s="91"/>
      <c r="BA118" s="91"/>
      <c r="BB118" s="90"/>
      <c r="BC118" s="91"/>
      <c r="BD118" s="75"/>
      <c r="BE118" s="91"/>
      <c r="BF118" s="91"/>
      <c r="BG118" s="90"/>
      <c r="BH118" s="91"/>
      <c r="BI118" s="91"/>
      <c r="BJ118" s="91"/>
      <c r="BK118" s="91"/>
      <c r="BL118" s="91"/>
      <c r="BM118" s="91"/>
      <c r="BN118" s="90"/>
      <c r="BO118" s="91"/>
      <c r="BP118" s="75"/>
      <c r="BQ118" s="91"/>
      <c r="BR118" s="91"/>
      <c r="BS118" s="90"/>
      <c r="BT118" s="91"/>
      <c r="BU118" s="91"/>
      <c r="BV118" s="91"/>
      <c r="BW118" s="91"/>
      <c r="BX118" s="91"/>
      <c r="BY118" s="91"/>
      <c r="BZ118" s="90"/>
      <c r="CA118" s="91"/>
      <c r="CB118" s="75"/>
      <c r="CC118" s="91"/>
      <c r="CD118" s="91"/>
      <c r="CE118" s="90"/>
      <c r="CF118" s="91"/>
      <c r="CG118" s="91"/>
      <c r="CH118" s="91"/>
      <c r="CI118" s="91"/>
      <c r="CJ118" s="91"/>
      <c r="CK118" s="91"/>
      <c r="CL118" s="90"/>
      <c r="CM118" s="91"/>
      <c r="CN118" s="75"/>
      <c r="CO118" s="91"/>
      <c r="CP118" s="91"/>
      <c r="CQ118" s="90"/>
      <c r="CR118" s="91"/>
      <c r="CS118" s="91"/>
      <c r="CT118" s="91"/>
      <c r="CU118" s="91"/>
      <c r="CV118" s="91"/>
      <c r="CW118" s="91"/>
      <c r="CX118" s="90"/>
      <c r="CY118" s="91"/>
      <c r="CZ118" s="75"/>
      <c r="DA118" s="91"/>
      <c r="DB118" s="91"/>
      <c r="DC118" s="90"/>
      <c r="DD118" s="91"/>
      <c r="DE118" s="91"/>
      <c r="DF118" s="91"/>
      <c r="DG118" s="91"/>
      <c r="DH118" s="91"/>
      <c r="DI118" s="91"/>
      <c r="DJ118" s="90"/>
      <c r="DK118" s="91"/>
      <c r="DL118" s="75"/>
      <c r="DM118" s="75"/>
      <c r="DN118" s="75">
        <f t="shared" si="194"/>
        <v>0</v>
      </c>
      <c r="DO118" s="75" t="str">
        <f t="shared" si="196"/>
        <v/>
      </c>
      <c r="DP118" s="91" t="str">
        <f>IFERROR(#REF!/#REF!*1000,"")</f>
        <v/>
      </c>
      <c r="DQ118" s="91" t="str">
        <f>IFERROR(#REF!/#REF!*1000,"")</f>
        <v/>
      </c>
      <c r="DR118" s="90"/>
      <c r="DS118" s="91" t="str">
        <f>IFERROR(#REF!/#REF!*1000,"")</f>
        <v/>
      </c>
      <c r="DT118" s="91" t="str">
        <f>IFERROR(#REF!/#REF!*1000,"")</f>
        <v/>
      </c>
      <c r="DU118" s="91"/>
      <c r="DV118" s="91"/>
      <c r="DW118" s="91"/>
      <c r="DX118" s="91"/>
      <c r="DY118" s="90"/>
      <c r="DZ118" s="91"/>
      <c r="EA118" s="75"/>
      <c r="EB118" s="91"/>
      <c r="EC118" s="91"/>
      <c r="ED118" s="90"/>
      <c r="EE118" s="91"/>
      <c r="EF118" s="91"/>
      <c r="EG118" s="91"/>
      <c r="EH118" s="91"/>
      <c r="EI118" s="91"/>
      <c r="EJ118" s="91"/>
      <c r="EK118" s="90"/>
      <c r="EL118" s="90"/>
      <c r="EM118" s="88"/>
      <c r="EN118" s="92"/>
      <c r="EO118" s="92"/>
      <c r="EP118" s="92"/>
      <c r="EQ118" s="92"/>
      <c r="ER118" s="92"/>
      <c r="ES118" s="92"/>
      <c r="ET118" s="92"/>
      <c r="EU118" s="92"/>
      <c r="EV118" s="92"/>
      <c r="EW118" s="92"/>
      <c r="EX118" s="92"/>
      <c r="EY118" s="92"/>
      <c r="EZ118" s="92"/>
      <c r="FA118" s="92"/>
      <c r="FB118" s="92"/>
      <c r="FC118" s="92"/>
      <c r="FD118" s="92"/>
      <c r="FE118" s="92"/>
      <c r="FF118" s="92"/>
      <c r="FG118" s="92"/>
      <c r="FH118" s="92"/>
      <c r="FI118" s="92"/>
      <c r="FJ118" s="92"/>
      <c r="FK118" s="92"/>
      <c r="FL118" s="92"/>
      <c r="FM118" s="92"/>
      <c r="FN118" s="92"/>
      <c r="FO118" s="92"/>
      <c r="FP118" s="92"/>
      <c r="FQ118" s="92"/>
      <c r="FR118" s="92"/>
      <c r="FS118" s="92"/>
      <c r="FT118" s="92"/>
      <c r="FU118" s="92"/>
      <c r="FV118" s="92"/>
      <c r="FW118" s="92"/>
      <c r="FX118" s="92"/>
      <c r="FY118" s="92"/>
      <c r="FZ118" s="92"/>
      <c r="GA118" s="92"/>
      <c r="GB118" s="92"/>
      <c r="GC118" s="92"/>
      <c r="GD118" s="92"/>
      <c r="GE118" s="92"/>
      <c r="GF118" s="92"/>
      <c r="GG118" s="92"/>
      <c r="GH118" s="92"/>
      <c r="GI118" s="92"/>
      <c r="GJ118" s="92"/>
      <c r="GK118" s="92"/>
      <c r="GL118" s="92"/>
      <c r="GM118" s="92"/>
      <c r="GN118" s="92"/>
      <c r="GO118" s="92"/>
      <c r="GP118" s="92"/>
      <c r="GQ118" s="92"/>
      <c r="GR118" s="92"/>
      <c r="GS118" s="92"/>
      <c r="GT118" s="92"/>
      <c r="GU118" s="92"/>
      <c r="GV118" s="92"/>
      <c r="GW118" s="92"/>
      <c r="GX118" s="92"/>
      <c r="GY118" s="92"/>
      <c r="GZ118" s="92"/>
      <c r="HA118" s="92"/>
      <c r="HB118" s="92"/>
      <c r="HC118" s="92"/>
      <c r="HD118" s="92"/>
      <c r="HE118" s="92"/>
      <c r="HF118" s="92"/>
      <c r="HG118" s="92"/>
      <c r="HH118" s="92"/>
      <c r="HI118" s="92"/>
      <c r="HJ118" s="92"/>
      <c r="HK118" s="92"/>
      <c r="HL118" s="92"/>
      <c r="HM118" s="92"/>
      <c r="HN118" s="92"/>
      <c r="HO118" s="92"/>
      <c r="HP118" s="92"/>
      <c r="HQ118" s="92"/>
      <c r="HR118" s="92"/>
      <c r="HS118" s="92"/>
      <c r="HT118" s="92"/>
      <c r="HU118" s="92"/>
      <c r="HV118" s="92"/>
      <c r="HW118" s="92"/>
      <c r="HX118" s="92"/>
      <c r="HY118" s="92"/>
      <c r="HZ118" s="92"/>
      <c r="IA118" s="92"/>
      <c r="IB118" s="92"/>
      <c r="IC118" s="92"/>
      <c r="ID118" s="92"/>
      <c r="IE118" s="92"/>
      <c r="IF118" s="92"/>
      <c r="IG118" s="92"/>
      <c r="IH118" s="92"/>
      <c r="II118" s="92"/>
      <c r="IJ118" s="92"/>
      <c r="IK118" s="92"/>
      <c r="IL118" s="92"/>
      <c r="IM118" s="92"/>
      <c r="IN118" s="92"/>
      <c r="IO118" s="92"/>
      <c r="IP118" s="92"/>
      <c r="IQ118" s="92"/>
      <c r="IR118" s="92"/>
      <c r="IS118" s="92"/>
      <c r="IT118" s="92"/>
      <c r="IU118" s="92"/>
      <c r="IV118" s="92"/>
      <c r="IW118" s="92"/>
      <c r="IX118" s="92"/>
      <c r="IY118" s="92"/>
      <c r="IZ118" s="92"/>
      <c r="JA118" s="92"/>
      <c r="JB118" s="92"/>
      <c r="JC118" s="92"/>
      <c r="JD118" s="92"/>
      <c r="JE118" s="92"/>
      <c r="JF118" s="92"/>
      <c r="JG118" s="92"/>
      <c r="JH118" s="92"/>
      <c r="JI118" s="92"/>
      <c r="JJ118" s="92"/>
      <c r="JK118" s="92"/>
      <c r="JL118" s="92"/>
      <c r="JM118" s="92"/>
      <c r="JN118" s="92"/>
      <c r="JO118" s="92"/>
      <c r="JP118" s="92"/>
      <c r="JQ118" s="92"/>
      <c r="JR118" s="92"/>
      <c r="JS118" s="92"/>
      <c r="JT118" s="92"/>
      <c r="JU118" s="92"/>
      <c r="JV118" s="92"/>
      <c r="JW118" s="92"/>
      <c r="JX118" s="92"/>
      <c r="JY118" s="92"/>
      <c r="JZ118" s="92"/>
      <c r="KA118" s="92"/>
      <c r="KB118" s="92"/>
      <c r="KC118" s="92"/>
      <c r="KD118" s="92"/>
      <c r="KE118" s="92"/>
      <c r="KF118" s="92"/>
      <c r="KG118" s="92"/>
      <c r="KH118" s="92"/>
      <c r="KI118" s="92"/>
      <c r="KJ118" s="92"/>
      <c r="KK118" s="92"/>
      <c r="KL118" s="92"/>
      <c r="KM118" s="92"/>
      <c r="KN118" s="92"/>
      <c r="KO118" s="92"/>
      <c r="KP118" s="92"/>
      <c r="KQ118" s="88"/>
      <c r="KR118" s="92"/>
      <c r="KS118" s="92"/>
      <c r="KT118" s="92"/>
      <c r="KU118" s="93"/>
      <c r="KV118" s="92"/>
      <c r="KW118" s="93"/>
      <c r="KX118" s="92"/>
      <c r="KY118" s="93"/>
      <c r="KZ118" s="92"/>
      <c r="LA118" s="93"/>
      <c r="LB118" s="92"/>
      <c r="LC118" s="93"/>
      <c r="LD118" s="92"/>
      <c r="LE118" s="93"/>
      <c r="LF118" s="92"/>
      <c r="LG118" s="92"/>
      <c r="LH118" s="92"/>
      <c r="LI118" s="92"/>
      <c r="LJ118" s="92"/>
      <c r="LK118" s="92"/>
      <c r="LL118" s="92"/>
      <c r="LM118" s="92"/>
      <c r="LN118" s="92"/>
      <c r="LO118" s="92"/>
      <c r="LP118" s="88"/>
      <c r="LQ118" s="93"/>
      <c r="LR118" s="88"/>
      <c r="LS118" s="93"/>
      <c r="LT118" s="93"/>
      <c r="LU118" s="93"/>
      <c r="LV118" s="93"/>
      <c r="LW118" s="93"/>
      <c r="LX118" s="93"/>
      <c r="LY118" s="93"/>
      <c r="LZ118" s="93"/>
      <c r="MA118" s="93"/>
      <c r="MB118" s="93"/>
      <c r="MC118" s="94"/>
      <c r="MD118" s="94"/>
      <c r="ME118" s="94"/>
      <c r="MF118" s="94"/>
      <c r="MG118" s="94"/>
      <c r="MH118" s="94"/>
      <c r="MI118" s="94"/>
      <c r="MJ118" s="94"/>
      <c r="MK118" s="94"/>
      <c r="ML118" s="94"/>
      <c r="MM118" s="94"/>
      <c r="MN118" s="94"/>
      <c r="MO118" s="95"/>
      <c r="MP118" s="95"/>
      <c r="MQ118" s="94"/>
      <c r="MR118" s="94"/>
      <c r="MS118" s="94"/>
      <c r="MT118" s="94"/>
      <c r="MU118" s="94"/>
      <c r="MV118" s="94"/>
      <c r="MW118" s="94"/>
      <c r="MX118" s="94"/>
      <c r="MY118" s="94"/>
      <c r="MZ118" s="94"/>
      <c r="NA118" s="94"/>
      <c r="NB118" s="94"/>
      <c r="NC118" s="94"/>
      <c r="ND118" s="94"/>
      <c r="NE118" s="94"/>
      <c r="NF118" s="94"/>
      <c r="NG118" s="94"/>
      <c r="NH118" s="94"/>
      <c r="NI118" s="94"/>
      <c r="NJ118" s="94"/>
    </row>
    <row r="119" spans="1:374" x14ac:dyDescent="0.25">
      <c r="A119" s="88"/>
      <c r="B119" s="88"/>
      <c r="C119" s="88"/>
      <c r="D119" s="88"/>
      <c r="E119" s="89"/>
      <c r="F119" s="88"/>
      <c r="G119" s="88"/>
      <c r="H119" s="88" t="str">
        <f t="shared" si="195"/>
        <v xml:space="preserve">  </v>
      </c>
      <c r="I119" s="88"/>
      <c r="J119" s="88"/>
      <c r="K119" s="88"/>
      <c r="L119" s="88"/>
      <c r="M119" s="88"/>
      <c r="N119" s="88"/>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1"/>
      <c r="AR119" s="75"/>
      <c r="AS119" s="91"/>
      <c r="AT119" s="91"/>
      <c r="AU119" s="90"/>
      <c r="AV119" s="91"/>
      <c r="AW119" s="91"/>
      <c r="AX119" s="91"/>
      <c r="AY119" s="91"/>
      <c r="AZ119" s="91"/>
      <c r="BA119" s="91"/>
      <c r="BB119" s="90"/>
      <c r="BC119" s="91"/>
      <c r="BD119" s="75"/>
      <c r="BE119" s="91"/>
      <c r="BF119" s="91"/>
      <c r="BG119" s="90"/>
      <c r="BH119" s="91"/>
      <c r="BI119" s="91"/>
      <c r="BJ119" s="91"/>
      <c r="BK119" s="91"/>
      <c r="BL119" s="91"/>
      <c r="BM119" s="91"/>
      <c r="BN119" s="90"/>
      <c r="BO119" s="91"/>
      <c r="BP119" s="75"/>
      <c r="BQ119" s="91"/>
      <c r="BR119" s="91"/>
      <c r="BS119" s="90"/>
      <c r="BT119" s="91"/>
      <c r="BU119" s="91"/>
      <c r="BV119" s="91"/>
      <c r="BW119" s="91"/>
      <c r="BX119" s="91"/>
      <c r="BY119" s="91"/>
      <c r="BZ119" s="90"/>
      <c r="CA119" s="91"/>
      <c r="CB119" s="75"/>
      <c r="CC119" s="91"/>
      <c r="CD119" s="91"/>
      <c r="CE119" s="90"/>
      <c r="CF119" s="91"/>
      <c r="CG119" s="91"/>
      <c r="CH119" s="91"/>
      <c r="CI119" s="91"/>
      <c r="CJ119" s="91"/>
      <c r="CK119" s="91"/>
      <c r="CL119" s="90"/>
      <c r="CM119" s="91"/>
      <c r="CN119" s="75"/>
      <c r="CO119" s="91"/>
      <c r="CP119" s="91"/>
      <c r="CQ119" s="90"/>
      <c r="CR119" s="91"/>
      <c r="CS119" s="91"/>
      <c r="CT119" s="91"/>
      <c r="CU119" s="91"/>
      <c r="CV119" s="91"/>
      <c r="CW119" s="91"/>
      <c r="CX119" s="90"/>
      <c r="CY119" s="91"/>
      <c r="CZ119" s="75"/>
      <c r="DA119" s="91"/>
      <c r="DB119" s="91"/>
      <c r="DC119" s="90"/>
      <c r="DD119" s="91"/>
      <c r="DE119" s="91"/>
      <c r="DF119" s="91"/>
      <c r="DG119" s="91"/>
      <c r="DH119" s="91"/>
      <c r="DI119" s="91"/>
      <c r="DJ119" s="90"/>
      <c r="DK119" s="91"/>
      <c r="DL119" s="75"/>
      <c r="DM119" s="75"/>
      <c r="DN119" s="75">
        <f t="shared" si="194"/>
        <v>0</v>
      </c>
      <c r="DO119" s="75" t="str">
        <f t="shared" si="196"/>
        <v/>
      </c>
      <c r="DP119" s="91" t="str">
        <f>IFERROR(#REF!/#REF!*1000,"")</f>
        <v/>
      </c>
      <c r="DQ119" s="91" t="str">
        <f>IFERROR(#REF!/#REF!*1000,"")</f>
        <v/>
      </c>
      <c r="DR119" s="90"/>
      <c r="DS119" s="91" t="str">
        <f>IFERROR(#REF!/#REF!*1000,"")</f>
        <v/>
      </c>
      <c r="DT119" s="91" t="str">
        <f>IFERROR(#REF!/#REF!*1000,"")</f>
        <v/>
      </c>
      <c r="DU119" s="91"/>
      <c r="DV119" s="91"/>
      <c r="DW119" s="91"/>
      <c r="DX119" s="91"/>
      <c r="DY119" s="90"/>
      <c r="DZ119" s="91"/>
      <c r="EA119" s="75"/>
      <c r="EB119" s="91"/>
      <c r="EC119" s="91"/>
      <c r="ED119" s="90"/>
      <c r="EE119" s="91"/>
      <c r="EF119" s="91"/>
      <c r="EG119" s="91"/>
      <c r="EH119" s="91"/>
      <c r="EI119" s="91"/>
      <c r="EJ119" s="91"/>
      <c r="EK119" s="90"/>
      <c r="EL119" s="90"/>
      <c r="EM119" s="88"/>
      <c r="EN119" s="92"/>
      <c r="EO119" s="92"/>
      <c r="EP119" s="92"/>
      <c r="EQ119" s="92"/>
      <c r="ER119" s="92"/>
      <c r="ES119" s="92"/>
      <c r="ET119" s="92"/>
      <c r="EU119" s="92"/>
      <c r="EV119" s="92"/>
      <c r="EW119" s="92"/>
      <c r="EX119" s="92"/>
      <c r="EY119" s="92"/>
      <c r="EZ119" s="92"/>
      <c r="FA119" s="92"/>
      <c r="FB119" s="92"/>
      <c r="FC119" s="92"/>
      <c r="FD119" s="92"/>
      <c r="FE119" s="92"/>
      <c r="FF119" s="92"/>
      <c r="FG119" s="92"/>
      <c r="FH119" s="92"/>
      <c r="FI119" s="92"/>
      <c r="FJ119" s="92"/>
      <c r="FK119" s="92"/>
      <c r="FL119" s="92"/>
      <c r="FM119" s="92"/>
      <c r="FN119" s="92"/>
      <c r="FO119" s="92"/>
      <c r="FP119" s="92"/>
      <c r="FQ119" s="92"/>
      <c r="FR119" s="92"/>
      <c r="FS119" s="92"/>
      <c r="FT119" s="92"/>
      <c r="FU119" s="92"/>
      <c r="FV119" s="92"/>
      <c r="FW119" s="92"/>
      <c r="FX119" s="92"/>
      <c r="FY119" s="92"/>
      <c r="FZ119" s="92"/>
      <c r="GA119" s="92"/>
      <c r="GB119" s="92"/>
      <c r="GC119" s="92"/>
      <c r="GD119" s="92"/>
      <c r="GE119" s="92"/>
      <c r="GF119" s="92"/>
      <c r="GG119" s="92"/>
      <c r="GH119" s="92"/>
      <c r="GI119" s="92"/>
      <c r="GJ119" s="92"/>
      <c r="GK119" s="92"/>
      <c r="GL119" s="92"/>
      <c r="GM119" s="92"/>
      <c r="GN119" s="92"/>
      <c r="GO119" s="92"/>
      <c r="GP119" s="92"/>
      <c r="GQ119" s="92"/>
      <c r="GR119" s="92"/>
      <c r="GS119" s="92"/>
      <c r="GT119" s="92"/>
      <c r="GU119" s="92"/>
      <c r="GV119" s="92"/>
      <c r="GW119" s="92"/>
      <c r="GX119" s="92"/>
      <c r="GY119" s="92"/>
      <c r="GZ119" s="92"/>
      <c r="HA119" s="92"/>
      <c r="HB119" s="92"/>
      <c r="HC119" s="92"/>
      <c r="HD119" s="92"/>
      <c r="HE119" s="92"/>
      <c r="HF119" s="92"/>
      <c r="HG119" s="92"/>
      <c r="HH119" s="92"/>
      <c r="HI119" s="92"/>
      <c r="HJ119" s="92"/>
      <c r="HK119" s="92"/>
      <c r="HL119" s="92"/>
      <c r="HM119" s="92"/>
      <c r="HN119" s="92"/>
      <c r="HO119" s="92"/>
      <c r="HP119" s="92"/>
      <c r="HQ119" s="92"/>
      <c r="HR119" s="92"/>
      <c r="HS119" s="92"/>
      <c r="HT119" s="92"/>
      <c r="HU119" s="92"/>
      <c r="HV119" s="92"/>
      <c r="HW119" s="92"/>
      <c r="HX119" s="92"/>
      <c r="HY119" s="92"/>
      <c r="HZ119" s="92"/>
      <c r="IA119" s="92"/>
      <c r="IB119" s="92"/>
      <c r="IC119" s="92"/>
      <c r="ID119" s="92"/>
      <c r="IE119" s="92"/>
      <c r="IF119" s="92"/>
      <c r="IG119" s="92"/>
      <c r="IH119" s="92"/>
      <c r="II119" s="92"/>
      <c r="IJ119" s="92"/>
      <c r="IK119" s="92"/>
      <c r="IL119" s="92"/>
      <c r="IM119" s="92"/>
      <c r="IN119" s="92"/>
      <c r="IO119" s="92"/>
      <c r="IP119" s="92"/>
      <c r="IQ119" s="92"/>
      <c r="IR119" s="92"/>
      <c r="IS119" s="92"/>
      <c r="IT119" s="92"/>
      <c r="IU119" s="92"/>
      <c r="IV119" s="92"/>
      <c r="IW119" s="92"/>
      <c r="IX119" s="92"/>
      <c r="IY119" s="92"/>
      <c r="IZ119" s="92"/>
      <c r="JA119" s="92"/>
      <c r="JB119" s="92"/>
      <c r="JC119" s="92"/>
      <c r="JD119" s="92"/>
      <c r="JE119" s="92"/>
      <c r="JF119" s="92"/>
      <c r="JG119" s="92"/>
      <c r="JH119" s="92"/>
      <c r="JI119" s="92"/>
      <c r="JJ119" s="92"/>
      <c r="JK119" s="92"/>
      <c r="JL119" s="92"/>
      <c r="JM119" s="92"/>
      <c r="JN119" s="92"/>
      <c r="JO119" s="92"/>
      <c r="JP119" s="92"/>
      <c r="JQ119" s="92"/>
      <c r="JR119" s="92"/>
      <c r="JS119" s="92"/>
      <c r="JT119" s="92"/>
      <c r="JU119" s="92"/>
      <c r="JV119" s="92"/>
      <c r="JW119" s="92"/>
      <c r="JX119" s="92"/>
      <c r="JY119" s="92"/>
      <c r="JZ119" s="92"/>
      <c r="KA119" s="92"/>
      <c r="KB119" s="92"/>
      <c r="KC119" s="92"/>
      <c r="KD119" s="92"/>
      <c r="KE119" s="92"/>
      <c r="KF119" s="92"/>
      <c r="KG119" s="92"/>
      <c r="KH119" s="92"/>
      <c r="KI119" s="92"/>
      <c r="KJ119" s="92"/>
      <c r="KK119" s="92"/>
      <c r="KL119" s="92"/>
      <c r="KM119" s="92"/>
      <c r="KN119" s="92"/>
      <c r="KO119" s="92"/>
      <c r="KP119" s="92"/>
      <c r="KQ119" s="88"/>
      <c r="KR119" s="92"/>
      <c r="KS119" s="92"/>
      <c r="KT119" s="92"/>
      <c r="KU119" s="93"/>
      <c r="KV119" s="92"/>
      <c r="KW119" s="93"/>
      <c r="KX119" s="92"/>
      <c r="KY119" s="93"/>
      <c r="KZ119" s="92"/>
      <c r="LA119" s="93"/>
      <c r="LB119" s="92"/>
      <c r="LC119" s="93"/>
      <c r="LD119" s="92"/>
      <c r="LE119" s="93"/>
      <c r="LF119" s="92"/>
      <c r="LG119" s="92"/>
      <c r="LH119" s="92"/>
      <c r="LI119" s="92"/>
      <c r="LJ119" s="92"/>
      <c r="LK119" s="92"/>
      <c r="LL119" s="92"/>
      <c r="LM119" s="92"/>
      <c r="LN119" s="92"/>
      <c r="LO119" s="92"/>
      <c r="LP119" s="88"/>
      <c r="LQ119" s="93"/>
      <c r="LR119" s="88"/>
      <c r="LS119" s="93"/>
      <c r="LT119" s="93"/>
      <c r="LU119" s="93"/>
      <c r="LV119" s="93"/>
      <c r="LW119" s="93"/>
      <c r="LX119" s="93"/>
      <c r="LY119" s="93"/>
      <c r="LZ119" s="93"/>
      <c r="MA119" s="93"/>
      <c r="MB119" s="93"/>
      <c r="MC119" s="94"/>
      <c r="MD119" s="94"/>
      <c r="ME119" s="94"/>
      <c r="MF119" s="94"/>
      <c r="MG119" s="94"/>
      <c r="MH119" s="94"/>
      <c r="MI119" s="94"/>
      <c r="MJ119" s="94"/>
      <c r="MK119" s="94"/>
      <c r="ML119" s="94"/>
      <c r="MM119" s="94"/>
      <c r="MN119" s="94"/>
      <c r="MO119" s="95"/>
      <c r="MP119" s="95"/>
      <c r="MQ119" s="94"/>
      <c r="MR119" s="94"/>
      <c r="MS119" s="94"/>
      <c r="MT119" s="94"/>
      <c r="MU119" s="94"/>
      <c r="MV119" s="94"/>
      <c r="MW119" s="94"/>
      <c r="MX119" s="94"/>
      <c r="MY119" s="94"/>
      <c r="MZ119" s="94"/>
      <c r="NA119" s="94"/>
      <c r="NB119" s="94"/>
      <c r="NC119" s="94"/>
      <c r="ND119" s="94"/>
      <c r="NE119" s="94"/>
      <c r="NF119" s="94"/>
      <c r="NG119" s="94"/>
      <c r="NH119" s="94"/>
      <c r="NI119" s="94"/>
      <c r="NJ119" s="94"/>
    </row>
    <row r="120" spans="1:374" x14ac:dyDescent="0.25">
      <c r="A120" s="88"/>
      <c r="B120" s="88"/>
      <c r="C120" s="88"/>
      <c r="D120" s="88"/>
      <c r="E120" s="89"/>
      <c r="F120" s="88"/>
      <c r="G120" s="88"/>
      <c r="H120" s="88" t="str">
        <f t="shared" si="195"/>
        <v xml:space="preserve">  </v>
      </c>
      <c r="I120" s="88"/>
      <c r="J120" s="88"/>
      <c r="K120" s="88"/>
      <c r="L120" s="88"/>
      <c r="M120" s="88"/>
      <c r="N120" s="88"/>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1"/>
      <c r="AR120" s="75"/>
      <c r="AS120" s="91"/>
      <c r="AT120" s="91"/>
      <c r="AU120" s="90"/>
      <c r="AV120" s="91"/>
      <c r="AW120" s="91"/>
      <c r="AX120" s="91"/>
      <c r="AY120" s="91"/>
      <c r="AZ120" s="91"/>
      <c r="BA120" s="91"/>
      <c r="BB120" s="90"/>
      <c r="BC120" s="91"/>
      <c r="BD120" s="75"/>
      <c r="BE120" s="91"/>
      <c r="BF120" s="91"/>
      <c r="BG120" s="90"/>
      <c r="BH120" s="91"/>
      <c r="BI120" s="91"/>
      <c r="BJ120" s="91"/>
      <c r="BK120" s="91"/>
      <c r="BL120" s="91"/>
      <c r="BM120" s="91"/>
      <c r="BN120" s="90"/>
      <c r="BO120" s="91"/>
      <c r="BP120" s="75"/>
      <c r="BQ120" s="91"/>
      <c r="BR120" s="91"/>
      <c r="BS120" s="90"/>
      <c r="BT120" s="91"/>
      <c r="BU120" s="91"/>
      <c r="BV120" s="91"/>
      <c r="BW120" s="91"/>
      <c r="BX120" s="91"/>
      <c r="BY120" s="91"/>
      <c r="BZ120" s="90"/>
      <c r="CA120" s="91"/>
      <c r="CB120" s="75"/>
      <c r="CC120" s="91"/>
      <c r="CD120" s="91"/>
      <c r="CE120" s="90"/>
      <c r="CF120" s="91"/>
      <c r="CG120" s="91"/>
      <c r="CH120" s="91"/>
      <c r="CI120" s="91"/>
      <c r="CJ120" s="91"/>
      <c r="CK120" s="91"/>
      <c r="CL120" s="90"/>
      <c r="CM120" s="91"/>
      <c r="CN120" s="75"/>
      <c r="CO120" s="91"/>
      <c r="CP120" s="91"/>
      <c r="CQ120" s="90"/>
      <c r="CR120" s="91"/>
      <c r="CS120" s="91"/>
      <c r="CT120" s="91"/>
      <c r="CU120" s="91"/>
      <c r="CV120" s="91"/>
      <c r="CW120" s="91"/>
      <c r="CX120" s="90"/>
      <c r="CY120" s="91"/>
      <c r="CZ120" s="75"/>
      <c r="DA120" s="91"/>
      <c r="DB120" s="91"/>
      <c r="DC120" s="90"/>
      <c r="DD120" s="91"/>
      <c r="DE120" s="91"/>
      <c r="DF120" s="91"/>
      <c r="DG120" s="91"/>
      <c r="DH120" s="91"/>
      <c r="DI120" s="91"/>
      <c r="DJ120" s="90"/>
      <c r="DK120" s="91"/>
      <c r="DL120" s="75"/>
      <c r="DM120" s="75"/>
      <c r="DN120" s="75">
        <f t="shared" si="194"/>
        <v>0</v>
      </c>
      <c r="DO120" s="75" t="str">
        <f t="shared" si="196"/>
        <v/>
      </c>
      <c r="DP120" s="91" t="str">
        <f>IFERROR(#REF!/#REF!*1000,"")</f>
        <v/>
      </c>
      <c r="DQ120" s="91" t="str">
        <f>IFERROR(#REF!/#REF!*1000,"")</f>
        <v/>
      </c>
      <c r="DR120" s="90"/>
      <c r="DS120" s="91" t="str">
        <f>IFERROR(#REF!/#REF!*1000,"")</f>
        <v/>
      </c>
      <c r="DT120" s="91" t="str">
        <f>IFERROR(#REF!/#REF!*1000,"")</f>
        <v/>
      </c>
      <c r="DU120" s="91"/>
      <c r="DV120" s="91"/>
      <c r="DW120" s="91"/>
      <c r="DX120" s="91"/>
      <c r="DY120" s="90"/>
      <c r="DZ120" s="91"/>
      <c r="EA120" s="75"/>
      <c r="EB120" s="91"/>
      <c r="EC120" s="91"/>
      <c r="ED120" s="90"/>
      <c r="EE120" s="91"/>
      <c r="EF120" s="91"/>
      <c r="EG120" s="91"/>
      <c r="EH120" s="91"/>
      <c r="EI120" s="91"/>
      <c r="EJ120" s="91"/>
      <c r="EK120" s="90"/>
      <c r="EL120" s="90"/>
      <c r="EM120" s="88"/>
      <c r="EN120" s="92"/>
      <c r="EO120" s="92"/>
      <c r="EP120" s="92"/>
      <c r="EQ120" s="92"/>
      <c r="ER120" s="92"/>
      <c r="ES120" s="92"/>
      <c r="ET120" s="92"/>
      <c r="EU120" s="92"/>
      <c r="EV120" s="92"/>
      <c r="EW120" s="92"/>
      <c r="EX120" s="92"/>
      <c r="EY120" s="92"/>
      <c r="EZ120" s="92"/>
      <c r="FA120" s="92"/>
      <c r="FB120" s="92"/>
      <c r="FC120" s="92"/>
      <c r="FD120" s="92"/>
      <c r="FE120" s="92"/>
      <c r="FF120" s="92"/>
      <c r="FG120" s="92"/>
      <c r="FH120" s="92"/>
      <c r="FI120" s="92"/>
      <c r="FJ120" s="92"/>
      <c r="FK120" s="92"/>
      <c r="FL120" s="92"/>
      <c r="FM120" s="92"/>
      <c r="FN120" s="92"/>
      <c r="FO120" s="92"/>
      <c r="FP120" s="92"/>
      <c r="FQ120" s="92"/>
      <c r="FR120" s="92"/>
      <c r="FS120" s="92"/>
      <c r="FT120" s="92"/>
      <c r="FU120" s="92"/>
      <c r="FV120" s="92"/>
      <c r="FW120" s="92"/>
      <c r="FX120" s="92"/>
      <c r="FY120" s="92"/>
      <c r="FZ120" s="92"/>
      <c r="GA120" s="92"/>
      <c r="GB120" s="92"/>
      <c r="GC120" s="92"/>
      <c r="GD120" s="92"/>
      <c r="GE120" s="92"/>
      <c r="GF120" s="92"/>
      <c r="GG120" s="92"/>
      <c r="GH120" s="92"/>
      <c r="GI120" s="92"/>
      <c r="GJ120" s="92"/>
      <c r="GK120" s="92"/>
      <c r="GL120" s="92"/>
      <c r="GM120" s="92"/>
      <c r="GN120" s="92"/>
      <c r="GO120" s="92"/>
      <c r="GP120" s="92"/>
      <c r="GQ120" s="92"/>
      <c r="GR120" s="92"/>
      <c r="GS120" s="92"/>
      <c r="GT120" s="92"/>
      <c r="GU120" s="92"/>
      <c r="GV120" s="92"/>
      <c r="GW120" s="92"/>
      <c r="GX120" s="92"/>
      <c r="GY120" s="92"/>
      <c r="GZ120" s="92"/>
      <c r="HA120" s="92"/>
      <c r="HB120" s="92"/>
      <c r="HC120" s="92"/>
      <c r="HD120" s="92"/>
      <c r="HE120" s="92"/>
      <c r="HF120" s="92"/>
      <c r="HG120" s="92"/>
      <c r="HH120" s="92"/>
      <c r="HI120" s="92"/>
      <c r="HJ120" s="92"/>
      <c r="HK120" s="92"/>
      <c r="HL120" s="92"/>
      <c r="HM120" s="92"/>
      <c r="HN120" s="92"/>
      <c r="HO120" s="92"/>
      <c r="HP120" s="92"/>
      <c r="HQ120" s="92"/>
      <c r="HR120" s="92"/>
      <c r="HS120" s="92"/>
      <c r="HT120" s="92"/>
      <c r="HU120" s="92"/>
      <c r="HV120" s="92"/>
      <c r="HW120" s="92"/>
      <c r="HX120" s="92"/>
      <c r="HY120" s="92"/>
      <c r="HZ120" s="92"/>
      <c r="IA120" s="92"/>
      <c r="IB120" s="92"/>
      <c r="IC120" s="92"/>
      <c r="ID120" s="92"/>
      <c r="IE120" s="92"/>
      <c r="IF120" s="92"/>
      <c r="IG120" s="92"/>
      <c r="IH120" s="92"/>
      <c r="II120" s="92"/>
      <c r="IJ120" s="92"/>
      <c r="IK120" s="92"/>
      <c r="IL120" s="92"/>
      <c r="IM120" s="92"/>
      <c r="IN120" s="92"/>
      <c r="IO120" s="92"/>
      <c r="IP120" s="92"/>
      <c r="IQ120" s="92"/>
      <c r="IR120" s="92"/>
      <c r="IS120" s="92"/>
      <c r="IT120" s="92"/>
      <c r="IU120" s="92"/>
      <c r="IV120" s="92"/>
      <c r="IW120" s="92"/>
      <c r="IX120" s="92"/>
      <c r="IY120" s="92"/>
      <c r="IZ120" s="92"/>
      <c r="JA120" s="92"/>
      <c r="JB120" s="92"/>
      <c r="JC120" s="92"/>
      <c r="JD120" s="92"/>
      <c r="JE120" s="92"/>
      <c r="JF120" s="92"/>
      <c r="JG120" s="92"/>
      <c r="JH120" s="92"/>
      <c r="JI120" s="92"/>
      <c r="JJ120" s="92"/>
      <c r="JK120" s="92"/>
      <c r="JL120" s="92"/>
      <c r="JM120" s="92"/>
      <c r="JN120" s="92"/>
      <c r="JO120" s="92"/>
      <c r="JP120" s="92"/>
      <c r="JQ120" s="92"/>
      <c r="JR120" s="92"/>
      <c r="JS120" s="92"/>
      <c r="JT120" s="92"/>
      <c r="JU120" s="92"/>
      <c r="JV120" s="92"/>
      <c r="JW120" s="92"/>
      <c r="JX120" s="92"/>
      <c r="JY120" s="92"/>
      <c r="JZ120" s="92"/>
      <c r="KA120" s="92"/>
      <c r="KB120" s="92"/>
      <c r="KC120" s="92"/>
      <c r="KD120" s="92"/>
      <c r="KE120" s="92"/>
      <c r="KF120" s="92"/>
      <c r="KG120" s="92"/>
      <c r="KH120" s="92"/>
      <c r="KI120" s="92"/>
      <c r="KJ120" s="92"/>
      <c r="KK120" s="92"/>
      <c r="KL120" s="92"/>
      <c r="KM120" s="92"/>
      <c r="KN120" s="92"/>
      <c r="KO120" s="92"/>
      <c r="KP120" s="92"/>
      <c r="KQ120" s="88"/>
      <c r="KR120" s="92"/>
      <c r="KS120" s="92"/>
      <c r="KT120" s="92"/>
      <c r="KU120" s="93"/>
      <c r="KV120" s="92"/>
      <c r="KW120" s="93"/>
      <c r="KX120" s="92"/>
      <c r="KY120" s="93"/>
      <c r="KZ120" s="92"/>
      <c r="LA120" s="93"/>
      <c r="LB120" s="92"/>
      <c r="LC120" s="93"/>
      <c r="LD120" s="92"/>
      <c r="LE120" s="93"/>
      <c r="LF120" s="92"/>
      <c r="LG120" s="92"/>
      <c r="LH120" s="92"/>
      <c r="LI120" s="92"/>
      <c r="LJ120" s="92"/>
      <c r="LK120" s="92"/>
      <c r="LL120" s="92"/>
      <c r="LM120" s="92"/>
      <c r="LN120" s="92"/>
      <c r="LO120" s="92"/>
      <c r="LP120" s="88"/>
      <c r="LQ120" s="93"/>
      <c r="LR120" s="88"/>
      <c r="LS120" s="93"/>
      <c r="LT120" s="93"/>
      <c r="LU120" s="93"/>
      <c r="LV120" s="93"/>
      <c r="LW120" s="93"/>
      <c r="LX120" s="93"/>
      <c r="LY120" s="93"/>
      <c r="LZ120" s="93"/>
      <c r="MA120" s="93"/>
      <c r="MB120" s="93"/>
      <c r="MC120" s="94"/>
      <c r="MD120" s="94"/>
      <c r="ME120" s="94"/>
      <c r="MF120" s="94"/>
      <c r="MG120" s="94"/>
      <c r="MH120" s="94"/>
      <c r="MI120" s="94"/>
      <c r="MJ120" s="94"/>
      <c r="MK120" s="94"/>
      <c r="ML120" s="94"/>
      <c r="MM120" s="94"/>
      <c r="MN120" s="94"/>
      <c r="MO120" s="95"/>
      <c r="MP120" s="95"/>
      <c r="MQ120" s="94"/>
      <c r="MR120" s="94"/>
      <c r="MS120" s="94"/>
      <c r="MT120" s="94"/>
      <c r="MU120" s="94"/>
      <c r="MV120" s="94"/>
      <c r="MW120" s="94"/>
      <c r="MX120" s="94"/>
      <c r="MY120" s="94"/>
      <c r="MZ120" s="94"/>
      <c r="NA120" s="94"/>
      <c r="NB120" s="94"/>
      <c r="NC120" s="94"/>
      <c r="ND120" s="94"/>
      <c r="NE120" s="94"/>
      <c r="NF120" s="94"/>
      <c r="NG120" s="94"/>
      <c r="NH120" s="94"/>
      <c r="NI120" s="94"/>
      <c r="NJ120" s="94"/>
    </row>
    <row r="121" spans="1:374" x14ac:dyDescent="0.25">
      <c r="A121" s="88"/>
      <c r="B121" s="88"/>
      <c r="C121" s="88"/>
      <c r="D121" s="88"/>
      <c r="E121" s="89"/>
      <c r="F121" s="88"/>
      <c r="G121" s="88"/>
      <c r="H121" s="88" t="str">
        <f t="shared" si="195"/>
        <v xml:space="preserve">  </v>
      </c>
      <c r="I121" s="88"/>
      <c r="J121" s="88"/>
      <c r="K121" s="88"/>
      <c r="L121" s="88"/>
      <c r="M121" s="88"/>
      <c r="N121" s="88"/>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1"/>
      <c r="AR121" s="75"/>
      <c r="AS121" s="91"/>
      <c r="AT121" s="91"/>
      <c r="AU121" s="90"/>
      <c r="AV121" s="91"/>
      <c r="AW121" s="91"/>
      <c r="AX121" s="91"/>
      <c r="AY121" s="91"/>
      <c r="AZ121" s="91"/>
      <c r="BA121" s="91"/>
      <c r="BB121" s="90"/>
      <c r="BC121" s="91"/>
      <c r="BD121" s="75"/>
      <c r="BE121" s="91"/>
      <c r="BF121" s="91"/>
      <c r="BG121" s="90"/>
      <c r="BH121" s="91"/>
      <c r="BI121" s="91"/>
      <c r="BJ121" s="91"/>
      <c r="BK121" s="91"/>
      <c r="BL121" s="91"/>
      <c r="BM121" s="91"/>
      <c r="BN121" s="90"/>
      <c r="BO121" s="91"/>
      <c r="BP121" s="75"/>
      <c r="BQ121" s="91"/>
      <c r="BR121" s="91"/>
      <c r="BS121" s="90"/>
      <c r="BT121" s="91"/>
      <c r="BU121" s="91"/>
      <c r="BV121" s="91"/>
      <c r="BW121" s="91"/>
      <c r="BX121" s="91"/>
      <c r="BY121" s="91"/>
      <c r="BZ121" s="90"/>
      <c r="CA121" s="91"/>
      <c r="CB121" s="75"/>
      <c r="CC121" s="91"/>
      <c r="CD121" s="91"/>
      <c r="CE121" s="90"/>
      <c r="CF121" s="91"/>
      <c r="CG121" s="91"/>
      <c r="CH121" s="91"/>
      <c r="CI121" s="91"/>
      <c r="CJ121" s="91"/>
      <c r="CK121" s="91"/>
      <c r="CL121" s="90"/>
      <c r="CM121" s="91"/>
      <c r="CN121" s="75"/>
      <c r="CO121" s="91"/>
      <c r="CP121" s="91"/>
      <c r="CQ121" s="90"/>
      <c r="CR121" s="91"/>
      <c r="CS121" s="91"/>
      <c r="CT121" s="91"/>
      <c r="CU121" s="91"/>
      <c r="CV121" s="91"/>
      <c r="CW121" s="91"/>
      <c r="CX121" s="90"/>
      <c r="CY121" s="91"/>
      <c r="CZ121" s="75"/>
      <c r="DA121" s="91"/>
      <c r="DB121" s="91"/>
      <c r="DC121" s="90"/>
      <c r="DD121" s="91"/>
      <c r="DE121" s="91"/>
      <c r="DF121" s="91"/>
      <c r="DG121" s="91"/>
      <c r="DH121" s="91"/>
      <c r="DI121" s="91"/>
      <c r="DJ121" s="90"/>
      <c r="DK121" s="91"/>
      <c r="DL121" s="75"/>
      <c r="DM121" s="75"/>
      <c r="DN121" s="75">
        <f t="shared" si="194"/>
        <v>0</v>
      </c>
      <c r="DO121" s="75" t="str">
        <f t="shared" si="196"/>
        <v/>
      </c>
      <c r="DP121" s="91" t="str">
        <f>IFERROR(#REF!/#REF!*1000,"")</f>
        <v/>
      </c>
      <c r="DQ121" s="91" t="str">
        <f>IFERROR(#REF!/#REF!*1000,"")</f>
        <v/>
      </c>
      <c r="DR121" s="90"/>
      <c r="DS121" s="91" t="str">
        <f>IFERROR(#REF!/#REF!*1000,"")</f>
        <v/>
      </c>
      <c r="DT121" s="91" t="str">
        <f>IFERROR(#REF!/#REF!*1000,"")</f>
        <v/>
      </c>
      <c r="DU121" s="91"/>
      <c r="DV121" s="91"/>
      <c r="DW121" s="91"/>
      <c r="DX121" s="91"/>
      <c r="DY121" s="90"/>
      <c r="DZ121" s="91"/>
      <c r="EA121" s="75"/>
      <c r="EB121" s="91"/>
      <c r="EC121" s="91"/>
      <c r="ED121" s="90"/>
      <c r="EE121" s="91"/>
      <c r="EF121" s="91"/>
      <c r="EG121" s="91"/>
      <c r="EH121" s="91"/>
      <c r="EI121" s="91"/>
      <c r="EJ121" s="91"/>
      <c r="EK121" s="90"/>
      <c r="EL121" s="90"/>
      <c r="EM121" s="88"/>
      <c r="EN121" s="92"/>
      <c r="EO121" s="92"/>
      <c r="EP121" s="92"/>
      <c r="EQ121" s="92"/>
      <c r="ER121" s="92"/>
      <c r="ES121" s="92"/>
      <c r="ET121" s="92"/>
      <c r="EU121" s="92"/>
      <c r="EV121" s="92"/>
      <c r="EW121" s="92"/>
      <c r="EX121" s="92"/>
      <c r="EY121" s="92"/>
      <c r="EZ121" s="92"/>
      <c r="FA121" s="92"/>
      <c r="FB121" s="92"/>
      <c r="FC121" s="92"/>
      <c r="FD121" s="92"/>
      <c r="FE121" s="92"/>
      <c r="FF121" s="92"/>
      <c r="FG121" s="92"/>
      <c r="FH121" s="92"/>
      <c r="FI121" s="92"/>
      <c r="FJ121" s="92"/>
      <c r="FK121" s="92"/>
      <c r="FL121" s="92"/>
      <c r="FM121" s="92"/>
      <c r="FN121" s="92"/>
      <c r="FO121" s="92"/>
      <c r="FP121" s="92"/>
      <c r="FQ121" s="92"/>
      <c r="FR121" s="92"/>
      <c r="FS121" s="92"/>
      <c r="FT121" s="92"/>
      <c r="FU121" s="92"/>
      <c r="FV121" s="92"/>
      <c r="FW121" s="92"/>
      <c r="FX121" s="92"/>
      <c r="FY121" s="92"/>
      <c r="FZ121" s="92"/>
      <c r="GA121" s="92"/>
      <c r="GB121" s="92"/>
      <c r="GC121" s="92"/>
      <c r="GD121" s="92"/>
      <c r="GE121" s="92"/>
      <c r="GF121" s="92"/>
      <c r="GG121" s="92"/>
      <c r="GH121" s="92"/>
      <c r="GI121" s="92"/>
      <c r="GJ121" s="92"/>
      <c r="GK121" s="92"/>
      <c r="GL121" s="92"/>
      <c r="GM121" s="92"/>
      <c r="GN121" s="92"/>
      <c r="GO121" s="92"/>
      <c r="GP121" s="92"/>
      <c r="GQ121" s="92"/>
      <c r="GR121" s="92"/>
      <c r="GS121" s="92"/>
      <c r="GT121" s="92"/>
      <c r="GU121" s="92"/>
      <c r="GV121" s="92"/>
      <c r="GW121" s="92"/>
      <c r="GX121" s="92"/>
      <c r="GY121" s="92"/>
      <c r="GZ121" s="92"/>
      <c r="HA121" s="92"/>
      <c r="HB121" s="92"/>
      <c r="HC121" s="92"/>
      <c r="HD121" s="92"/>
      <c r="HE121" s="92"/>
      <c r="HF121" s="92"/>
      <c r="HG121" s="92"/>
      <c r="HH121" s="92"/>
      <c r="HI121" s="92"/>
      <c r="HJ121" s="92"/>
      <c r="HK121" s="92"/>
      <c r="HL121" s="92"/>
      <c r="HM121" s="92"/>
      <c r="HN121" s="92"/>
      <c r="HO121" s="92"/>
      <c r="HP121" s="92"/>
      <c r="HQ121" s="92"/>
      <c r="HR121" s="92"/>
      <c r="HS121" s="92"/>
      <c r="HT121" s="92"/>
      <c r="HU121" s="92"/>
      <c r="HV121" s="92"/>
      <c r="HW121" s="92"/>
      <c r="HX121" s="92"/>
      <c r="HY121" s="92"/>
      <c r="HZ121" s="92"/>
      <c r="IA121" s="92"/>
      <c r="IB121" s="92"/>
      <c r="IC121" s="92"/>
      <c r="ID121" s="92"/>
      <c r="IE121" s="92"/>
      <c r="IF121" s="92"/>
      <c r="IG121" s="92"/>
      <c r="IH121" s="92"/>
      <c r="II121" s="92"/>
      <c r="IJ121" s="92"/>
      <c r="IK121" s="92"/>
      <c r="IL121" s="92"/>
      <c r="IM121" s="92"/>
      <c r="IN121" s="92"/>
      <c r="IO121" s="92"/>
      <c r="IP121" s="92"/>
      <c r="IQ121" s="92"/>
      <c r="IR121" s="92"/>
      <c r="IS121" s="92"/>
      <c r="IT121" s="92"/>
      <c r="IU121" s="92"/>
      <c r="IV121" s="92"/>
      <c r="IW121" s="92"/>
      <c r="IX121" s="92"/>
      <c r="IY121" s="92"/>
      <c r="IZ121" s="92"/>
      <c r="JA121" s="92"/>
      <c r="JB121" s="92"/>
      <c r="JC121" s="92"/>
      <c r="JD121" s="92"/>
      <c r="JE121" s="92"/>
      <c r="JF121" s="92"/>
      <c r="JG121" s="92"/>
      <c r="JH121" s="92"/>
      <c r="JI121" s="92"/>
      <c r="JJ121" s="92"/>
      <c r="JK121" s="92"/>
      <c r="JL121" s="92"/>
      <c r="JM121" s="92"/>
      <c r="JN121" s="92"/>
      <c r="JO121" s="92"/>
      <c r="JP121" s="92"/>
      <c r="JQ121" s="92"/>
      <c r="JR121" s="92"/>
      <c r="JS121" s="92"/>
      <c r="JT121" s="92"/>
      <c r="JU121" s="92"/>
      <c r="JV121" s="92"/>
      <c r="JW121" s="92"/>
      <c r="JX121" s="92"/>
      <c r="JY121" s="92"/>
      <c r="JZ121" s="92"/>
      <c r="KA121" s="92"/>
      <c r="KB121" s="92"/>
      <c r="KC121" s="92"/>
      <c r="KD121" s="92"/>
      <c r="KE121" s="92"/>
      <c r="KF121" s="92"/>
      <c r="KG121" s="92"/>
      <c r="KH121" s="92"/>
      <c r="KI121" s="92"/>
      <c r="KJ121" s="92"/>
      <c r="KK121" s="92"/>
      <c r="KL121" s="92"/>
      <c r="KM121" s="92"/>
      <c r="KN121" s="92"/>
      <c r="KO121" s="92"/>
      <c r="KP121" s="92"/>
      <c r="KQ121" s="88"/>
      <c r="KR121" s="92"/>
      <c r="KS121" s="92"/>
      <c r="KT121" s="92"/>
      <c r="KU121" s="93"/>
      <c r="KV121" s="92"/>
      <c r="KW121" s="93"/>
      <c r="KX121" s="92"/>
      <c r="KY121" s="93"/>
      <c r="KZ121" s="92"/>
      <c r="LA121" s="93"/>
      <c r="LB121" s="92"/>
      <c r="LC121" s="93"/>
      <c r="LD121" s="92"/>
      <c r="LE121" s="93"/>
      <c r="LF121" s="92"/>
      <c r="LG121" s="92"/>
      <c r="LH121" s="92"/>
      <c r="LI121" s="92"/>
      <c r="LJ121" s="92"/>
      <c r="LK121" s="92"/>
      <c r="LL121" s="92"/>
      <c r="LM121" s="92"/>
      <c r="LN121" s="92"/>
      <c r="LO121" s="92"/>
      <c r="LP121" s="88"/>
      <c r="LQ121" s="93"/>
      <c r="LR121" s="88"/>
      <c r="LS121" s="93"/>
      <c r="LT121" s="93"/>
      <c r="LU121" s="93"/>
      <c r="LV121" s="93"/>
      <c r="LW121" s="93"/>
      <c r="LX121" s="93"/>
      <c r="LY121" s="93"/>
      <c r="LZ121" s="93"/>
      <c r="MA121" s="93"/>
      <c r="MB121" s="93"/>
      <c r="MC121" s="94"/>
      <c r="MD121" s="94"/>
      <c r="ME121" s="94"/>
      <c r="MF121" s="94"/>
      <c r="MG121" s="94"/>
      <c r="MH121" s="94"/>
      <c r="MI121" s="94"/>
      <c r="MJ121" s="94"/>
      <c r="MK121" s="94"/>
      <c r="ML121" s="94"/>
      <c r="MM121" s="94"/>
      <c r="MN121" s="94"/>
      <c r="MO121" s="95"/>
      <c r="MP121" s="95"/>
      <c r="MQ121" s="94"/>
      <c r="MR121" s="94"/>
      <c r="MS121" s="94"/>
      <c r="MT121" s="94"/>
      <c r="MU121" s="94"/>
      <c r="MV121" s="94"/>
      <c r="MW121" s="94"/>
      <c r="MX121" s="94"/>
      <c r="MY121" s="94"/>
      <c r="MZ121" s="94"/>
      <c r="NA121" s="94"/>
      <c r="NB121" s="94"/>
      <c r="NC121" s="94"/>
      <c r="ND121" s="94"/>
      <c r="NE121" s="94"/>
      <c r="NF121" s="94"/>
      <c r="NG121" s="94"/>
      <c r="NH121" s="94"/>
      <c r="NI121" s="94"/>
      <c r="NJ121" s="94"/>
    </row>
    <row r="122" spans="1:374" x14ac:dyDescent="0.25">
      <c r="A122" s="88"/>
      <c r="B122" s="88"/>
      <c r="C122" s="88"/>
      <c r="D122" s="88"/>
      <c r="E122" s="89"/>
      <c r="F122" s="88"/>
      <c r="G122" s="88"/>
      <c r="H122" s="88" t="str">
        <f t="shared" si="195"/>
        <v xml:space="preserve">  </v>
      </c>
      <c r="I122" s="88"/>
      <c r="J122" s="88"/>
      <c r="K122" s="88"/>
      <c r="L122" s="88"/>
      <c r="M122" s="88"/>
      <c r="N122" s="88"/>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1"/>
      <c r="AR122" s="75"/>
      <c r="AS122" s="91"/>
      <c r="AT122" s="91"/>
      <c r="AU122" s="90"/>
      <c r="AV122" s="91"/>
      <c r="AW122" s="91"/>
      <c r="AX122" s="91"/>
      <c r="AY122" s="91"/>
      <c r="AZ122" s="91"/>
      <c r="BA122" s="91"/>
      <c r="BB122" s="90"/>
      <c r="BC122" s="91"/>
      <c r="BD122" s="75"/>
      <c r="BE122" s="91"/>
      <c r="BF122" s="91"/>
      <c r="BG122" s="90"/>
      <c r="BH122" s="91"/>
      <c r="BI122" s="91"/>
      <c r="BJ122" s="91"/>
      <c r="BK122" s="91"/>
      <c r="BL122" s="91"/>
      <c r="BM122" s="91"/>
      <c r="BN122" s="90"/>
      <c r="BO122" s="91"/>
      <c r="BP122" s="75"/>
      <c r="BQ122" s="91"/>
      <c r="BR122" s="91"/>
      <c r="BS122" s="90"/>
      <c r="BT122" s="91"/>
      <c r="BU122" s="91"/>
      <c r="BV122" s="91"/>
      <c r="BW122" s="91"/>
      <c r="BX122" s="91"/>
      <c r="BY122" s="91"/>
      <c r="BZ122" s="90"/>
      <c r="CA122" s="91"/>
      <c r="CB122" s="75"/>
      <c r="CC122" s="91"/>
      <c r="CD122" s="91"/>
      <c r="CE122" s="90"/>
      <c r="CF122" s="91"/>
      <c r="CG122" s="91"/>
      <c r="CH122" s="91"/>
      <c r="CI122" s="91"/>
      <c r="CJ122" s="91"/>
      <c r="CK122" s="91"/>
      <c r="CL122" s="90"/>
      <c r="CM122" s="91"/>
      <c r="CN122" s="75"/>
      <c r="CO122" s="91"/>
      <c r="CP122" s="91"/>
      <c r="CQ122" s="90"/>
      <c r="CR122" s="91"/>
      <c r="CS122" s="91"/>
      <c r="CT122" s="91"/>
      <c r="CU122" s="91"/>
      <c r="CV122" s="91"/>
      <c r="CW122" s="91"/>
      <c r="CX122" s="90"/>
      <c r="CY122" s="91"/>
      <c r="CZ122" s="75"/>
      <c r="DA122" s="91"/>
      <c r="DB122" s="91"/>
      <c r="DC122" s="90"/>
      <c r="DD122" s="91"/>
      <c r="DE122" s="91"/>
      <c r="DF122" s="91"/>
      <c r="DG122" s="91"/>
      <c r="DH122" s="91"/>
      <c r="DI122" s="91"/>
      <c r="DJ122" s="90"/>
      <c r="DK122" s="91"/>
      <c r="DL122" s="75"/>
      <c r="DM122" s="75"/>
      <c r="DN122" s="75">
        <f t="shared" si="194"/>
        <v>0</v>
      </c>
      <c r="DO122" s="75" t="str">
        <f t="shared" si="196"/>
        <v/>
      </c>
      <c r="DP122" s="91" t="str">
        <f>IFERROR(#REF!/#REF!*1000,"")</f>
        <v/>
      </c>
      <c r="DQ122" s="91" t="str">
        <f>IFERROR(#REF!/#REF!*1000,"")</f>
        <v/>
      </c>
      <c r="DR122" s="90"/>
      <c r="DS122" s="91" t="str">
        <f>IFERROR(#REF!/#REF!*1000,"")</f>
        <v/>
      </c>
      <c r="DT122" s="91" t="str">
        <f>IFERROR(#REF!/#REF!*1000,"")</f>
        <v/>
      </c>
      <c r="DU122" s="91"/>
      <c r="DV122" s="91"/>
      <c r="DW122" s="91"/>
      <c r="DX122" s="91"/>
      <c r="DY122" s="90"/>
      <c r="DZ122" s="91"/>
      <c r="EA122" s="75"/>
      <c r="EB122" s="91"/>
      <c r="EC122" s="91"/>
      <c r="ED122" s="90"/>
      <c r="EE122" s="91"/>
      <c r="EF122" s="91"/>
      <c r="EG122" s="91"/>
      <c r="EH122" s="91"/>
      <c r="EI122" s="91"/>
      <c r="EJ122" s="91"/>
      <c r="EK122" s="90"/>
      <c r="EL122" s="90"/>
      <c r="EM122" s="88"/>
      <c r="EN122" s="92"/>
      <c r="EO122" s="92"/>
      <c r="EP122" s="92"/>
      <c r="EQ122" s="92"/>
      <c r="ER122" s="92"/>
      <c r="ES122" s="92"/>
      <c r="ET122" s="92"/>
      <c r="EU122" s="92"/>
      <c r="EV122" s="92"/>
      <c r="EW122" s="92"/>
      <c r="EX122" s="92"/>
      <c r="EY122" s="92"/>
      <c r="EZ122" s="92"/>
      <c r="FA122" s="92"/>
      <c r="FB122" s="92"/>
      <c r="FC122" s="92"/>
      <c r="FD122" s="92"/>
      <c r="FE122" s="92"/>
      <c r="FF122" s="92"/>
      <c r="FG122" s="92"/>
      <c r="FH122" s="92"/>
      <c r="FI122" s="92"/>
      <c r="FJ122" s="92"/>
      <c r="FK122" s="92"/>
      <c r="FL122" s="92"/>
      <c r="FM122" s="92"/>
      <c r="FN122" s="92"/>
      <c r="FO122" s="92"/>
      <c r="FP122" s="92"/>
      <c r="FQ122" s="92"/>
      <c r="FR122" s="92"/>
      <c r="FS122" s="92"/>
      <c r="FT122" s="92"/>
      <c r="FU122" s="92"/>
      <c r="FV122" s="92"/>
      <c r="FW122" s="92"/>
      <c r="FX122" s="92"/>
      <c r="FY122" s="92"/>
      <c r="FZ122" s="92"/>
      <c r="GA122" s="92"/>
      <c r="GB122" s="92"/>
      <c r="GC122" s="92"/>
      <c r="GD122" s="92"/>
      <c r="GE122" s="92"/>
      <c r="GF122" s="92"/>
      <c r="GG122" s="92"/>
      <c r="GH122" s="92"/>
      <c r="GI122" s="92"/>
      <c r="GJ122" s="92"/>
      <c r="GK122" s="92"/>
      <c r="GL122" s="92"/>
      <c r="GM122" s="92"/>
      <c r="GN122" s="92"/>
      <c r="GO122" s="92"/>
      <c r="GP122" s="92"/>
      <c r="GQ122" s="92"/>
      <c r="GR122" s="92"/>
      <c r="GS122" s="92"/>
      <c r="GT122" s="92"/>
      <c r="GU122" s="92"/>
      <c r="GV122" s="92"/>
      <c r="GW122" s="92"/>
      <c r="GX122" s="92"/>
      <c r="GY122" s="92"/>
      <c r="GZ122" s="92"/>
      <c r="HA122" s="92"/>
      <c r="HB122" s="92"/>
      <c r="HC122" s="92"/>
      <c r="HD122" s="92"/>
      <c r="HE122" s="92"/>
      <c r="HF122" s="92"/>
      <c r="HG122" s="92"/>
      <c r="HH122" s="92"/>
      <c r="HI122" s="92"/>
      <c r="HJ122" s="92"/>
      <c r="HK122" s="92"/>
      <c r="HL122" s="92"/>
      <c r="HM122" s="92"/>
      <c r="HN122" s="92"/>
      <c r="HO122" s="92"/>
      <c r="HP122" s="92"/>
      <c r="HQ122" s="92"/>
      <c r="HR122" s="92"/>
      <c r="HS122" s="92"/>
      <c r="HT122" s="92"/>
      <c r="HU122" s="92"/>
      <c r="HV122" s="92"/>
      <c r="HW122" s="92"/>
      <c r="HX122" s="92"/>
      <c r="HY122" s="92"/>
      <c r="HZ122" s="92"/>
      <c r="IA122" s="92"/>
      <c r="IB122" s="92"/>
      <c r="IC122" s="92"/>
      <c r="ID122" s="92"/>
      <c r="IE122" s="92"/>
      <c r="IF122" s="92"/>
      <c r="IG122" s="92"/>
      <c r="IH122" s="92"/>
      <c r="II122" s="92"/>
      <c r="IJ122" s="92"/>
      <c r="IK122" s="92"/>
      <c r="IL122" s="92"/>
      <c r="IM122" s="92"/>
      <c r="IN122" s="92"/>
      <c r="IO122" s="92"/>
      <c r="IP122" s="92"/>
      <c r="IQ122" s="92"/>
      <c r="IR122" s="92"/>
      <c r="IS122" s="92"/>
      <c r="IT122" s="92"/>
      <c r="IU122" s="92"/>
      <c r="IV122" s="92"/>
      <c r="IW122" s="92"/>
      <c r="IX122" s="92"/>
      <c r="IY122" s="92"/>
      <c r="IZ122" s="92"/>
      <c r="JA122" s="92"/>
      <c r="JB122" s="92"/>
      <c r="JC122" s="92"/>
      <c r="JD122" s="92"/>
      <c r="JE122" s="92"/>
      <c r="JF122" s="92"/>
      <c r="JG122" s="92"/>
      <c r="JH122" s="92"/>
      <c r="JI122" s="92"/>
      <c r="JJ122" s="92"/>
      <c r="JK122" s="92"/>
      <c r="JL122" s="92"/>
      <c r="JM122" s="92"/>
      <c r="JN122" s="92"/>
      <c r="JO122" s="92"/>
      <c r="JP122" s="92"/>
      <c r="JQ122" s="92"/>
      <c r="JR122" s="92"/>
      <c r="JS122" s="92"/>
      <c r="JT122" s="92"/>
      <c r="JU122" s="92"/>
      <c r="JV122" s="92"/>
      <c r="JW122" s="92"/>
      <c r="JX122" s="92"/>
      <c r="JY122" s="92"/>
      <c r="JZ122" s="92"/>
      <c r="KA122" s="92"/>
      <c r="KB122" s="92"/>
      <c r="KC122" s="92"/>
      <c r="KD122" s="92"/>
      <c r="KE122" s="92"/>
      <c r="KF122" s="92"/>
      <c r="KG122" s="92"/>
      <c r="KH122" s="92"/>
      <c r="KI122" s="92"/>
      <c r="KJ122" s="92"/>
      <c r="KK122" s="92"/>
      <c r="KL122" s="92"/>
      <c r="KM122" s="92"/>
      <c r="KN122" s="92"/>
      <c r="KO122" s="92"/>
      <c r="KP122" s="92"/>
      <c r="KQ122" s="88"/>
      <c r="KR122" s="92"/>
      <c r="KS122" s="92"/>
      <c r="KT122" s="92"/>
      <c r="KU122" s="93"/>
      <c r="KV122" s="92"/>
      <c r="KW122" s="93"/>
      <c r="KX122" s="92"/>
      <c r="KY122" s="93"/>
      <c r="KZ122" s="92"/>
      <c r="LA122" s="93"/>
      <c r="LB122" s="92"/>
      <c r="LC122" s="93"/>
      <c r="LD122" s="92"/>
      <c r="LE122" s="93"/>
      <c r="LF122" s="92"/>
      <c r="LG122" s="92"/>
      <c r="LH122" s="92"/>
      <c r="LI122" s="92"/>
      <c r="LJ122" s="92"/>
      <c r="LK122" s="92"/>
      <c r="LL122" s="92"/>
      <c r="LM122" s="92"/>
      <c r="LN122" s="92"/>
      <c r="LO122" s="92"/>
      <c r="LP122" s="88"/>
      <c r="LQ122" s="93"/>
      <c r="LR122" s="88"/>
      <c r="LS122" s="93"/>
      <c r="LT122" s="93"/>
      <c r="LU122" s="93"/>
      <c r="LV122" s="93"/>
      <c r="LW122" s="93"/>
      <c r="LX122" s="93"/>
      <c r="LY122" s="93"/>
      <c r="LZ122" s="93"/>
      <c r="MA122" s="93"/>
      <c r="MB122" s="93"/>
      <c r="MC122" s="94"/>
      <c r="MD122" s="94"/>
      <c r="ME122" s="94"/>
      <c r="MF122" s="94"/>
      <c r="MG122" s="94"/>
      <c r="MH122" s="94"/>
      <c r="MI122" s="94"/>
      <c r="MJ122" s="94"/>
      <c r="MK122" s="94"/>
      <c r="ML122" s="94"/>
      <c r="MM122" s="94"/>
      <c r="MN122" s="94"/>
      <c r="MO122" s="95"/>
      <c r="MP122" s="95"/>
      <c r="MQ122" s="94"/>
      <c r="MR122" s="94"/>
      <c r="MS122" s="94"/>
      <c r="MT122" s="94"/>
      <c r="MU122" s="94"/>
      <c r="MV122" s="94"/>
      <c r="MW122" s="94"/>
      <c r="MX122" s="94"/>
      <c r="MY122" s="94"/>
      <c r="MZ122" s="94"/>
      <c r="NA122" s="94"/>
      <c r="NB122" s="94"/>
      <c r="NC122" s="94"/>
      <c r="ND122" s="94"/>
      <c r="NE122" s="94"/>
      <c r="NF122" s="94"/>
      <c r="NG122" s="94"/>
      <c r="NH122" s="94"/>
      <c r="NI122" s="94"/>
      <c r="NJ122" s="94"/>
    </row>
    <row r="123" spans="1:374" x14ac:dyDescent="0.25">
      <c r="A123" s="88"/>
      <c r="B123" s="88"/>
      <c r="C123" s="88"/>
      <c r="D123" s="88"/>
      <c r="E123" s="89"/>
      <c r="F123" s="88"/>
      <c r="G123" s="88"/>
      <c r="H123" s="88" t="str">
        <f t="shared" si="195"/>
        <v xml:space="preserve">  </v>
      </c>
      <c r="I123" s="88"/>
      <c r="J123" s="88"/>
      <c r="K123" s="88"/>
      <c r="L123" s="88"/>
      <c r="M123" s="88"/>
      <c r="N123" s="88"/>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1"/>
      <c r="AR123" s="75"/>
      <c r="AS123" s="91"/>
      <c r="AT123" s="91"/>
      <c r="AU123" s="90"/>
      <c r="AV123" s="91"/>
      <c r="AW123" s="91"/>
      <c r="AX123" s="91"/>
      <c r="AY123" s="91"/>
      <c r="AZ123" s="91"/>
      <c r="BA123" s="91"/>
      <c r="BB123" s="90"/>
      <c r="BC123" s="91"/>
      <c r="BD123" s="75"/>
      <c r="BE123" s="91"/>
      <c r="BF123" s="91"/>
      <c r="BG123" s="90"/>
      <c r="BH123" s="91"/>
      <c r="BI123" s="91"/>
      <c r="BJ123" s="91"/>
      <c r="BK123" s="91"/>
      <c r="BL123" s="91"/>
      <c r="BM123" s="91"/>
      <c r="BN123" s="90"/>
      <c r="BO123" s="91"/>
      <c r="BP123" s="75"/>
      <c r="BQ123" s="91"/>
      <c r="BR123" s="91"/>
      <c r="BS123" s="90"/>
      <c r="BT123" s="91"/>
      <c r="BU123" s="91"/>
      <c r="BV123" s="91"/>
      <c r="BW123" s="91"/>
      <c r="BX123" s="91"/>
      <c r="BY123" s="91"/>
      <c r="BZ123" s="90"/>
      <c r="CA123" s="91"/>
      <c r="CB123" s="75"/>
      <c r="CC123" s="91"/>
      <c r="CD123" s="91"/>
      <c r="CE123" s="90"/>
      <c r="CF123" s="91"/>
      <c r="CG123" s="91"/>
      <c r="CH123" s="91"/>
      <c r="CI123" s="91"/>
      <c r="CJ123" s="91"/>
      <c r="CK123" s="91"/>
      <c r="CL123" s="90"/>
      <c r="CM123" s="91"/>
      <c r="CN123" s="75"/>
      <c r="CO123" s="91"/>
      <c r="CP123" s="91"/>
      <c r="CQ123" s="90"/>
      <c r="CR123" s="91"/>
      <c r="CS123" s="91"/>
      <c r="CT123" s="91"/>
      <c r="CU123" s="91"/>
      <c r="CV123" s="91"/>
      <c r="CW123" s="91"/>
      <c r="CX123" s="90"/>
      <c r="CY123" s="91"/>
      <c r="CZ123" s="75"/>
      <c r="DA123" s="91"/>
      <c r="DB123" s="91"/>
      <c r="DC123" s="90"/>
      <c r="DD123" s="91"/>
      <c r="DE123" s="91"/>
      <c r="DF123" s="91"/>
      <c r="DG123" s="91"/>
      <c r="DH123" s="91"/>
      <c r="DI123" s="91"/>
      <c r="DJ123" s="90"/>
      <c r="DK123" s="91"/>
      <c r="DL123" s="75"/>
      <c r="DM123" s="75"/>
      <c r="DN123" s="75">
        <f t="shared" si="194"/>
        <v>0</v>
      </c>
      <c r="DO123" s="75" t="str">
        <f t="shared" si="196"/>
        <v/>
      </c>
      <c r="DP123" s="91" t="str">
        <f>IFERROR(#REF!/#REF!*1000,"")</f>
        <v/>
      </c>
      <c r="DQ123" s="91" t="str">
        <f>IFERROR(#REF!/#REF!*1000,"")</f>
        <v/>
      </c>
      <c r="DR123" s="90"/>
      <c r="DS123" s="91" t="str">
        <f>IFERROR(#REF!/#REF!*1000,"")</f>
        <v/>
      </c>
      <c r="DT123" s="91" t="str">
        <f>IFERROR(#REF!/#REF!*1000,"")</f>
        <v/>
      </c>
      <c r="DU123" s="91"/>
      <c r="DV123" s="91"/>
      <c r="DW123" s="91"/>
      <c r="DX123" s="91"/>
      <c r="DY123" s="90"/>
      <c r="DZ123" s="91"/>
      <c r="EA123" s="75"/>
      <c r="EB123" s="91"/>
      <c r="EC123" s="91"/>
      <c r="ED123" s="90"/>
      <c r="EE123" s="91"/>
      <c r="EF123" s="91"/>
      <c r="EG123" s="91"/>
      <c r="EH123" s="91"/>
      <c r="EI123" s="91"/>
      <c r="EJ123" s="91"/>
      <c r="EK123" s="90"/>
      <c r="EL123" s="90"/>
      <c r="EM123" s="88"/>
      <c r="EN123" s="92"/>
      <c r="EO123" s="92"/>
      <c r="EP123" s="92"/>
      <c r="EQ123" s="92"/>
      <c r="ER123" s="92"/>
      <c r="ES123" s="92"/>
      <c r="ET123" s="92"/>
      <c r="EU123" s="92"/>
      <c r="EV123" s="92"/>
      <c r="EW123" s="92"/>
      <c r="EX123" s="92"/>
      <c r="EY123" s="92"/>
      <c r="EZ123" s="92"/>
      <c r="FA123" s="92"/>
      <c r="FB123" s="92"/>
      <c r="FC123" s="92"/>
      <c r="FD123" s="92"/>
      <c r="FE123" s="92"/>
      <c r="FF123" s="92"/>
      <c r="FG123" s="92"/>
      <c r="FH123" s="92"/>
      <c r="FI123" s="92"/>
      <c r="FJ123" s="92"/>
      <c r="FK123" s="92"/>
      <c r="FL123" s="92"/>
      <c r="FM123" s="92"/>
      <c r="FN123" s="92"/>
      <c r="FO123" s="92"/>
      <c r="FP123" s="92"/>
      <c r="FQ123" s="92"/>
      <c r="FR123" s="92"/>
      <c r="FS123" s="92"/>
      <c r="FT123" s="92"/>
      <c r="FU123" s="92"/>
      <c r="FV123" s="92"/>
      <c r="FW123" s="92"/>
      <c r="FX123" s="92"/>
      <c r="FY123" s="92"/>
      <c r="FZ123" s="92"/>
      <c r="GA123" s="92"/>
      <c r="GB123" s="92"/>
      <c r="GC123" s="92"/>
      <c r="GD123" s="92"/>
      <c r="GE123" s="92"/>
      <c r="GF123" s="92"/>
      <c r="GG123" s="92"/>
      <c r="GH123" s="92"/>
      <c r="GI123" s="92"/>
      <c r="GJ123" s="92"/>
      <c r="GK123" s="92"/>
      <c r="GL123" s="92"/>
      <c r="GM123" s="92"/>
      <c r="GN123" s="92"/>
      <c r="GO123" s="92"/>
      <c r="GP123" s="92"/>
      <c r="GQ123" s="92"/>
      <c r="GR123" s="92"/>
      <c r="GS123" s="92"/>
      <c r="GT123" s="92"/>
      <c r="GU123" s="92"/>
      <c r="GV123" s="92"/>
      <c r="GW123" s="92"/>
      <c r="GX123" s="92"/>
      <c r="GY123" s="92"/>
      <c r="GZ123" s="92"/>
      <c r="HA123" s="92"/>
      <c r="HB123" s="92"/>
      <c r="HC123" s="92"/>
      <c r="HD123" s="92"/>
      <c r="HE123" s="92"/>
      <c r="HF123" s="92"/>
      <c r="HG123" s="92"/>
      <c r="HH123" s="92"/>
      <c r="HI123" s="92"/>
      <c r="HJ123" s="92"/>
      <c r="HK123" s="92"/>
      <c r="HL123" s="92"/>
      <c r="HM123" s="92"/>
      <c r="HN123" s="92"/>
      <c r="HO123" s="92"/>
      <c r="HP123" s="92"/>
      <c r="HQ123" s="92"/>
      <c r="HR123" s="92"/>
      <c r="HS123" s="92"/>
      <c r="HT123" s="92"/>
      <c r="HU123" s="92"/>
      <c r="HV123" s="92"/>
      <c r="HW123" s="92"/>
      <c r="HX123" s="92"/>
      <c r="HY123" s="92"/>
      <c r="HZ123" s="92"/>
      <c r="IA123" s="92"/>
      <c r="IB123" s="92"/>
      <c r="IC123" s="92"/>
      <c r="ID123" s="92"/>
      <c r="IE123" s="92"/>
      <c r="IF123" s="92"/>
      <c r="IG123" s="92"/>
      <c r="IH123" s="92"/>
      <c r="II123" s="92"/>
      <c r="IJ123" s="92"/>
      <c r="IK123" s="92"/>
      <c r="IL123" s="92"/>
      <c r="IM123" s="92"/>
      <c r="IN123" s="92"/>
      <c r="IO123" s="92"/>
      <c r="IP123" s="92"/>
      <c r="IQ123" s="92"/>
      <c r="IR123" s="92"/>
      <c r="IS123" s="92"/>
      <c r="IT123" s="92"/>
      <c r="IU123" s="92"/>
      <c r="IV123" s="92"/>
      <c r="IW123" s="92"/>
      <c r="IX123" s="92"/>
      <c r="IY123" s="92"/>
      <c r="IZ123" s="92"/>
      <c r="JA123" s="92"/>
      <c r="JB123" s="92"/>
      <c r="JC123" s="92"/>
      <c r="JD123" s="92"/>
      <c r="JE123" s="92"/>
      <c r="JF123" s="92"/>
      <c r="JG123" s="92"/>
      <c r="JH123" s="92"/>
      <c r="JI123" s="92"/>
      <c r="JJ123" s="92"/>
      <c r="JK123" s="92"/>
      <c r="JL123" s="92"/>
      <c r="JM123" s="92"/>
      <c r="JN123" s="92"/>
      <c r="JO123" s="92"/>
      <c r="JP123" s="92"/>
      <c r="JQ123" s="92"/>
      <c r="JR123" s="92"/>
      <c r="JS123" s="92"/>
      <c r="JT123" s="92"/>
      <c r="JU123" s="92"/>
      <c r="JV123" s="92"/>
      <c r="JW123" s="92"/>
      <c r="JX123" s="92"/>
      <c r="JY123" s="92"/>
      <c r="JZ123" s="92"/>
      <c r="KA123" s="92"/>
      <c r="KB123" s="92"/>
      <c r="KC123" s="92"/>
      <c r="KD123" s="92"/>
      <c r="KE123" s="92"/>
      <c r="KF123" s="92"/>
      <c r="KG123" s="92"/>
      <c r="KH123" s="92"/>
      <c r="KI123" s="92"/>
      <c r="KJ123" s="92"/>
      <c r="KK123" s="92"/>
      <c r="KL123" s="92"/>
      <c r="KM123" s="92"/>
      <c r="KN123" s="92"/>
      <c r="KO123" s="92"/>
      <c r="KP123" s="92"/>
      <c r="KQ123" s="88"/>
      <c r="KR123" s="92"/>
      <c r="KS123" s="92"/>
      <c r="KT123" s="92"/>
      <c r="KU123" s="93"/>
      <c r="KV123" s="92"/>
      <c r="KW123" s="93"/>
      <c r="KX123" s="92"/>
      <c r="KY123" s="93"/>
      <c r="KZ123" s="92"/>
      <c r="LA123" s="93"/>
      <c r="LB123" s="92"/>
      <c r="LC123" s="93"/>
      <c r="LD123" s="92"/>
      <c r="LE123" s="93"/>
      <c r="LF123" s="92"/>
      <c r="LG123" s="92"/>
      <c r="LH123" s="92"/>
      <c r="LI123" s="92"/>
      <c r="LJ123" s="92"/>
      <c r="LK123" s="92"/>
      <c r="LL123" s="92"/>
      <c r="LM123" s="92"/>
      <c r="LN123" s="92"/>
      <c r="LO123" s="92"/>
      <c r="LP123" s="88"/>
      <c r="LQ123" s="93"/>
      <c r="LR123" s="88"/>
      <c r="LS123" s="93"/>
      <c r="LT123" s="93"/>
      <c r="LU123" s="93"/>
      <c r="LV123" s="93"/>
      <c r="LW123" s="93"/>
      <c r="LX123" s="93"/>
      <c r="LY123" s="93"/>
      <c r="LZ123" s="93"/>
      <c r="MA123" s="93"/>
      <c r="MB123" s="93"/>
      <c r="MC123" s="94"/>
      <c r="MD123" s="94"/>
      <c r="ME123" s="94"/>
      <c r="MF123" s="94"/>
      <c r="MG123" s="94"/>
      <c r="MH123" s="94"/>
      <c r="MI123" s="94"/>
      <c r="MJ123" s="94"/>
      <c r="MK123" s="94"/>
      <c r="ML123" s="94"/>
      <c r="MM123" s="94"/>
      <c r="MN123" s="94"/>
      <c r="MO123" s="95"/>
      <c r="MP123" s="95"/>
      <c r="MQ123" s="94"/>
      <c r="MR123" s="94"/>
      <c r="MS123" s="94"/>
      <c r="MT123" s="94"/>
      <c r="MU123" s="94"/>
      <c r="MV123" s="94"/>
      <c r="MW123" s="94"/>
      <c r="MX123" s="94"/>
      <c r="MY123" s="94"/>
      <c r="MZ123" s="94"/>
      <c r="NA123" s="94"/>
      <c r="NB123" s="94"/>
      <c r="NC123" s="94"/>
      <c r="ND123" s="94"/>
      <c r="NE123" s="94"/>
      <c r="NF123" s="94"/>
      <c r="NG123" s="94"/>
      <c r="NH123" s="94"/>
      <c r="NI123" s="94"/>
      <c r="NJ123" s="94"/>
    </row>
    <row r="124" spans="1:374" x14ac:dyDescent="0.25">
      <c r="A124" s="88"/>
      <c r="B124" s="88"/>
      <c r="C124" s="88"/>
      <c r="D124" s="88"/>
      <c r="E124" s="89"/>
      <c r="F124" s="88"/>
      <c r="G124" s="88"/>
      <c r="H124" s="88" t="str">
        <f t="shared" si="195"/>
        <v xml:space="preserve">  </v>
      </c>
      <c r="I124" s="88"/>
      <c r="J124" s="88"/>
      <c r="K124" s="88"/>
      <c r="L124" s="88"/>
      <c r="M124" s="88"/>
      <c r="N124" s="88"/>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1"/>
      <c r="AR124" s="75"/>
      <c r="AS124" s="91"/>
      <c r="AT124" s="91"/>
      <c r="AU124" s="90"/>
      <c r="AV124" s="91"/>
      <c r="AW124" s="91"/>
      <c r="AX124" s="91"/>
      <c r="AY124" s="91"/>
      <c r="AZ124" s="91"/>
      <c r="BA124" s="91"/>
      <c r="BB124" s="90"/>
      <c r="BC124" s="91"/>
      <c r="BD124" s="75"/>
      <c r="BE124" s="91"/>
      <c r="BF124" s="91"/>
      <c r="BG124" s="90"/>
      <c r="BH124" s="91"/>
      <c r="BI124" s="91"/>
      <c r="BJ124" s="91"/>
      <c r="BK124" s="91"/>
      <c r="BL124" s="91"/>
      <c r="BM124" s="91"/>
      <c r="BN124" s="90"/>
      <c r="BO124" s="91"/>
      <c r="BP124" s="75"/>
      <c r="BQ124" s="91"/>
      <c r="BR124" s="91"/>
      <c r="BS124" s="90"/>
      <c r="BT124" s="91"/>
      <c r="BU124" s="91"/>
      <c r="BV124" s="91"/>
      <c r="BW124" s="91"/>
      <c r="BX124" s="91"/>
      <c r="BY124" s="91"/>
      <c r="BZ124" s="90"/>
      <c r="CA124" s="91"/>
      <c r="CB124" s="75"/>
      <c r="CC124" s="91"/>
      <c r="CD124" s="91"/>
      <c r="CE124" s="90"/>
      <c r="CF124" s="91"/>
      <c r="CG124" s="91"/>
      <c r="CH124" s="91"/>
      <c r="CI124" s="91"/>
      <c r="CJ124" s="91"/>
      <c r="CK124" s="91"/>
      <c r="CL124" s="90"/>
      <c r="CM124" s="91"/>
      <c r="CN124" s="75"/>
      <c r="CO124" s="91"/>
      <c r="CP124" s="91"/>
      <c r="CQ124" s="90"/>
      <c r="CR124" s="91"/>
      <c r="CS124" s="91"/>
      <c r="CT124" s="91"/>
      <c r="CU124" s="91"/>
      <c r="CV124" s="91"/>
      <c r="CW124" s="91"/>
      <c r="CX124" s="90"/>
      <c r="CY124" s="91"/>
      <c r="CZ124" s="75"/>
      <c r="DA124" s="91"/>
      <c r="DB124" s="91"/>
      <c r="DC124" s="90"/>
      <c r="DD124" s="91"/>
      <c r="DE124" s="91"/>
      <c r="DF124" s="91"/>
      <c r="DG124" s="91"/>
      <c r="DH124" s="91"/>
      <c r="DI124" s="91"/>
      <c r="DJ124" s="90"/>
      <c r="DK124" s="91"/>
      <c r="DL124" s="75"/>
      <c r="DM124" s="75"/>
      <c r="DN124" s="75">
        <f t="shared" si="194"/>
        <v>0</v>
      </c>
      <c r="DO124" s="75" t="str">
        <f t="shared" si="196"/>
        <v/>
      </c>
      <c r="DP124" s="91" t="str">
        <f>IFERROR(#REF!/#REF!*1000,"")</f>
        <v/>
      </c>
      <c r="DQ124" s="91" t="str">
        <f>IFERROR(#REF!/#REF!*1000,"")</f>
        <v/>
      </c>
      <c r="DR124" s="90"/>
      <c r="DS124" s="91" t="str">
        <f>IFERROR(#REF!/#REF!*1000,"")</f>
        <v/>
      </c>
      <c r="DT124" s="91" t="str">
        <f>IFERROR(#REF!/#REF!*1000,"")</f>
        <v/>
      </c>
      <c r="DU124" s="91"/>
      <c r="DV124" s="91"/>
      <c r="DW124" s="91"/>
      <c r="DX124" s="91"/>
      <c r="DY124" s="90"/>
      <c r="DZ124" s="91"/>
      <c r="EA124" s="75"/>
      <c r="EB124" s="91"/>
      <c r="EC124" s="91"/>
      <c r="ED124" s="90"/>
      <c r="EE124" s="91"/>
      <c r="EF124" s="91"/>
      <c r="EG124" s="91"/>
      <c r="EH124" s="91"/>
      <c r="EI124" s="91"/>
      <c r="EJ124" s="91"/>
      <c r="EK124" s="90"/>
      <c r="EL124" s="90"/>
      <c r="EM124" s="88"/>
      <c r="EN124" s="92"/>
      <c r="EO124" s="92"/>
      <c r="EP124" s="92"/>
      <c r="EQ124" s="92"/>
      <c r="ER124" s="92"/>
      <c r="ES124" s="92"/>
      <c r="ET124" s="92"/>
      <c r="EU124" s="92"/>
      <c r="EV124" s="92"/>
      <c r="EW124" s="92"/>
      <c r="EX124" s="92"/>
      <c r="EY124" s="92"/>
      <c r="EZ124" s="92"/>
      <c r="FA124" s="92"/>
      <c r="FB124" s="92"/>
      <c r="FC124" s="92"/>
      <c r="FD124" s="92"/>
      <c r="FE124" s="92"/>
      <c r="FF124" s="92"/>
      <c r="FG124" s="92"/>
      <c r="FH124" s="92"/>
      <c r="FI124" s="92"/>
      <c r="FJ124" s="92"/>
      <c r="FK124" s="92"/>
      <c r="FL124" s="92"/>
      <c r="FM124" s="92"/>
      <c r="FN124" s="92"/>
      <c r="FO124" s="92"/>
      <c r="FP124" s="92"/>
      <c r="FQ124" s="92"/>
      <c r="FR124" s="92"/>
      <c r="FS124" s="92"/>
      <c r="FT124" s="92"/>
      <c r="FU124" s="92"/>
      <c r="FV124" s="92"/>
      <c r="FW124" s="92"/>
      <c r="FX124" s="92"/>
      <c r="FY124" s="92"/>
      <c r="FZ124" s="92"/>
      <c r="GA124" s="92"/>
      <c r="GB124" s="92"/>
      <c r="GC124" s="92"/>
      <c r="GD124" s="92"/>
      <c r="GE124" s="92"/>
      <c r="GF124" s="92"/>
      <c r="GG124" s="92"/>
      <c r="GH124" s="92"/>
      <c r="GI124" s="92"/>
      <c r="GJ124" s="92"/>
      <c r="GK124" s="92"/>
      <c r="GL124" s="92"/>
      <c r="GM124" s="92"/>
      <c r="GN124" s="92"/>
      <c r="GO124" s="92"/>
      <c r="GP124" s="92"/>
      <c r="GQ124" s="92"/>
      <c r="GR124" s="92"/>
      <c r="GS124" s="92"/>
      <c r="GT124" s="92"/>
      <c r="GU124" s="92"/>
      <c r="GV124" s="92"/>
      <c r="GW124" s="92"/>
      <c r="GX124" s="92"/>
      <c r="GY124" s="92"/>
      <c r="GZ124" s="92"/>
      <c r="HA124" s="92"/>
      <c r="HB124" s="92"/>
      <c r="HC124" s="92"/>
      <c r="HD124" s="92"/>
      <c r="HE124" s="92"/>
      <c r="HF124" s="92"/>
      <c r="HG124" s="92"/>
      <c r="HH124" s="92"/>
      <c r="HI124" s="92"/>
      <c r="HJ124" s="92"/>
      <c r="HK124" s="92"/>
      <c r="HL124" s="92"/>
      <c r="HM124" s="92"/>
      <c r="HN124" s="92"/>
      <c r="HO124" s="92"/>
      <c r="HP124" s="92"/>
      <c r="HQ124" s="92"/>
      <c r="HR124" s="92"/>
      <c r="HS124" s="92"/>
      <c r="HT124" s="92"/>
      <c r="HU124" s="92"/>
      <c r="HV124" s="92"/>
      <c r="HW124" s="92"/>
      <c r="HX124" s="92"/>
      <c r="HY124" s="92"/>
      <c r="HZ124" s="92"/>
      <c r="IA124" s="92"/>
      <c r="IB124" s="92"/>
      <c r="IC124" s="92"/>
      <c r="ID124" s="92"/>
      <c r="IE124" s="92"/>
      <c r="IF124" s="92"/>
      <c r="IG124" s="92"/>
      <c r="IH124" s="92"/>
      <c r="II124" s="92"/>
      <c r="IJ124" s="92"/>
      <c r="IK124" s="92"/>
      <c r="IL124" s="92"/>
      <c r="IM124" s="92"/>
      <c r="IN124" s="92"/>
      <c r="IO124" s="92"/>
      <c r="IP124" s="92"/>
      <c r="IQ124" s="92"/>
      <c r="IR124" s="92"/>
      <c r="IS124" s="92"/>
      <c r="IT124" s="92"/>
      <c r="IU124" s="92"/>
      <c r="IV124" s="92"/>
      <c r="IW124" s="92"/>
      <c r="IX124" s="92"/>
      <c r="IY124" s="92"/>
      <c r="IZ124" s="92"/>
      <c r="JA124" s="92"/>
      <c r="JB124" s="92"/>
      <c r="JC124" s="92"/>
      <c r="JD124" s="92"/>
      <c r="JE124" s="92"/>
      <c r="JF124" s="92"/>
      <c r="JG124" s="92"/>
      <c r="JH124" s="92"/>
      <c r="JI124" s="92"/>
      <c r="JJ124" s="92"/>
      <c r="JK124" s="92"/>
      <c r="JL124" s="92"/>
      <c r="JM124" s="92"/>
      <c r="JN124" s="92"/>
      <c r="JO124" s="92"/>
      <c r="JP124" s="92"/>
      <c r="JQ124" s="92"/>
      <c r="JR124" s="92"/>
      <c r="JS124" s="92"/>
      <c r="JT124" s="92"/>
      <c r="JU124" s="92"/>
      <c r="JV124" s="92"/>
      <c r="JW124" s="92"/>
      <c r="JX124" s="92"/>
      <c r="JY124" s="92"/>
      <c r="JZ124" s="92"/>
      <c r="KA124" s="92"/>
      <c r="KB124" s="92"/>
      <c r="KC124" s="92"/>
      <c r="KD124" s="92"/>
      <c r="KE124" s="92"/>
      <c r="KF124" s="92"/>
      <c r="KG124" s="92"/>
      <c r="KH124" s="92"/>
      <c r="KI124" s="92"/>
      <c r="KJ124" s="92"/>
      <c r="KK124" s="92"/>
      <c r="KL124" s="92"/>
      <c r="KM124" s="92"/>
      <c r="KN124" s="92"/>
      <c r="KO124" s="92"/>
      <c r="KP124" s="92"/>
      <c r="KQ124" s="88"/>
      <c r="KR124" s="92"/>
      <c r="KS124" s="92"/>
      <c r="KT124" s="92"/>
      <c r="KU124" s="93"/>
      <c r="KV124" s="92"/>
      <c r="KW124" s="93"/>
      <c r="KX124" s="92"/>
      <c r="KY124" s="93"/>
      <c r="KZ124" s="92"/>
      <c r="LA124" s="93"/>
      <c r="LB124" s="92"/>
      <c r="LC124" s="93"/>
      <c r="LD124" s="92"/>
      <c r="LE124" s="93"/>
      <c r="LF124" s="92"/>
      <c r="LG124" s="92"/>
      <c r="LH124" s="92"/>
      <c r="LI124" s="92"/>
      <c r="LJ124" s="92"/>
      <c r="LK124" s="92"/>
      <c r="LL124" s="92"/>
      <c r="LM124" s="92"/>
      <c r="LN124" s="92"/>
      <c r="LO124" s="92"/>
      <c r="LP124" s="88"/>
      <c r="LQ124" s="93"/>
      <c r="LR124" s="88"/>
      <c r="LS124" s="93"/>
      <c r="LT124" s="93"/>
      <c r="LU124" s="93"/>
      <c r="LV124" s="93"/>
      <c r="LW124" s="93"/>
      <c r="LX124" s="93"/>
      <c r="LY124" s="93"/>
      <c r="LZ124" s="93"/>
      <c r="MA124" s="93"/>
      <c r="MB124" s="93"/>
      <c r="MC124" s="94"/>
      <c r="MD124" s="94"/>
      <c r="ME124" s="94"/>
      <c r="MF124" s="94"/>
      <c r="MG124" s="94"/>
      <c r="MH124" s="94"/>
      <c r="MI124" s="94"/>
      <c r="MJ124" s="94"/>
      <c r="MK124" s="94"/>
      <c r="ML124" s="94"/>
      <c r="MM124" s="94"/>
      <c r="MN124" s="94"/>
      <c r="MO124" s="95"/>
      <c r="MP124" s="95"/>
      <c r="MQ124" s="94"/>
      <c r="MR124" s="94"/>
      <c r="MS124" s="94"/>
      <c r="MT124" s="94"/>
      <c r="MU124" s="94"/>
      <c r="MV124" s="94"/>
      <c r="MW124" s="94"/>
      <c r="MX124" s="94"/>
      <c r="MY124" s="94"/>
      <c r="MZ124" s="94"/>
      <c r="NA124" s="94"/>
      <c r="NB124" s="94"/>
      <c r="NC124" s="94"/>
      <c r="ND124" s="94"/>
      <c r="NE124" s="94"/>
      <c r="NF124" s="94"/>
      <c r="NG124" s="94"/>
      <c r="NH124" s="94"/>
      <c r="NI124" s="94"/>
      <c r="NJ124" s="94"/>
    </row>
    <row r="125" spans="1:374" x14ac:dyDescent="0.25">
      <c r="A125" s="88"/>
      <c r="B125" s="88"/>
      <c r="C125" s="88"/>
      <c r="D125" s="88"/>
      <c r="E125" s="89"/>
      <c r="F125" s="88"/>
      <c r="G125" s="88"/>
      <c r="H125" s="88" t="str">
        <f t="shared" si="195"/>
        <v xml:space="preserve">  </v>
      </c>
      <c r="I125" s="88"/>
      <c r="J125" s="88"/>
      <c r="K125" s="88"/>
      <c r="L125" s="88"/>
      <c r="M125" s="88"/>
      <c r="N125" s="88"/>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1"/>
      <c r="AR125" s="75"/>
      <c r="AS125" s="91"/>
      <c r="AT125" s="91"/>
      <c r="AU125" s="90"/>
      <c r="AV125" s="91"/>
      <c r="AW125" s="91"/>
      <c r="AX125" s="91"/>
      <c r="AY125" s="91"/>
      <c r="AZ125" s="91"/>
      <c r="BA125" s="91"/>
      <c r="BB125" s="90"/>
      <c r="BC125" s="91"/>
      <c r="BD125" s="75"/>
      <c r="BE125" s="91"/>
      <c r="BF125" s="91"/>
      <c r="BG125" s="90"/>
      <c r="BH125" s="91"/>
      <c r="BI125" s="91"/>
      <c r="BJ125" s="91"/>
      <c r="BK125" s="91"/>
      <c r="BL125" s="91"/>
      <c r="BM125" s="91"/>
      <c r="BN125" s="90"/>
      <c r="BO125" s="91"/>
      <c r="BP125" s="75"/>
      <c r="BQ125" s="91"/>
      <c r="BR125" s="91"/>
      <c r="BS125" s="90"/>
      <c r="BT125" s="91"/>
      <c r="BU125" s="91"/>
      <c r="BV125" s="91"/>
      <c r="BW125" s="91"/>
      <c r="BX125" s="91"/>
      <c r="BY125" s="91"/>
      <c r="BZ125" s="90"/>
      <c r="CA125" s="91"/>
      <c r="CB125" s="75"/>
      <c r="CC125" s="91"/>
      <c r="CD125" s="91"/>
      <c r="CE125" s="90"/>
      <c r="CF125" s="91"/>
      <c r="CG125" s="91"/>
      <c r="CH125" s="91"/>
      <c r="CI125" s="91"/>
      <c r="CJ125" s="91"/>
      <c r="CK125" s="91"/>
      <c r="CL125" s="90"/>
      <c r="CM125" s="91"/>
      <c r="CN125" s="75"/>
      <c r="CO125" s="91"/>
      <c r="CP125" s="91"/>
      <c r="CQ125" s="90"/>
      <c r="CR125" s="91"/>
      <c r="CS125" s="91"/>
      <c r="CT125" s="91"/>
      <c r="CU125" s="91"/>
      <c r="CV125" s="91"/>
      <c r="CW125" s="91"/>
      <c r="CX125" s="90"/>
      <c r="CY125" s="91"/>
      <c r="CZ125" s="75"/>
      <c r="DA125" s="91"/>
      <c r="DB125" s="91"/>
      <c r="DC125" s="90"/>
      <c r="DD125" s="91"/>
      <c r="DE125" s="91"/>
      <c r="DF125" s="91"/>
      <c r="DG125" s="91"/>
      <c r="DH125" s="91"/>
      <c r="DI125" s="91"/>
      <c r="DJ125" s="90"/>
      <c r="DK125" s="91"/>
      <c r="DL125" s="75"/>
      <c r="DM125" s="75"/>
      <c r="DN125" s="75">
        <f t="shared" si="194"/>
        <v>0</v>
      </c>
      <c r="DO125" s="75" t="str">
        <f t="shared" si="196"/>
        <v/>
      </c>
      <c r="DP125" s="91" t="str">
        <f>IFERROR(#REF!/#REF!*1000,"")</f>
        <v/>
      </c>
      <c r="DQ125" s="91" t="str">
        <f>IFERROR(#REF!/#REF!*1000,"")</f>
        <v/>
      </c>
      <c r="DR125" s="90"/>
      <c r="DS125" s="91" t="str">
        <f>IFERROR(#REF!/#REF!*1000,"")</f>
        <v/>
      </c>
      <c r="DT125" s="91" t="str">
        <f>IFERROR(#REF!/#REF!*1000,"")</f>
        <v/>
      </c>
      <c r="DU125" s="91"/>
      <c r="DV125" s="91"/>
      <c r="DW125" s="91"/>
      <c r="DX125" s="91"/>
      <c r="DY125" s="90"/>
      <c r="DZ125" s="91"/>
      <c r="EA125" s="75"/>
      <c r="EB125" s="91"/>
      <c r="EC125" s="91"/>
      <c r="ED125" s="90"/>
      <c r="EE125" s="91"/>
      <c r="EF125" s="91"/>
      <c r="EG125" s="91"/>
      <c r="EH125" s="91"/>
      <c r="EI125" s="91"/>
      <c r="EJ125" s="91"/>
      <c r="EK125" s="90"/>
      <c r="EL125" s="90"/>
      <c r="EM125" s="88"/>
      <c r="EN125" s="92"/>
      <c r="EO125" s="92"/>
      <c r="EP125" s="92"/>
      <c r="EQ125" s="92"/>
      <c r="ER125" s="92"/>
      <c r="ES125" s="92"/>
      <c r="ET125" s="92"/>
      <c r="EU125" s="92"/>
      <c r="EV125" s="92"/>
      <c r="EW125" s="92"/>
      <c r="EX125" s="92"/>
      <c r="EY125" s="92"/>
      <c r="EZ125" s="92"/>
      <c r="FA125" s="92"/>
      <c r="FB125" s="92"/>
      <c r="FC125" s="92"/>
      <c r="FD125" s="92"/>
      <c r="FE125" s="92"/>
      <c r="FF125" s="92"/>
      <c r="FG125" s="92"/>
      <c r="FH125" s="92"/>
      <c r="FI125" s="92"/>
      <c r="FJ125" s="92"/>
      <c r="FK125" s="92"/>
      <c r="FL125" s="92"/>
      <c r="FM125" s="92"/>
      <c r="FN125" s="92"/>
      <c r="FO125" s="92"/>
      <c r="FP125" s="92"/>
      <c r="FQ125" s="92"/>
      <c r="FR125" s="92"/>
      <c r="FS125" s="92"/>
      <c r="FT125" s="92"/>
      <c r="FU125" s="92"/>
      <c r="FV125" s="92"/>
      <c r="FW125" s="92"/>
      <c r="FX125" s="92"/>
      <c r="FY125" s="92"/>
      <c r="FZ125" s="92"/>
      <c r="GA125" s="92"/>
      <c r="GB125" s="92"/>
      <c r="GC125" s="92"/>
      <c r="GD125" s="92"/>
      <c r="GE125" s="92"/>
      <c r="GF125" s="92"/>
      <c r="GG125" s="92"/>
      <c r="GH125" s="92"/>
      <c r="GI125" s="92"/>
      <c r="GJ125" s="92"/>
      <c r="GK125" s="92"/>
      <c r="GL125" s="92"/>
      <c r="GM125" s="92"/>
      <c r="GN125" s="92"/>
      <c r="GO125" s="92"/>
      <c r="GP125" s="92"/>
      <c r="GQ125" s="92"/>
      <c r="GR125" s="92"/>
      <c r="GS125" s="92"/>
      <c r="GT125" s="92"/>
      <c r="GU125" s="92"/>
      <c r="GV125" s="92"/>
      <c r="GW125" s="92"/>
      <c r="GX125" s="92"/>
      <c r="GY125" s="92"/>
      <c r="GZ125" s="92"/>
      <c r="HA125" s="92"/>
      <c r="HB125" s="92"/>
      <c r="HC125" s="92"/>
      <c r="HD125" s="92"/>
      <c r="HE125" s="92"/>
      <c r="HF125" s="92"/>
      <c r="HG125" s="92"/>
      <c r="HH125" s="92"/>
      <c r="HI125" s="92"/>
      <c r="HJ125" s="92"/>
      <c r="HK125" s="92"/>
      <c r="HL125" s="92"/>
      <c r="HM125" s="92"/>
      <c r="HN125" s="92"/>
      <c r="HO125" s="92"/>
      <c r="HP125" s="92"/>
      <c r="HQ125" s="92"/>
      <c r="HR125" s="92"/>
      <c r="HS125" s="92"/>
      <c r="HT125" s="92"/>
      <c r="HU125" s="92"/>
      <c r="HV125" s="92"/>
      <c r="HW125" s="92"/>
      <c r="HX125" s="92"/>
      <c r="HY125" s="92"/>
      <c r="HZ125" s="92"/>
      <c r="IA125" s="92"/>
      <c r="IB125" s="92"/>
      <c r="IC125" s="92"/>
      <c r="ID125" s="92"/>
      <c r="IE125" s="92"/>
      <c r="IF125" s="92"/>
      <c r="IG125" s="92"/>
      <c r="IH125" s="92"/>
      <c r="II125" s="92"/>
      <c r="IJ125" s="92"/>
      <c r="IK125" s="92"/>
      <c r="IL125" s="92"/>
      <c r="IM125" s="92"/>
      <c r="IN125" s="92"/>
      <c r="IO125" s="92"/>
      <c r="IP125" s="92"/>
      <c r="IQ125" s="92"/>
      <c r="IR125" s="92"/>
      <c r="IS125" s="92"/>
      <c r="IT125" s="92"/>
      <c r="IU125" s="92"/>
      <c r="IV125" s="92"/>
      <c r="IW125" s="92"/>
      <c r="IX125" s="92"/>
      <c r="IY125" s="92"/>
      <c r="IZ125" s="92"/>
      <c r="JA125" s="92"/>
      <c r="JB125" s="92"/>
      <c r="JC125" s="92"/>
      <c r="JD125" s="92"/>
      <c r="JE125" s="92"/>
      <c r="JF125" s="92"/>
      <c r="JG125" s="92"/>
      <c r="JH125" s="92"/>
      <c r="JI125" s="92"/>
      <c r="JJ125" s="92"/>
      <c r="JK125" s="92"/>
      <c r="JL125" s="92"/>
      <c r="JM125" s="92"/>
      <c r="JN125" s="92"/>
      <c r="JO125" s="92"/>
      <c r="JP125" s="92"/>
      <c r="JQ125" s="92"/>
      <c r="JR125" s="92"/>
      <c r="JS125" s="92"/>
      <c r="JT125" s="92"/>
      <c r="JU125" s="92"/>
      <c r="JV125" s="92"/>
      <c r="JW125" s="92"/>
      <c r="JX125" s="92"/>
      <c r="JY125" s="92"/>
      <c r="JZ125" s="92"/>
      <c r="KA125" s="92"/>
      <c r="KB125" s="92"/>
      <c r="KC125" s="92"/>
      <c r="KD125" s="92"/>
      <c r="KE125" s="92"/>
      <c r="KF125" s="92"/>
      <c r="KG125" s="92"/>
      <c r="KH125" s="92"/>
      <c r="KI125" s="92"/>
      <c r="KJ125" s="92"/>
      <c r="KK125" s="92"/>
      <c r="KL125" s="92"/>
      <c r="KM125" s="92"/>
      <c r="KN125" s="92"/>
      <c r="KO125" s="92"/>
      <c r="KP125" s="92"/>
      <c r="KQ125" s="88"/>
      <c r="KR125" s="92"/>
      <c r="KS125" s="92"/>
      <c r="KT125" s="92"/>
      <c r="KU125" s="93"/>
      <c r="KV125" s="92"/>
      <c r="KW125" s="93"/>
      <c r="KX125" s="92"/>
      <c r="KY125" s="93"/>
      <c r="KZ125" s="92"/>
      <c r="LA125" s="93"/>
      <c r="LB125" s="92"/>
      <c r="LC125" s="93"/>
      <c r="LD125" s="92"/>
      <c r="LE125" s="93"/>
      <c r="LF125" s="92"/>
      <c r="LG125" s="92"/>
      <c r="LH125" s="92"/>
      <c r="LI125" s="92"/>
      <c r="LJ125" s="92"/>
      <c r="LK125" s="92"/>
      <c r="LL125" s="92"/>
      <c r="LM125" s="92"/>
      <c r="LN125" s="92"/>
      <c r="LO125" s="92"/>
      <c r="LP125" s="88"/>
      <c r="LQ125" s="93"/>
      <c r="LR125" s="88"/>
      <c r="LS125" s="93"/>
      <c r="LT125" s="93"/>
      <c r="LU125" s="93"/>
      <c r="LV125" s="93"/>
      <c r="LW125" s="93"/>
      <c r="LX125" s="93"/>
      <c r="LY125" s="93"/>
      <c r="LZ125" s="93"/>
      <c r="MA125" s="93"/>
      <c r="MB125" s="93"/>
      <c r="MC125" s="94"/>
      <c r="MD125" s="94"/>
      <c r="ME125" s="94"/>
      <c r="MF125" s="94"/>
      <c r="MG125" s="94"/>
      <c r="MH125" s="94"/>
      <c r="MI125" s="94"/>
      <c r="MJ125" s="94"/>
      <c r="MK125" s="94"/>
      <c r="ML125" s="94"/>
      <c r="MM125" s="94"/>
      <c r="MN125" s="94"/>
      <c r="MO125" s="95"/>
      <c r="MP125" s="95"/>
      <c r="MQ125" s="94"/>
      <c r="MR125" s="94"/>
      <c r="MS125" s="94"/>
      <c r="MT125" s="94"/>
      <c r="MU125" s="94"/>
      <c r="MV125" s="94"/>
      <c r="MW125" s="94"/>
      <c r="MX125" s="94"/>
      <c r="MY125" s="94"/>
      <c r="MZ125" s="94"/>
      <c r="NA125" s="94"/>
      <c r="NB125" s="94"/>
      <c r="NC125" s="94"/>
      <c r="ND125" s="94"/>
      <c r="NE125" s="94"/>
      <c r="NF125" s="94"/>
      <c r="NG125" s="94"/>
      <c r="NH125" s="94"/>
      <c r="NI125" s="94"/>
      <c r="NJ125" s="94"/>
    </row>
    <row r="126" spans="1:374" x14ac:dyDescent="0.25">
      <c r="A126" s="88"/>
      <c r="B126" s="88"/>
      <c r="C126" s="88"/>
      <c r="D126" s="88"/>
      <c r="E126" s="89"/>
      <c r="F126" s="88"/>
      <c r="G126" s="88"/>
      <c r="H126" s="88" t="str">
        <f t="shared" si="195"/>
        <v xml:space="preserve">  </v>
      </c>
      <c r="I126" s="88"/>
      <c r="J126" s="88"/>
      <c r="K126" s="88"/>
      <c r="L126" s="88"/>
      <c r="M126" s="88"/>
      <c r="N126" s="88"/>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1"/>
      <c r="AR126" s="75"/>
      <c r="AS126" s="91"/>
      <c r="AT126" s="91"/>
      <c r="AU126" s="90"/>
      <c r="AV126" s="91"/>
      <c r="AW126" s="91"/>
      <c r="AX126" s="91"/>
      <c r="AY126" s="91"/>
      <c r="AZ126" s="91"/>
      <c r="BA126" s="91"/>
      <c r="BB126" s="90"/>
      <c r="BC126" s="91"/>
      <c r="BD126" s="75"/>
      <c r="BE126" s="91"/>
      <c r="BF126" s="91"/>
      <c r="BG126" s="90"/>
      <c r="BH126" s="91"/>
      <c r="BI126" s="91"/>
      <c r="BJ126" s="91"/>
      <c r="BK126" s="91"/>
      <c r="BL126" s="91"/>
      <c r="BM126" s="91"/>
      <c r="BN126" s="90"/>
      <c r="BO126" s="91"/>
      <c r="BP126" s="75"/>
      <c r="BQ126" s="91"/>
      <c r="BR126" s="91"/>
      <c r="BS126" s="90"/>
      <c r="BT126" s="91"/>
      <c r="BU126" s="91"/>
      <c r="BV126" s="91"/>
      <c r="BW126" s="91"/>
      <c r="BX126" s="91"/>
      <c r="BY126" s="91"/>
      <c r="BZ126" s="90"/>
      <c r="CA126" s="91"/>
      <c r="CB126" s="75"/>
      <c r="CC126" s="91"/>
      <c r="CD126" s="91"/>
      <c r="CE126" s="90"/>
      <c r="CF126" s="91"/>
      <c r="CG126" s="91"/>
      <c r="CH126" s="91"/>
      <c r="CI126" s="91"/>
      <c r="CJ126" s="91"/>
      <c r="CK126" s="91"/>
      <c r="CL126" s="90"/>
      <c r="CM126" s="91"/>
      <c r="CN126" s="75"/>
      <c r="CO126" s="91"/>
      <c r="CP126" s="91"/>
      <c r="CQ126" s="90"/>
      <c r="CR126" s="91"/>
      <c r="CS126" s="91"/>
      <c r="CT126" s="91"/>
      <c r="CU126" s="91"/>
      <c r="CV126" s="91"/>
      <c r="CW126" s="91"/>
      <c r="CX126" s="90"/>
      <c r="CY126" s="91"/>
      <c r="CZ126" s="75"/>
      <c r="DA126" s="91"/>
      <c r="DB126" s="91"/>
      <c r="DC126" s="90"/>
      <c r="DD126" s="91"/>
      <c r="DE126" s="91"/>
      <c r="DF126" s="91"/>
      <c r="DG126" s="91"/>
      <c r="DH126" s="91"/>
      <c r="DI126" s="91"/>
      <c r="DJ126" s="90"/>
      <c r="DK126" s="91"/>
      <c r="DL126" s="75"/>
      <c r="DM126" s="75"/>
      <c r="DN126" s="75">
        <f t="shared" si="194"/>
        <v>0</v>
      </c>
      <c r="DO126" s="75" t="str">
        <f t="shared" si="196"/>
        <v/>
      </c>
      <c r="DP126" s="91" t="str">
        <f>IFERROR(#REF!/#REF!*1000,"")</f>
        <v/>
      </c>
      <c r="DQ126" s="91" t="str">
        <f>IFERROR(#REF!/#REF!*1000,"")</f>
        <v/>
      </c>
      <c r="DR126" s="90"/>
      <c r="DS126" s="91" t="str">
        <f>IFERROR(#REF!/#REF!*1000,"")</f>
        <v/>
      </c>
      <c r="DT126" s="91" t="str">
        <f>IFERROR(#REF!/#REF!*1000,"")</f>
        <v/>
      </c>
      <c r="DU126" s="91"/>
      <c r="DV126" s="91"/>
      <c r="DW126" s="91"/>
      <c r="DX126" s="91"/>
      <c r="DY126" s="90"/>
      <c r="DZ126" s="91"/>
      <c r="EA126" s="75"/>
      <c r="EB126" s="91"/>
      <c r="EC126" s="91"/>
      <c r="ED126" s="90"/>
      <c r="EE126" s="91"/>
      <c r="EF126" s="91"/>
      <c r="EG126" s="91"/>
      <c r="EH126" s="91"/>
      <c r="EI126" s="91"/>
      <c r="EJ126" s="91"/>
      <c r="EK126" s="90"/>
      <c r="EL126" s="90"/>
      <c r="EM126" s="88"/>
      <c r="EN126" s="92"/>
      <c r="EO126" s="92"/>
      <c r="EP126" s="92"/>
      <c r="EQ126" s="92"/>
      <c r="ER126" s="92"/>
      <c r="ES126" s="92"/>
      <c r="ET126" s="92"/>
      <c r="EU126" s="92"/>
      <c r="EV126" s="92"/>
      <c r="EW126" s="92"/>
      <c r="EX126" s="92"/>
      <c r="EY126" s="92"/>
      <c r="EZ126" s="92"/>
      <c r="FA126" s="92"/>
      <c r="FB126" s="92"/>
      <c r="FC126" s="92"/>
      <c r="FD126" s="92"/>
      <c r="FE126" s="92"/>
      <c r="FF126" s="92"/>
      <c r="FG126" s="92"/>
      <c r="FH126" s="92"/>
      <c r="FI126" s="92"/>
      <c r="FJ126" s="92"/>
      <c r="FK126" s="92"/>
      <c r="FL126" s="92"/>
      <c r="FM126" s="92"/>
      <c r="FN126" s="92"/>
      <c r="FO126" s="92"/>
      <c r="FP126" s="92"/>
      <c r="FQ126" s="92"/>
      <c r="FR126" s="92"/>
      <c r="FS126" s="92"/>
      <c r="FT126" s="92"/>
      <c r="FU126" s="92"/>
      <c r="FV126" s="92"/>
      <c r="FW126" s="92"/>
      <c r="FX126" s="92"/>
      <c r="FY126" s="92"/>
      <c r="FZ126" s="92"/>
      <c r="GA126" s="92"/>
      <c r="GB126" s="92"/>
      <c r="GC126" s="92"/>
      <c r="GD126" s="92"/>
      <c r="GE126" s="92"/>
      <c r="GF126" s="92"/>
      <c r="GG126" s="92"/>
      <c r="GH126" s="92"/>
      <c r="GI126" s="92"/>
      <c r="GJ126" s="92"/>
      <c r="GK126" s="92"/>
      <c r="GL126" s="92"/>
      <c r="GM126" s="92"/>
      <c r="GN126" s="92"/>
      <c r="GO126" s="92"/>
      <c r="GP126" s="92"/>
      <c r="GQ126" s="92"/>
      <c r="GR126" s="92"/>
      <c r="GS126" s="92"/>
      <c r="GT126" s="92"/>
      <c r="GU126" s="92"/>
      <c r="GV126" s="92"/>
      <c r="GW126" s="92"/>
      <c r="GX126" s="92"/>
      <c r="GY126" s="92"/>
      <c r="GZ126" s="92"/>
      <c r="HA126" s="92"/>
      <c r="HB126" s="92"/>
      <c r="HC126" s="92"/>
      <c r="HD126" s="92"/>
      <c r="HE126" s="92"/>
      <c r="HF126" s="92"/>
      <c r="HG126" s="92"/>
      <c r="HH126" s="92"/>
      <c r="HI126" s="92"/>
      <c r="HJ126" s="92"/>
      <c r="HK126" s="92"/>
      <c r="HL126" s="92"/>
      <c r="HM126" s="92"/>
      <c r="HN126" s="92"/>
      <c r="HO126" s="92"/>
      <c r="HP126" s="92"/>
      <c r="HQ126" s="92"/>
      <c r="HR126" s="92"/>
      <c r="HS126" s="92"/>
      <c r="HT126" s="92"/>
      <c r="HU126" s="92"/>
      <c r="HV126" s="92"/>
      <c r="HW126" s="92"/>
      <c r="HX126" s="92"/>
      <c r="HY126" s="92"/>
      <c r="HZ126" s="92"/>
      <c r="IA126" s="92"/>
      <c r="IB126" s="92"/>
      <c r="IC126" s="92"/>
      <c r="ID126" s="92"/>
      <c r="IE126" s="92"/>
      <c r="IF126" s="92"/>
      <c r="IG126" s="92"/>
      <c r="IH126" s="92"/>
      <c r="II126" s="92"/>
      <c r="IJ126" s="92"/>
      <c r="IK126" s="92"/>
      <c r="IL126" s="92"/>
      <c r="IM126" s="92"/>
      <c r="IN126" s="92"/>
      <c r="IO126" s="92"/>
      <c r="IP126" s="92"/>
      <c r="IQ126" s="92"/>
      <c r="IR126" s="92"/>
      <c r="IS126" s="92"/>
      <c r="IT126" s="92"/>
      <c r="IU126" s="92"/>
      <c r="IV126" s="92"/>
      <c r="IW126" s="92"/>
      <c r="IX126" s="92"/>
      <c r="IY126" s="92"/>
      <c r="IZ126" s="92"/>
      <c r="JA126" s="92"/>
      <c r="JB126" s="92"/>
      <c r="JC126" s="92"/>
      <c r="JD126" s="92"/>
      <c r="JE126" s="92"/>
      <c r="JF126" s="92"/>
      <c r="JG126" s="92"/>
      <c r="JH126" s="92"/>
      <c r="JI126" s="92"/>
      <c r="JJ126" s="92"/>
      <c r="JK126" s="92"/>
      <c r="JL126" s="92"/>
      <c r="JM126" s="92"/>
      <c r="JN126" s="92"/>
      <c r="JO126" s="92"/>
      <c r="JP126" s="92"/>
      <c r="JQ126" s="92"/>
      <c r="JR126" s="92"/>
      <c r="JS126" s="92"/>
      <c r="JT126" s="92"/>
      <c r="JU126" s="92"/>
      <c r="JV126" s="92"/>
      <c r="JW126" s="92"/>
      <c r="JX126" s="92"/>
      <c r="JY126" s="92"/>
      <c r="JZ126" s="92"/>
      <c r="KA126" s="92"/>
      <c r="KB126" s="92"/>
      <c r="KC126" s="92"/>
      <c r="KD126" s="92"/>
      <c r="KE126" s="92"/>
      <c r="KF126" s="92"/>
      <c r="KG126" s="92"/>
      <c r="KH126" s="92"/>
      <c r="KI126" s="92"/>
      <c r="KJ126" s="92"/>
      <c r="KK126" s="92"/>
      <c r="KL126" s="92"/>
      <c r="KM126" s="92"/>
      <c r="KN126" s="92"/>
      <c r="KO126" s="92"/>
      <c r="KP126" s="92"/>
      <c r="KQ126" s="88"/>
      <c r="KR126" s="92"/>
      <c r="KS126" s="92"/>
      <c r="KT126" s="92"/>
      <c r="KU126" s="93"/>
      <c r="KV126" s="92"/>
      <c r="KW126" s="93"/>
      <c r="KX126" s="92"/>
      <c r="KY126" s="93"/>
      <c r="KZ126" s="92"/>
      <c r="LA126" s="93"/>
      <c r="LB126" s="92"/>
      <c r="LC126" s="93"/>
      <c r="LD126" s="92"/>
      <c r="LE126" s="93"/>
      <c r="LF126" s="92"/>
      <c r="LG126" s="92"/>
      <c r="LH126" s="92"/>
      <c r="LI126" s="92"/>
      <c r="LJ126" s="92"/>
      <c r="LK126" s="92"/>
      <c r="LL126" s="92"/>
      <c r="LM126" s="92"/>
      <c r="LN126" s="92"/>
      <c r="LO126" s="92"/>
      <c r="LP126" s="88"/>
      <c r="LQ126" s="93"/>
      <c r="LR126" s="88"/>
      <c r="LS126" s="93"/>
      <c r="LT126" s="93"/>
      <c r="LU126" s="93"/>
      <c r="LV126" s="93"/>
      <c r="LW126" s="93"/>
      <c r="LX126" s="93"/>
      <c r="LY126" s="93"/>
      <c r="LZ126" s="93"/>
      <c r="MA126" s="93"/>
      <c r="MB126" s="93"/>
      <c r="MC126" s="94"/>
      <c r="MD126" s="94"/>
      <c r="ME126" s="94"/>
      <c r="MF126" s="94"/>
      <c r="MG126" s="94"/>
      <c r="MH126" s="94"/>
      <c r="MI126" s="94"/>
      <c r="MJ126" s="94"/>
      <c r="MK126" s="94"/>
      <c r="ML126" s="94"/>
      <c r="MM126" s="94"/>
      <c r="MN126" s="94"/>
      <c r="MO126" s="95"/>
      <c r="MP126" s="95"/>
      <c r="MQ126" s="94"/>
      <c r="MR126" s="94"/>
      <c r="MS126" s="94"/>
      <c r="MT126" s="94"/>
      <c r="MU126" s="94"/>
      <c r="MV126" s="94"/>
      <c r="MW126" s="94"/>
      <c r="MX126" s="94"/>
      <c r="MY126" s="94"/>
      <c r="MZ126" s="94"/>
      <c r="NA126" s="94"/>
      <c r="NB126" s="94"/>
      <c r="NC126" s="94"/>
      <c r="ND126" s="94"/>
      <c r="NE126" s="94"/>
      <c r="NF126" s="94"/>
      <c r="NG126" s="94"/>
      <c r="NH126" s="94"/>
      <c r="NI126" s="94"/>
      <c r="NJ126" s="94"/>
    </row>
    <row r="127" spans="1:374" x14ac:dyDescent="0.25">
      <c r="H127" s="88" t="str">
        <f t="shared" si="195"/>
        <v xml:space="preserve">  </v>
      </c>
      <c r="O127" s="96"/>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G127" s="96"/>
      <c r="CH127" s="96"/>
      <c r="CI127" s="96"/>
      <c r="CJ127" s="96"/>
      <c r="CK127" s="96"/>
      <c r="CL127" s="96"/>
      <c r="CM127" s="96"/>
      <c r="CN127" s="96"/>
      <c r="CO127" s="96"/>
      <c r="CP127" s="96"/>
      <c r="CQ127" s="96"/>
      <c r="CR127" s="96"/>
      <c r="CS127" s="96"/>
      <c r="CT127" s="96"/>
      <c r="CU127" s="96"/>
      <c r="CV127" s="96"/>
      <c r="CW127" s="96"/>
      <c r="CX127" s="96"/>
      <c r="CY127" s="96"/>
      <c r="CZ127" s="96"/>
      <c r="DA127" s="96"/>
      <c r="DB127" s="96"/>
      <c r="DC127" s="96"/>
      <c r="DD127" s="96"/>
      <c r="DE127" s="96"/>
      <c r="DF127" s="96"/>
      <c r="DG127" s="96"/>
      <c r="DH127" s="96"/>
      <c r="DI127" s="96"/>
      <c r="DJ127" s="96"/>
      <c r="DK127" s="96"/>
      <c r="DL127" s="96"/>
      <c r="DM127" s="96"/>
      <c r="DN127" s="96"/>
      <c r="DO127" s="35" t="str">
        <f t="shared" si="196"/>
        <v/>
      </c>
      <c r="DP127" s="96"/>
      <c r="DQ127" s="96"/>
      <c r="DR127" s="96"/>
      <c r="DS127" s="96"/>
      <c r="DT127" s="96"/>
      <c r="DU127" s="96"/>
      <c r="DV127" s="96"/>
      <c r="DW127" s="96"/>
      <c r="DX127" s="96"/>
      <c r="DY127" s="96"/>
      <c r="DZ127" s="96"/>
      <c r="EA127" s="96"/>
      <c r="EB127" s="96"/>
      <c r="EC127" s="96"/>
      <c r="ED127" s="96"/>
      <c r="EE127" s="96"/>
      <c r="EF127" s="96"/>
      <c r="EG127" s="96"/>
      <c r="EH127" s="96"/>
      <c r="EI127" s="96"/>
      <c r="EJ127" s="96"/>
      <c r="EK127" s="96"/>
      <c r="EL127" s="96"/>
      <c r="KS127" s="92" t="str">
        <f t="shared" ref="KS127" si="197">IFERROR(KR127/KJ127,"")</f>
        <v/>
      </c>
      <c r="KU127" s="93" t="str">
        <f t="shared" ref="KU127" si="198">IFERROR(KT127/KK127,"")</f>
        <v/>
      </c>
      <c r="KW127" s="93" t="str">
        <f t="shared" ref="KW127" si="199">IFERROR(KV127/KL127,"")</f>
        <v/>
      </c>
      <c r="KY127" s="93" t="str">
        <f t="shared" ref="KY127" si="200">IFERROR(KX127/KM127,"")</f>
        <v/>
      </c>
      <c r="LA127" s="93" t="str">
        <f t="shared" ref="LA127" si="201">IFERROR(KZ127/KN127,"")</f>
        <v/>
      </c>
      <c r="LC127" s="93" t="str">
        <f t="shared" ref="LC127" si="202">IFERROR(LB127/KO127,"")</f>
        <v/>
      </c>
      <c r="LE127" s="93" t="str">
        <f t="shared" ref="LE127" si="203">IFERROR(LD127/KP127,"")</f>
        <v/>
      </c>
      <c r="LZ127" s="93" t="str">
        <f t="shared" ref="LZ127" si="204">IF(DK127="","",IF(DO127&lt;$LZ$2,((1-DO127)/(1-$LZ$2))-1,""))</f>
        <v/>
      </c>
      <c r="MA127" s="93" t="str">
        <f t="shared" ref="MA127" si="205">IF(DK127="","",IF(AND(DO127&gt;$LZ$2,DO127&lt;$MA$2),((1-DO127)/(1-$MA$2))-1,""))</f>
        <v/>
      </c>
      <c r="MK127" s="94" t="str">
        <f t="shared" ref="MK127:ML127" si="206">IFERROR((1+LZ127)*$MC127,"")</f>
        <v/>
      </c>
      <c r="ML127" s="94" t="str">
        <f t="shared" si="206"/>
        <v/>
      </c>
      <c r="MN127" s="94" t="str" cm="1">
        <f t="array" ref="MN127">_xlfn.IFS(MC127="","",MM127=0,"",MM127=MD127,"At quote",MM127=ME127,"2019",MM127=MF127,"2020",MM127=MG127,"2021",MM127=MH127,"2022",MM127=MI127,"2023",MM127=MJ127,"2024",MM127=MK127,"0% EBIT target",MM127=ML127,"12% EBIT target")</f>
        <v/>
      </c>
      <c r="MO127" s="95" t="str">
        <f>IF(OR($MC127="",,$MD127=""),"",IF(MD127-$MC127&lt;0,"",IFERROR((MD127-$MC127)*$DL127,"")))</f>
        <v/>
      </c>
      <c r="MP127" s="95" t="str">
        <f t="shared" ref="MP127" si="207">IFERROR(MO127*$NI$3*$NJ$3,"")</f>
        <v/>
      </c>
      <c r="MQ127" s="94" t="str">
        <f>IF(OR($MC127="",,ME127=""),"",IF(ME127-$MC127&lt;0,"",IFERROR((ME127-$MC127)*$DL127,"")))</f>
        <v/>
      </c>
      <c r="MR127" s="94" t="str">
        <f t="shared" ref="MR127" si="208">IFERROR(MQ127*$NI$3*$NJ$3,"")</f>
        <v/>
      </c>
      <c r="MS127" s="94" t="str">
        <f>IF(OR($MC127="",,MF127=""),"",IF(MF127-$MC127&lt;0,"",IFERROR((MF127-$MC127)*$DL127,"")))</f>
        <v/>
      </c>
      <c r="MT127" s="94" t="str">
        <f t="shared" ref="MT127" si="209">IFERROR(MS127*$NI$3*$NJ$3,"")</f>
        <v/>
      </c>
      <c r="MU127" s="94" t="str">
        <f>IF(OR($MC127="",,MG127=""),"",IF(MG127-$MC127&lt;0,"",IFERROR((MG127-$MC127)*$DL127,"")))</f>
        <v/>
      </c>
      <c r="MV127" s="94" t="str">
        <f t="shared" ref="MV127" si="210">IFERROR(MU127*$NI$3*$NJ$3,"")</f>
        <v/>
      </c>
      <c r="MW127" s="94" t="str">
        <f>IF(OR($MC127="",,MH127=""),"",IF(MH127-$MC127&lt;0,"",IFERROR((MH127-$MC127)*$DL127,"")))</f>
        <v/>
      </c>
      <c r="MX127" s="94" t="str">
        <f t="shared" ref="MX127" si="211">IFERROR(MW127*$NI$3*$NJ$3,"")</f>
        <v/>
      </c>
      <c r="MY127" s="94" t="str">
        <f>IF(OR($MC127="",,MI127=""),"",IF(MI127-$MC127&lt;0,"",IFERROR((MI127-$MC127)*$DL127,"")))</f>
        <v/>
      </c>
      <c r="MZ127" s="94" t="str">
        <f t="shared" ref="MZ127" si="212">IFERROR(MY127*$NI$3*$NJ$3,"")</f>
        <v/>
      </c>
      <c r="NA127" s="94" t="str">
        <f>IF(OR($MC127="",,MJ127=""),"",IF(MJ127-$MC127&lt;0,"",IFERROR((MJ127-$MC127)*$DL127,"")))</f>
        <v/>
      </c>
      <c r="NB127" s="94" t="str">
        <f t="shared" ref="NB127" si="213">IFERROR(NA127*$NI$3*$NJ$3,"")</f>
        <v/>
      </c>
      <c r="NC127" s="94" t="str">
        <f t="shared" ref="NC127" si="214">IFERROR((MK127-$MC127)*$DL127,"")</f>
        <v/>
      </c>
      <c r="ND127" s="94" t="str">
        <f t="shared" ref="ND127" si="215">IFERROR(NC127*$NI$3*$NJ$3,"")</f>
        <v/>
      </c>
      <c r="NE127" s="94" t="str">
        <f t="shared" ref="NE127" si="216">IFERROR((ML127-$MC127)*$DL127,"")</f>
        <v/>
      </c>
      <c r="NF127" s="94" t="str">
        <f t="shared" ref="NF127" si="217">IFERROR(NE127*$NI$3*$NJ$3,"")</f>
        <v/>
      </c>
    </row>
    <row r="129" spans="21:69" x14ac:dyDescent="0.25">
      <c r="U129" s="97"/>
      <c r="BO129" s="97"/>
    </row>
    <row r="130" spans="21:69" x14ac:dyDescent="0.25">
      <c r="BO130" s="98"/>
    </row>
    <row r="131" spans="21:69" x14ac:dyDescent="0.25">
      <c r="BQ131" s="98"/>
    </row>
    <row r="132" spans="21:69" x14ac:dyDescent="0.25">
      <c r="BQ132" s="99"/>
    </row>
  </sheetData>
  <dataConsolidate/>
  <pageMargins left="0.7" right="0.7" top="0.75" bottom="0.75" header="0.3" footer="0.3"/>
  <pageSetup paperSize="9" orientation="portrait" r:id="rId1"/>
  <headerFooter>
    <oddHeader>&amp;C&amp;"Calibri"&amp;10&amp;K000000 STRICTLY CONFIDENTIAL&amp;1#_x000D_&amp;G</oddHeader>
    <oddFooter>&amp;C_x000D_&amp;1#&amp;"Calibri"&amp;10&amp;K000000 STRICTLY CONFIDENTIAL</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5ccfaf35-ec0f-4e2c-a836-f301f9d9ece5">QEH5MS2UATEF-1841905746-3569</_dlc_DocId>
    <_dlc_DocIdUrl xmlns="5ccfaf35-ec0f-4e2c-a836-f301f9d9ece5">
      <Url>https://mckinsey.sharepoint.com/sites/spe-int-zgncjjr58ugwru0p49/_layouts/15/DocIdRedir.aspx?ID=QEH5MS2UATEF-1841905746-3569</Url>
      <Description>QEH5MS2UATEF-1841905746-3569</Description>
    </_dlc_DocIdUrl>
    <lcf76f155ced4ddcb4097134ff3c332f xmlns="0dffebf1-d390-4126-924a-bf4900035678">
      <Terms xmlns="http://schemas.microsoft.com/office/infopath/2007/PartnerControls"/>
    </lcf76f155ced4ddcb4097134ff3c332f>
    <TaxCatchAll xmlns="5ccfaf35-ec0f-4e2c-a836-f301f9d9ece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822B67824BD443AF1072A29951781F" ma:contentTypeVersion="11" ma:contentTypeDescription="Create a new document." ma:contentTypeScope="" ma:versionID="533e29005e330666f2ba6b3c77aece52">
  <xsd:schema xmlns:xsd="http://www.w3.org/2001/XMLSchema" xmlns:xs="http://www.w3.org/2001/XMLSchema" xmlns:p="http://schemas.microsoft.com/office/2006/metadata/properties" xmlns:ns2="5ccfaf35-ec0f-4e2c-a836-f301f9d9ece5" xmlns:ns3="0dffebf1-d390-4126-924a-bf4900035678" targetNamespace="http://schemas.microsoft.com/office/2006/metadata/properties" ma:root="true" ma:fieldsID="bc4d0a6a7e714208330ba5f8cc9faa54" ns2:_="" ns3:_="">
    <xsd:import namespace="5ccfaf35-ec0f-4e2c-a836-f301f9d9ece5"/>
    <xsd:import namespace="0dffebf1-d390-4126-924a-bf490003567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cfaf35-ec0f-4e2c-a836-f301f9d9ece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039925d5-71fb-4794-bb21-10e1cee0734e}" ma:internalName="TaxCatchAll" ma:showField="CatchAllData" ma:web="5ccfaf35-ec0f-4e2c-a836-f301f9d9ece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ffebf1-d390-4126-924a-bf490003567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BC902EF-0B69-4B6C-9648-D8472CA37DF0}">
  <ds:schemaRefs>
    <ds:schemaRef ds:uri="http://schemas.microsoft.com/sharepoint/v3/contenttype/forms"/>
  </ds:schemaRefs>
</ds:datastoreItem>
</file>

<file path=customXml/itemProps2.xml><?xml version="1.0" encoding="utf-8"?>
<ds:datastoreItem xmlns:ds="http://schemas.openxmlformats.org/officeDocument/2006/customXml" ds:itemID="{C59C5C55-4A88-44BB-8B0D-5F2AF02016E0}">
  <ds:schemaRefs>
    <ds:schemaRef ds:uri="http://schemas.microsoft.com/office/2006/metadata/properties"/>
    <ds:schemaRef ds:uri="http://schemas.microsoft.com/office/infopath/2007/PartnerControls"/>
    <ds:schemaRef ds:uri="5ccfaf35-ec0f-4e2c-a836-f301f9d9ece5"/>
    <ds:schemaRef ds:uri="0dffebf1-d390-4126-924a-bf4900035678"/>
  </ds:schemaRefs>
</ds:datastoreItem>
</file>

<file path=customXml/itemProps3.xml><?xml version="1.0" encoding="utf-8"?>
<ds:datastoreItem xmlns:ds="http://schemas.openxmlformats.org/officeDocument/2006/customXml" ds:itemID="{FDF63BC7-9650-4913-AB32-C5D5094E66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cfaf35-ec0f-4e2c-a836-f301f9d9ece5"/>
    <ds:schemaRef ds:uri="0dffebf1-d390-4126-924a-bf49000356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A7738E5-F8F3-44EF-B6F0-DC66AEE1AE7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Brazil 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Fang</dc:creator>
  <cp:lastModifiedBy>Carmen Fang</cp:lastModifiedBy>
  <dcterms:created xsi:type="dcterms:W3CDTF">2026-06-03T23:41:23Z</dcterms:created>
  <dcterms:modified xsi:type="dcterms:W3CDTF">2026-06-08T19:56:22Z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Enabled">
    <vt:lpwstr>true</vt:lpwstr>
  </property>
  <property fmtid="{D5CDD505-2E9C-101B-9397-08002B2CF9AE}" pid="3" name="MSIP_Label_83303d7c-e5a3-4cc8-90eb-69bfd7570ac4_SetDate">
    <vt:lpwstr>2026-06-03T23:41:53Z</vt:lpwstr>
  </property>
  <property fmtid="{D5CDD505-2E9C-101B-9397-08002B2CF9AE}" pid="4" name="MSIP_Label_83303d7c-e5a3-4cc8-90eb-69bfd7570ac4_Method">
    <vt:lpwstr>Standard</vt:lpwstr>
  </property>
  <property fmtid="{D5CDD505-2E9C-101B-9397-08002B2CF9AE}" pid="5" name="MSIP_Label_83303d7c-e5a3-4cc8-90eb-69bfd7570ac4_Name">
    <vt:lpwstr>Client Confidential Information-SLV1</vt:lpwstr>
  </property>
  <property fmtid="{D5CDD505-2E9C-101B-9397-08002B2CF9AE}" pid="6" name="MSIP_Label_83303d7c-e5a3-4cc8-90eb-69bfd7570ac4_SiteId">
    <vt:lpwstr>cc8936bc-9382-4fff-87cb-6f55999549e7</vt:lpwstr>
  </property>
  <property fmtid="{D5CDD505-2E9C-101B-9397-08002B2CF9AE}" pid="7" name="MSIP_Label_83303d7c-e5a3-4cc8-90eb-69bfd7570ac4_ActionId">
    <vt:lpwstr>6e94cfcc-0ad7-493c-9d3d-2d615e170581</vt:lpwstr>
  </property>
  <property fmtid="{D5CDD505-2E9C-101B-9397-08002B2CF9AE}" pid="8" name="MSIP_Label_83303d7c-e5a3-4cc8-90eb-69bfd7570ac4_ContentBits">
    <vt:lpwstr>0</vt:lpwstr>
  </property>
  <property fmtid="{D5CDD505-2E9C-101B-9397-08002B2CF9AE}" pid="9" name="MSIP_Label_83303d7c-e5a3-4cc8-90eb-69bfd7570ac4_Tag">
    <vt:lpwstr>10, 3, 0, 1</vt:lpwstr>
  </property>
  <property fmtid="{D5CDD505-2E9C-101B-9397-08002B2CF9AE}" pid="10" name="{A44787D4-0540-4523-9961-78E4036D8C6D}">
    <vt:lpwstr>{AAE322A0-86F2-4628-8D19-6024D5B1CD94}</vt:lpwstr>
  </property>
  <property fmtid="{D5CDD505-2E9C-101B-9397-08002B2CF9AE}" pid="11" name="MediaServiceImageTags">
    <vt:lpwstr/>
  </property>
  <property fmtid="{D5CDD505-2E9C-101B-9397-08002B2CF9AE}" pid="12" name="ContentTypeId">
    <vt:lpwstr>0x010100A0822B67824BD443AF1072A29951781F</vt:lpwstr>
  </property>
  <property fmtid="{D5CDD505-2E9C-101B-9397-08002B2CF9AE}" pid="13" name="_dlc_DocIdItemGuid">
    <vt:lpwstr>25701f6b-2c15-4f50-904b-eaeb7195d167</vt:lpwstr>
  </property>
</Properties>
</file>